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f8b11560cb4d99" /></Relationships>
</file>

<file path=xl/workbook.xml><?xml version="1.0" encoding="utf-8"?>
<x:workbook xmlns:x="http://schemas.openxmlformats.org/spreadsheetml/2006/main">
  <x:sheets>
    <x:sheet xmlns:r="http://schemas.openxmlformats.org/officeDocument/2006/relationships" name="Report" sheetId="1" r:id="Rd6d26e700367484f"/>
    <x:sheet xmlns:r="http://schemas.openxmlformats.org/officeDocument/2006/relationships" name="Benchmark" sheetId="2" r:id="Rfb709a1bf4604a69"/>
    <x:sheet xmlns:r="http://schemas.openxmlformats.org/officeDocument/2006/relationships" name="Source Data" sheetId="3" r:id="Rbdf85a294c6045bd"/>
    <x:sheet xmlns:r="http://schemas.openxmlformats.org/officeDocument/2006/relationships" name="Method" sheetId="4" r:id="Rd212384d253c449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0"/>
    <x:numFmt numFmtId="202" formatCode="0.0%"/>
  </x:numFmts>
  <x:fonts count="5">
    <x:font>
      <x:sz val="11"/>
      <x:name val="Carlito"/>
    </x:font>
    <x:font>
      <x:sz val="10"/>
      <x:color rgb="FF243447"/>
      <x:name val="Arial"/>
    </x:font>
    <x:font>
      <x:b/>
      <x:sz val="16"/>
      <x:color rgb="FF17324D"/>
      <x:name val="Arial"/>
    </x:font>
    <x:font>
      <x:b/>
      <x:sz val="10"/>
      <x:color rgb="FFFFFFFF"/>
      <x:name val="Arial"/>
    </x:font>
    <x:font>
      <x:b/>
      <x:sz val="10"/>
      <x:color rgb="FF243447"/>
      <x:name val="Arial"/>
    </x:font>
  </x:fonts>
  <x:fills count="5">
    <x:fill>
      <x:patternFill patternType="none"/>
    </x:fill>
    <x:fill>
      <x:patternFill patternType="gray125"/>
    </x:fill>
    <x:fill>
      <x:patternFill patternType="solid">
        <x:fgColor rgb="FF244665"/>
      </x:patternFill>
    </x:fill>
    <x:fill>
      <x:patternFill patternType="solid">
        <x:fgColor rgb="FFE8EEF4"/>
      </x:patternFill>
    </x:fill>
    <x:fill>
      <x:patternFill patternType="solid">
        <x:fgColor rgb="FFF0F4F8"/>
      </x:patternFill>
    </x:fill>
  </x:fills>
  <x:borders count="1">
    <x:border>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200" fontId="4" fillId="3"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vertical="center"/>
    </x:xf>
    <x:xf numFmtId="202" fontId="1" fillId="4" borderId="0" xfId="0" applyNumberFormat="1" applyFont="1" applyFill="1" applyBorder="1" applyAlignment="1">
      <x:alignment vertical="center"/>
    </x:xf>
    <x:xf numFmtId="0" fontId="4"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5b6bdb10b844ec8" /><Relationship Type="http://schemas.openxmlformats.org/officeDocument/2006/relationships/theme" Target="/xl/theme/theme1.xml" Id="R5f905b8fe6b84a15" /><Relationship Type="http://schemas.openxmlformats.org/officeDocument/2006/relationships/sharedStrings" Target="/xl/sharedStrings.xml" Id="Reaf123253887411f" /><Relationship Type="http://schemas.openxmlformats.org/officeDocument/2006/relationships/worksheet" Target="/xl/worksheets/sheet1.xml" Id="Rd6d26e700367484f" /><Relationship Type="http://schemas.openxmlformats.org/officeDocument/2006/relationships/worksheet" Target="/xl/worksheets/sheet2.xml" Id="Rfb709a1bf4604a69" /><Relationship Type="http://schemas.openxmlformats.org/officeDocument/2006/relationships/worksheet" Target="/xl/worksheets/sheet3.xml" Id="Rbdf85a294c6045bd" /><Relationship Type="http://schemas.openxmlformats.org/officeDocument/2006/relationships/worksheet" Target="/xl/worksheets/sheet4.xml" Id="Rd212384d253c449f" /></Relationships>
</file>

<file path=xl/tables/table1.xml><?xml version="1.0" encoding="utf-8"?>
<x:table xmlns:x="http://schemas.openxmlformats.org/spreadsheetml/2006/main" id="1" name="TrendBenchmarks" displayName="TrendBenchmarks" ref="A8:P834" headerRowCount="1" totalsRowCount="0" totalsRowShown="0">
  <x:tableColumns count="16">
    <x:tableColumn id="1" name="NAICS"/>
    <x:tableColumn id="2" name="Industry"/>
    <x:tableColumn id="3" name="Log share 2017"/>
    <x:tableColumn id="4" name="Log share 2018"/>
    <x:tableColumn id="5" name="Log share 2019"/>
    <x:tableColumn id="6" name="Annual log trend"/>
    <x:tableColumn id="7" name="Annual relative trend"/>
    <x:tableColumn id="8" name="2022 anchor jobs"/>
    <x:tableColumn id="9" name="2026 jobs"/>
    <x:tableColumn id="10" name="2022–26 change"/>
    <x:tableColumn id="11" name="2026 benchmark from 2022"/>
    <x:tableColumn id="12" name="Gap vs 2022 benchmark"/>
    <x:tableColumn id="13" name="2023 anchor jobs"/>
    <x:tableColumn id="14" name="2026 benchmark from 2023"/>
    <x:tableColumn id="15" name="Gap vs 2023 benchmark"/>
    <x:tableColumn id="16" name="Shortlis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fefe00431524183"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12" hidden="0" customWidth="1"/>
    <x:col min="2" max="2" width="43" hidden="0" customWidth="1"/>
    <x:col min="3" max="3" width="18" hidden="0" customWidth="1"/>
    <x:col min="4" max="4" width="18" hidden="0" customWidth="1"/>
    <x:col min="5" max="5" width="18" hidden="0" customWidth="1"/>
    <x:col min="6" max="6" width="18" hidden="0" customWidth="1"/>
    <x:col min="7" max="7" width="18" hidden="0" customWidth="1"/>
    <x:col min="8" max="8" width="62" hidden="0" customWidth="1"/>
  </x:cols>
  <x:sheetData>
    <x:row r="1">
      <x:c r="A1" s="2"/>
      <x:c r="B1" s="2"/>
      <x:c r="C1" s="2"/>
      <x:c r="D1" s="2"/>
      <x:c r="E1" s="2"/>
      <x:c r="F1" s="2"/>
      <x:c r="G1" s="2"/>
      <x:c r="H1" s="2"/>
    </x:row>
    <x:row r="2" ht="28" customHeight="1">
      <x:c r="A2" s="3" t="str">
        <x:v>California industries and possible AI effects</x:v>
      </x:c>
      <x:c r="B2" s="2"/>
      <x:c r="C2" s="2"/>
      <x:c r="D2" s="2"/>
      <x:c r="E2" s="2"/>
      <x:c r="F2" s="2"/>
      <x:c r="G2" s="2"/>
      <x:c r="H2" s="2"/>
    </x:row>
    <x:row r="3">
      <x:c r="A3" s="2" t="str">
        <x:v>March 2022–March 2026, with pre-pandemic trend and statewide employment benchmarks. As of October 10, 2026.</x:v>
      </x:c>
      <x:c r="B3" s="2"/>
      <x:c r="C3" s="2"/>
      <x:c r="D3" s="2"/>
      <x:c r="E3" s="2"/>
      <x:c r="F3" s="2"/>
      <x:c r="G3" s="2"/>
      <x:c r="H3" s="2"/>
    </x:row>
    <x:row r="4">
      <x:c r="A4" s="2"/>
      <x:c r="B4" s="2"/>
      <x:c r="C4" s="2"/>
      <x:c r="D4" s="2"/>
      <x:c r="E4" s="2"/>
      <x:c r="F4" s="2"/>
      <x:c r="G4" s="2"/>
      <x:c r="H4" s="2"/>
    </x:row>
    <x:row r="5">
      <x:c r="A5" s="2" t="str">
        <x:v>Document preparation, translation and contact centers are leading candidates for direct task substitution.</x:v>
      </x:c>
      <x:c r="B5" s="2"/>
      <x:c r="C5" s="2"/>
      <x:c r="D5" s="2"/>
      <x:c r="E5" s="2"/>
      <x:c r="F5" s="2"/>
      <x:c r="G5" s="2"/>
      <x:c r="H5" s="2"/>
    </x:row>
    <x:row r="6">
      <x:c r="A6" s="2" t="str">
        <x:v>Software and marketing services show possible hiring slowdowns. This shortlist is an analytical judgment, not a causal ranking.</x:v>
      </x:c>
      <x:c r="B6" s="2"/>
      <x:c r="C6" s="2"/>
      <x:c r="D6" s="2"/>
      <x:c r="E6" s="2"/>
      <x:c r="F6" s="2"/>
      <x:c r="G6" s="2"/>
      <x:c r="H6" s="2"/>
    </x:row>
    <x:row r="7">
      <x:c r="A7" s="2"/>
      <x:c r="B7" s="2"/>
      <x:c r="C7" s="2"/>
      <x:c r="D7" s="2"/>
      <x:c r="E7" s="2"/>
      <x:c r="F7" s="2"/>
      <x:c r="G7" s="2"/>
      <x:c r="H7" s="2"/>
    </x:row>
    <x:row r="8" ht="43" customHeight="1">
      <x:c r="A8" s="7" t="str">
        <x:v>NAICS</x:v>
      </x:c>
      <x:c r="B8" s="7" t="str">
        <x:v>Industry</x:v>
      </x:c>
      <x:c r="C8" s="7" t="str">
        <x:v>March 2022 jobs</x:v>
      </x:c>
      <x:c r="D8" s="7" t="str">
        <x:v>March 2026 jobs</x:v>
      </x:c>
      <x:c r="E8" s="7" t="str">
        <x:v>Actual change</x:v>
      </x:c>
      <x:c r="F8" s="7" t="str">
        <x:v>Gap: 2022 anchor</x:v>
      </x:c>
      <x:c r="G8" s="7" t="str">
        <x:v>Gap: 2023 anchor</x:v>
      </x:c>
      <x:c r="H8" s="7" t="str">
        <x:v>Interpretation</x:v>
      </x:c>
    </x:row>
    <x:row r="9" ht="45" customHeight="1">
      <x:c r="A9" s="16" t="str">
        <x:f>'Benchmark'!A627</x:f>
        <x:v>541613</x:v>
      </x:c>
      <x:c r="B9" s="17" t="str">
        <x:f>'Benchmark'!B627</x:f>
        <x:v>Marketing Consulting Services</x:v>
      </x:c>
      <x:c r="C9" s="18" t="n">
        <x:f>'Benchmark'!H627</x:f>
        <x:v>41958</x:v>
      </x:c>
      <x:c r="D9" s="18" t="n">
        <x:f>'Benchmark'!I627</x:f>
        <x:v>41306</x:v>
      </x:c>
      <x:c r="E9" s="19" t="n">
        <x:f>'Benchmark'!J627</x:f>
        <x:v>-0.015539348872682157</x:v>
      </x:c>
      <x:c r="F9" s="19" t="n">
        <x:f>'Benchmark'!L627</x:f>
        <x:v>-0.5007325884796616</x:v>
      </x:c>
      <x:c r="G9" s="19" t="n">
        <x:f>'Benchmark'!O627</x:f>
        <x:v>-0.42784124759290043</x:v>
      </x:c>
      <x:c r="H9" s="17" t="str">
        <x:v>Primarily a growth slowdown. Earlier rapid growth may be an unrealistic benchmark.</x:v>
      </x:c>
    </x:row>
    <x:row r="10" ht="45" customHeight="1">
      <x:c r="A10" s="2" t="str">
        <x:f>'Benchmark'!A538</x:f>
        <x:v>513210</x:v>
      </x:c>
      <x:c r="B10" s="15" t="str">
        <x:f>'Benchmark'!B538</x:f>
        <x:v>Software Publishers</x:v>
      </x:c>
      <x:c r="C10" s="8" t="n">
        <x:f>'Benchmark'!H538</x:f>
        <x:v>114569</x:v>
      </x:c>
      <x:c r="D10" s="8" t="n">
        <x:f>'Benchmark'!I538</x:f>
        <x:v>113017</x:v>
      </x:c>
      <x:c r="E10" s="14" t="n">
        <x:f>'Benchmark'!J538</x:f>
        <x:v>-0.013546421806945985</x:v>
      </x:c>
      <x:c r="F10" s="14" t="n">
        <x:f>'Benchmark'!L538</x:f>
        <x:v>-0.41056651711144276</x:v>
      </x:c>
      <x:c r="G10" s="14" t="n">
        <x:f>'Benchmark'!O538</x:f>
        <x:v>-0.3451329917965589</x:v>
      </x:c>
      <x:c r="H10" s="15" t="str">
        <x:v>Primarily a hiring slowdown signal. Industry totals can conceal losses among junior workers.</x:v>
      </x:c>
    </x:row>
    <x:row r="11" ht="45" customHeight="1">
      <x:c r="A11" s="16" t="str">
        <x:f>'Benchmark'!A647</x:f>
        <x:v>541930</x:v>
      </x:c>
      <x:c r="B11" s="17" t="str">
        <x:f>'Benchmark'!B647</x:f>
        <x:v>Translation and Interpretation Services</x:v>
      </x:c>
      <x:c r="C11" s="18" t="n">
        <x:f>'Benchmark'!H647</x:f>
        <x:v>4723</x:v>
      </x:c>
      <x:c r="D11" s="18" t="n">
        <x:f>'Benchmark'!I647</x:f>
        <x:v>3982</x:v>
      </x:c>
      <x:c r="E11" s="19" t="n">
        <x:f>'Benchmark'!J647</x:f>
        <x:v>-0.15689180605547326</x:v>
      </x:c>
      <x:c r="F11" s="19" t="n">
        <x:f>'Benchmark'!L647</x:f>
        <x:v>-0.3556262399100628</x:v>
      </x:c>
      <x:c r="G11" s="19" t="n">
        <x:f>'Benchmark'!O647</x:f>
        <x:v>-0.31330714560203266</x:v>
      </x:c>
      <x:c r="H11" s="17" t="str">
        <x:v>Direct task substitution candidate. Freelancers are generally outside QCEW coverage.</x:v>
      </x:c>
    </x:row>
    <x:row r="12" ht="45" customHeight="1">
      <x:c r="A12" s="2" t="str">
        <x:f>'Benchmark'!A659</x:f>
        <x:v>561410</x:v>
      </x:c>
      <x:c r="B12" s="15" t="str">
        <x:f>'Benchmark'!B659</x:f>
        <x:v>Document Preparation Services</x:v>
      </x:c>
      <x:c r="C12" s="8" t="n">
        <x:f>'Benchmark'!H659</x:f>
        <x:v>3690</x:v>
      </x:c>
      <x:c r="D12" s="8" t="n">
        <x:f>'Benchmark'!I659</x:f>
        <x:v>2538</x:v>
      </x:c>
      <x:c r="E12" s="14" t="n">
        <x:f>'Benchmark'!J659</x:f>
        <x:v>-0.31219512195121957</x:v>
      </x:c>
      <x:c r="F12" s="14" t="n">
        <x:f>'Benchmark'!L659</x:f>
        <x:v>-0.3418556165813915</x:v>
      </x:c>
      <x:c r="G12" s="14" t="n">
        <x:f>'Benchmark'!O659</x:f>
        <x:v>-0.32457723875733535</x:v>
      </x:c>
      <x:c r="H12" s="15" t="str">
        <x:v>Direct task substitution candidate involving transcription, editing and document preparation.</x:v>
      </x:c>
    </x:row>
    <x:row r="13" ht="45" customHeight="1">
      <x:c r="A13" s="16" t="str">
        <x:f>'Benchmark'!A661</x:f>
        <x:v>561422</x:v>
      </x:c>
      <x:c r="B13" s="17" t="str">
        <x:f>'Benchmark'!B661</x:f>
        <x:v>Telemarketing Bureaus and Other Contact Centers</x:v>
      </x:c>
      <x:c r="C13" s="18" t="n">
        <x:f>'Benchmark'!H661</x:f>
        <x:v>12077</x:v>
      </x:c>
      <x:c r="D13" s="18" t="n">
        <x:f>'Benchmark'!I661</x:f>
        <x:v>6793</x:v>
      </x:c>
      <x:c r="E13" s="19" t="n">
        <x:f>'Benchmark'!J661</x:f>
        <x:v>-0.43752587563136536</x:v>
      </x:c>
      <x:c r="F13" s="19" t="n">
        <x:f>'Benchmark'!L661</x:f>
        <x:v>-0.2751450758212106</x:v>
      </x:c>
      <x:c r="G13" s="19" t="n">
        <x:f>'Benchmark'!O661</x:f>
        <x:v>-0.23476972559540732</x:v>
      </x:c>
      <x:c r="H13" s="17" t="str">
        <x:v>Direct task substitution candidate. Earlier decline and outsourcing remain competing explanations.</x:v>
      </x:c>
    </x:row>
    <x:row r="14" ht="45" customHeight="1">
      <x:c r="A14" s="2" t="str">
        <x:f>'Benchmark'!A621</x:f>
        <x:v>541511</x:v>
      </x:c>
      <x:c r="B14" s="15" t="str">
        <x:f>'Benchmark'!B621</x:f>
        <x:v>Custom Computer Programming Services</x:v>
      </x:c>
      <x:c r="C14" s="8" t="n">
        <x:f>'Benchmark'!H621</x:f>
        <x:v>195490</x:v>
      </x:c>
      <x:c r="D14" s="8" t="n">
        <x:f>'Benchmark'!I621</x:f>
        <x:v>184686</x:v>
      </x:c>
      <x:c r="E14" s="14" t="n">
        <x:f>'Benchmark'!J621</x:f>
        <x:v>-0.05526625402833907</x:v>
      </x:c>
      <x:c r="F14" s="14" t="n">
        <x:f>'Benchmark'!L621</x:f>
        <x:v>-0.21664270343552738</x:v>
      </x:c>
      <x:c r="G14" s="14" t="n">
        <x:f>'Benchmark'!O621</x:f>
        <x:v>-0.22357469891998227</x:v>
      </x:c>
      <x:c r="H14" s="15" t="str">
        <x:v>Possible hiring slowdown. Interest rates, outsourcing and pandemic overhiring remain relevant.</x:v>
      </x:c>
    </x:row>
    <x:row r="15" ht="45" customHeight="1">
      <x:c r="A15" s="16" t="str">
        <x:f>'Benchmark'!A636</x:f>
        <x:v>541810</x:v>
      </x:c>
      <x:c r="B15" s="17" t="str">
        <x:f>'Benchmark'!B636</x:f>
        <x:v>Advertising Agencies</x:v>
      </x:c>
      <x:c r="C15" s="18" t="n">
        <x:f>'Benchmark'!H636</x:f>
        <x:v>29932</x:v>
      </x:c>
      <x:c r="D15" s="18" t="n">
        <x:f>'Benchmark'!I636</x:f>
        <x:v>26310</x:v>
      </x:c>
      <x:c r="E15" s="19" t="n">
        <x:f>'Benchmark'!J636</x:f>
        <x:v>-0.12100761726580245</x:v>
      </x:c>
      <x:c r="F15" s="19" t="n">
        <x:f>'Benchmark'!L636</x:f>
        <x:v>-0.13670030086694995</x:v>
      </x:c>
      <x:c r="G15" s="19" t="n">
        <x:f>'Benchmark'!O636</x:f>
        <x:v>-0.1443097919534927</x:v>
      </x:c>
      <x:c r="H15" s="17" t="str">
        <x:v>Possible content-production substitution. Advertising demand also affects employment.</x:v>
      </x:c>
    </x:row>
    <x:row r="16">
      <x:c r="A16" s="2"/>
      <x:c r="B16" s="2"/>
      <x:c r="C16" s="2"/>
      <x:c r="D16" s="2"/>
      <x:c r="E16" s="2"/>
      <x:c r="F16" s="2"/>
      <x:c r="G16" s="2"/>
      <x:c r="H16" s="2"/>
    </x:row>
    <x:row r="17">
      <x:c r="A17" s="2"/>
      <x:c r="B17" s="2"/>
      <x:c r="C17" s="2"/>
      <x:c r="D17" s="2"/>
      <x:c r="E17" s="2"/>
      <x:c r="F17" s="2"/>
      <x:c r="G17" s="2"/>
      <x:c r="H17" s="2"/>
    </x:row>
    <x:row r="18">
      <x:c r="A18" s="20" t="str">
        <x:v>How to interpret the gaps</x:v>
      </x:c>
      <x:c r="B18" s="2"/>
      <x:c r="C18" s="2"/>
      <x:c r="D18" s="2"/>
      <x:c r="E18" s="2"/>
      <x:c r="F18" s="2"/>
      <x:c r="G18" s="2"/>
      <x:c r="H18" s="2"/>
    </x:row>
    <x:row r="19">
      <x:c r="A19" s="2" t="str">
        <x:v>A −35% gap means observed employment is 35% below the modeled benchmark. It does not mean AI eliminated 35% of jobs.</x:v>
      </x:c>
      <x:c r="B19" s="2"/>
      <x:c r="C19" s="2"/>
      <x:c r="D19" s="2"/>
      <x:c r="E19" s="2"/>
      <x:c r="F19" s="2"/>
      <x:c r="G19" s="2"/>
      <x:c r="H19" s="2"/>
    </x:row>
    <x:row r="20">
      <x:c r="A20" s="2" t="str">
        <x:v>The two anchor estimates are sensitivity checks, not a confidence interval. Exact values are shown rather than rounded ranges.</x:v>
      </x:c>
      <x:c r="B20" s="2"/>
      <x:c r="C20" s="2"/>
      <x:c r="D20" s="2"/>
      <x:c r="E20" s="2"/>
      <x:c r="F20" s="2"/>
      <x:c r="G20" s="2"/>
      <x:c r="H20" s="2"/>
    </x:row>
    <x:row r="21">
      <x:c r="A21" s="2" t="str">
        <x:v>March-only comparisons address regular seasonality. Excluding 2020–2021 does not remove lasting COVID effects.</x:v>
      </x:c>
      <x:c r="B21" s="2"/>
      <x:c r="C21" s="2"/>
      <x:c r="D21" s="2"/>
      <x:c r="E21" s="2"/>
      <x:c r="F21" s="2"/>
      <x:c r="G21" s="2"/>
      <x:c r="H21" s="2"/>
    </x:row>
    <x:row r="22">
      <x:c r="A22" s="2" t="str">
        <x:v>The model assumes the 2017–2019 relative trend continues. Rapid earlier growth can produce an overstated benchmark.</x:v>
      </x:c>
      <x:c r="B22" s="2"/>
      <x:c r="C22" s="2"/>
      <x:c r="D22" s="2"/>
      <x:c r="E22" s="2"/>
      <x:c r="F22" s="2"/>
      <x:c r="G22" s="2"/>
      <x:c r="H22" s="2"/>
    </x:row>
    <x:row r="23">
      <x:c r="A23" s="2" t="str">
        <x:v>QCEW does not identify layoff causes and generally excludes self-employed workers. Industry changes are not occupation-specific.</x:v>
      </x:c>
      <x:c r="B23" s="2"/>
      <x:c r="C23" s="2"/>
      <x:c r="D23" s="2"/>
      <x:c r="E23" s="2"/>
      <x:c r="F23" s="2"/>
      <x:c r="G23" s="2"/>
      <x:c r="H23" s="2"/>
    </x:row>
    <x:row r="24">
      <x:c r="A24" s="2"/>
      <x:c r="B24" s="2"/>
      <x:c r="C24" s="2"/>
      <x:c r="D24" s="2"/>
      <x:c r="E24" s="2"/>
      <x:c r="F24" s="2"/>
      <x:c r="G24" s="2"/>
      <x:c r="H24" s="2"/>
    </x:row>
    <x:row r="25">
      <x:c r="A25" s="20" t="str">
        <x:v>Research context</x:v>
      </x:c>
      <x:c r="B25" s="2"/>
      <x:c r="C25" s="2"/>
      <x:c r="D25" s="2"/>
      <x:c r="E25" s="2"/>
      <x:c r="F25" s="2"/>
      <x:c r="G25" s="2"/>
      <x:c r="H25" s="2"/>
    </x:row>
    <x:row r="26">
      <x:c r="A26" s="2" t="str">
        <x:v>California Policy Lab finds elevated AI-exposed claims in Information and Professional Services, without proof of AI causation.</x:v>
      </x:c>
      <x:c r="B26" s="2"/>
      <x:c r="C26" s="2"/>
      <x:c r="D26" s="2"/>
      <x:c r="E26" s="2"/>
      <x:c r="F26" s="2"/>
      <x:c r="G26" s="2"/>
      <x:c r="H26" s="2"/>
    </x:row>
    <x:row r="27">
      <x:c r="A27" s="2" t="str">
        <x:v>Stanford finds a national early-career employment gap concentrated in automating uses of AI, primarily through reduced hiring.</x:v>
      </x:c>
      <x:c r="B27" s="2"/>
      <x:c r="C27" s="2"/>
      <x:c r="D27" s="2"/>
      <x:c r="E27" s="2"/>
      <x:c r="F27" s="2"/>
      <x:c r="G27" s="2"/>
      <x:c r="H27" s="2"/>
    </x:row>
    <x:row r="28">
      <x:c r="A28" s="2" t="str">
        <x:v>The broader Benchmark sheet includes 826 industries; a large model gap alone does not identify an AI-affected industry.</x:v>
      </x:c>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12" hidden="0" customWidth="1"/>
    <x:col min="2" max="2" width="76"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s>
  <x:sheetData>
    <x:row r="1">
      <x:c r="A1" s="2"/>
      <x:c r="B1" s="2"/>
      <x:c r="C1" s="2"/>
      <x:c r="D1" s="2"/>
      <x:c r="E1" s="2"/>
      <x:c r="F1" s="2"/>
      <x:c r="G1" s="2"/>
      <x:c r="H1" s="2"/>
      <x:c r="I1" s="2"/>
      <x:c r="J1" s="2"/>
      <x:c r="K1" s="2"/>
      <x:c r="L1" s="2"/>
      <x:c r="M1" s="2"/>
      <x:c r="N1" s="2"/>
      <x:c r="O1" s="2"/>
      <x:c r="P1" s="2"/>
    </x:row>
    <x:row r="2" ht="28" customHeight="1">
      <x:c r="A2" s="3" t="str">
        <x:v>Industry trend benchmarks</x:v>
      </x:c>
      <x:c r="B2" s="2"/>
      <x:c r="C2" s="2"/>
      <x:c r="D2" s="2"/>
      <x:c r="E2" s="2"/>
      <x:c r="F2" s="2"/>
      <x:c r="G2" s="2"/>
      <x:c r="H2" s="2"/>
      <x:c r="I2" s="2"/>
      <x:c r="J2" s="2"/>
      <x:c r="K2" s="2"/>
      <x:c r="L2" s="2"/>
      <x:c r="M2" s="2"/>
      <x:c r="N2" s="2"/>
      <x:c r="O2" s="2"/>
      <x:c r="P2" s="2"/>
    </x:row>
    <x:row r="3">
      <x:c r="A3" s="2" t="str">
        <x:v>All 826 eligible industries. Negative gaps indicate employment below the benchmark, not jobs proven lost to AI.</x:v>
      </x:c>
      <x:c r="B3" s="2"/>
      <x:c r="C3" s="2"/>
      <x:c r="D3" s="2"/>
      <x:c r="E3" s="2"/>
      <x:c r="F3" s="2"/>
      <x:c r="G3" s="2"/>
      <x:c r="H3" s="2"/>
      <x:c r="I3" s="2"/>
      <x:c r="J3" s="2"/>
      <x:c r="K3" s="2"/>
      <x:c r="L3" s="2"/>
      <x:c r="M3" s="2"/>
      <x:c r="N3" s="2"/>
      <x:c r="O3" s="2"/>
      <x:c r="P3" s="2"/>
    </x:row>
    <x:row r="4">
      <x:c r="A4" s="2" t="str">
        <x:v>Pretrend: log of industry employment divided by all-private California employment, fitted to March 2017, 2018 and 2019.</x:v>
      </x:c>
      <x:c r="B4" s="2"/>
      <x:c r="C4" s="2"/>
      <x:c r="D4" s="2"/>
      <x:c r="E4" s="2"/>
      <x:c r="F4" s="2"/>
      <x:c r="G4" s="2"/>
      <x:c r="H4" s="2"/>
      <x:c r="I4" s="2"/>
      <x:c r="J4" s="2"/>
      <x:c r="K4" s="2"/>
      <x:c r="L4" s="2"/>
      <x:c r="M4" s="2"/>
      <x:c r="N4" s="2"/>
      <x:c r="O4" s="2"/>
      <x:c r="P4" s="2"/>
    </x:row>
    <x:row r="5">
      <x:c r="A5" s="2" t="str">
        <x:v>Benchmark = anchor employment × statewide employment growth × continuation of the industry’s pre-pandemic relative trend.</x:v>
      </x:c>
      <x:c r="B5" s="2"/>
      <x:c r="C5" s="2"/>
      <x:c r="D5" s="2"/>
      <x:c r="E5" s="2"/>
      <x:c r="F5" s="2"/>
      <x:c r="G5" s="2"/>
      <x:c r="H5" s="2"/>
      <x:c r="I5" s="2"/>
      <x:c r="J5" s="2"/>
      <x:c r="K5" s="2"/>
      <x:c r="L5" s="2"/>
      <x:c r="M5" s="2"/>
      <x:c r="N5" s="2"/>
      <x:c r="O5" s="2"/>
      <x:c r="P5" s="2"/>
    </x:row>
    <x:row r="6">
      <x:c r="A6" s="2" t="str">
        <x:v>The 2022 and 2023 anchors absorb different initial employment levels. Neither fully removes pandemic persistence or other industry shocks.</x:v>
      </x:c>
      <x:c r="B6" s="2"/>
      <x:c r="C6" s="2"/>
      <x:c r="D6" s="2"/>
      <x:c r="E6" s="2"/>
      <x:c r="F6" s="2"/>
      <x:c r="G6" s="2"/>
      <x:c r="H6" s="2"/>
      <x:c r="I6" s="2"/>
      <x:c r="J6" s="2"/>
      <x:c r="K6" s="2"/>
      <x:c r="L6" s="2"/>
      <x:c r="M6" s="2"/>
      <x:c r="N6" s="2"/>
      <x:c r="O6" s="2"/>
      <x:c r="P6" s="2"/>
    </x:row>
    <x:row r="7">
      <x:c r="A7" s="2"/>
      <x:c r="B7" s="2"/>
      <x:c r="C7" s="2"/>
      <x:c r="D7" s="2"/>
      <x:c r="E7" s="2"/>
      <x:c r="F7" s="2"/>
      <x:c r="G7" s="2"/>
      <x:c r="H7" s="2"/>
      <x:c r="I7" s="2"/>
      <x:c r="J7" s="2"/>
      <x:c r="K7" s="2"/>
      <x:c r="L7" s="2"/>
      <x:c r="M7" s="2"/>
      <x:c r="N7" s="2"/>
      <x:c r="O7" s="2"/>
      <x:c r="P7" s="2"/>
    </x:row>
    <x:row r="8" ht="43" customHeight="1">
      <x:c r="A8" s="7" t="str">
        <x:v>NAICS</x:v>
      </x:c>
      <x:c r="B8" s="7" t="str">
        <x:v>Industry</x:v>
      </x:c>
      <x:c r="C8" s="7" t="str">
        <x:v>Log share 2017</x:v>
      </x:c>
      <x:c r="D8" s="7" t="str">
        <x:v>Log share 2018</x:v>
      </x:c>
      <x:c r="E8" s="7" t="str">
        <x:v>Log share 2019</x:v>
      </x:c>
      <x:c r="F8" s="7" t="str">
        <x:v>Annual log trend</x:v>
      </x:c>
      <x:c r="G8" s="7" t="str">
        <x:v>Annual relative trend</x:v>
      </x:c>
      <x:c r="H8" s="7" t="str">
        <x:v>2022 anchor jobs</x:v>
      </x:c>
      <x:c r="I8" s="7" t="str">
        <x:v>2026 jobs</x:v>
      </x:c>
      <x:c r="J8" s="7" t="str">
        <x:v>2022–26 change</x:v>
      </x:c>
      <x:c r="K8" s="7" t="str">
        <x:v>2026 benchmark from 2022</x:v>
      </x:c>
      <x:c r="L8" s="7" t="str">
        <x:v>Gap vs 2022 benchmark</x:v>
      </x:c>
      <x:c r="M8" s="7" t="str">
        <x:v>2023 anchor jobs</x:v>
      </x:c>
      <x:c r="N8" s="7" t="str">
        <x:v>2026 benchmark from 2023</x:v>
      </x:c>
      <x:c r="O8" s="7" t="str">
        <x:v>Gap vs 2023 benchmark</x:v>
      </x:c>
      <x:c r="P8" s="7" t="str">
        <x:v>Shortlist</x:v>
      </x:c>
    </x:row>
    <x:row r="9">
      <x:c r="A9" s="2" t="str">
        <x:f>'Source Data'!A9</x:f>
        <x:v>111130</x:v>
      </x:c>
      <x:c r="B9" s="2" t="str">
        <x:f>'Source Data'!B9</x:f>
        <x:v>Dry Pea and Bean Farming</x:v>
      </x:c>
      <x:c r="C9" s="13" t="n">
        <x:f>LN('Source Data'!C9/'Source Data'!C$8)</x:f>
        <x:v>-10.227117594377882</x:v>
      </x:c>
      <x:c r="D9" s="13" t="n">
        <x:f>LN('Source Data'!D9/'Source Data'!D$8)</x:f>
        <x:v>-10.330312904606059</x:v>
      </x:c>
      <x:c r="E9" s="13" t="n">
        <x:f>LN('Source Data'!E9/'Source Data'!E$8)</x:f>
        <x:v>-10.463517036400194</x:v>
      </x:c>
      <x:c r="F9" s="13" t="n">
        <x:f>SLOPE(C9:E9,'Source Data'!C$7:E$7)</x:f>
        <x:v>-0.11819972101115628</x:v>
      </x:c>
      <x:c r="G9" s="14" t="n">
        <x:f>EXP(F9)-1</x:f>
        <x:v>-0.11148142093643298</x:v>
      </x:c>
      <x:c r="H9" s="8" t="n">
        <x:f>'Source Data'!F9</x:f>
        <x:v>135</x:v>
      </x:c>
      <x:c r="I9" s="8" t="n">
        <x:f>'Source Data'!H9</x:f>
        <x:v>46</x:v>
      </x:c>
      <x:c r="J9" s="14" t="n">
        <x:f>I9/H9-1</x:f>
        <x:v>-0.6592592592592592</x:v>
      </x:c>
      <x:c r="K9" s="8" t="n">
        <x:f>H9*('Source Data'!H$8/'Source Data'!F$8)*EXP(F9*('Source Data'!H$7-'Source Data'!F$7))</x:f>
        <x:v>85.63241569530781</x:v>
      </x:c>
      <x:c r="L9" s="14" t="n">
        <x:f>I9/K9-1</x:f>
        <x:v>-0.4628202459723375</x:v>
      </x:c>
      <x:c r="M9" s="8" t="n">
        <x:f>'Source Data'!G9</x:f>
        <x:v>127</x:v>
      </x:c>
      <x:c r="N9" s="8" t="n">
        <x:f>M9*('Source Data'!H$8/'Source Data'!G$8)*EXP(F9*('Source Data'!H$7-'Source Data'!G$7))</x:f>
        <x:v>90.47786778999586</x:v>
      </x:c>
      <x:c r="O9" s="14" t="n">
        <x:f>I9/N9-1</x:f>
        <x:v>-0.49158837267508837</x:v>
      </x:c>
      <x:c r="P9" s="2" t="str"/>
    </x:row>
    <x:row r="10">
      <x:c r="A10" s="2" t="str">
        <x:f>'Source Data'!A10</x:f>
        <x:v>111140</x:v>
      </x:c>
      <x:c r="B10" s="2" t="str">
        <x:f>'Source Data'!B10</x:f>
        <x:v>Wheat Farming</x:v>
      </x:c>
      <x:c r="C10" s="13" t="n">
        <x:f>LN('Source Data'!C10/'Source Data'!C$8)</x:f>
        <x:v>-10.903006436708546</x:v>
      </x:c>
      <x:c r="D10" s="13" t="n">
        <x:f>LN('Source Data'!D10/'Source Data'!D$8)</x:f>
        <x:v>-11.06848376653996</x:v>
      </x:c>
      <x:c r="E10" s="13" t="n">
        <x:f>LN('Source Data'!E10/'Source Data'!E$8)</x:f>
        <x:v>-11.212301297265535</x:v>
      </x:c>
      <x:c r="F10" s="13" t="n">
        <x:f>SLOPE(C10:E10,'Source Data'!C$7:E$7)</x:f>
        <x:v>-0.15464743027849437</x:v>
      </x:c>
      <x:c r="G10" s="14" t="n">
        <x:f>EXP(F10)-1</x:f>
        <x:v>-0.1432828232209925</x:v>
      </x:c>
      <x:c r="H10" s="8" t="n">
        <x:f>'Source Data'!F10</x:f>
        <x:v>154</x:v>
      </x:c>
      <x:c r="I10" s="8" t="n">
        <x:f>'Source Data'!H10</x:f>
        <x:v>181</x:v>
      </x:c>
      <x:c r="J10" s="14" t="n">
        <x:f>I10/H10-1</x:f>
        <x:v>0.17532467532467533</x:v>
      </x:c>
      <x:c r="K10" s="8" t="n">
        <x:f>H10*('Source Data'!H$8/'Source Data'!F$8)*EXP(F10*('Source Data'!H$7-'Source Data'!F$7))</x:f>
        <x:v>84.43237232359292</x:v>
      </x:c>
      <x:c r="L10" s="14" t="n">
        <x:f>I10/K10-1</x:f>
        <x:v>1.1437275184724758</x:v>
      </x:c>
      <x:c r="M10" s="8" t="n">
        <x:f>'Source Data'!G10</x:f>
        <x:v>128</x:v>
      </x:c>
      <x:c r="N10" s="8" t="n">
        <x:f>M10*('Source Data'!H$8/'Source Data'!G$8)*EXP(F10*('Source Data'!H$7-'Source Data'!G$7))</x:f>
        <x:v>81.7450547546535</x:v>
      </x:c>
      <x:c r="O10" s="14" t="n">
        <x:f>I10/N10-1</x:f>
        <x:v>1.2142012204071126</x:v>
      </x:c>
      <x:c r="P10" s="2" t="str"/>
    </x:row>
    <x:row r="11">
      <x:c r="A11" s="2" t="str">
        <x:f>'Source Data'!A11</x:f>
        <x:v>111150</x:v>
      </x:c>
      <x:c r="B11" s="2" t="str">
        <x:f>'Source Data'!B11</x:f>
        <x:v>Corn Farming</x:v>
      </x:c>
      <x:c r="C11" s="13" t="n">
        <x:f>LN('Source Data'!C11/'Source Data'!C$8)</x:f>
        <x:v>-10.891664160104611</x:v>
      </x:c>
      <x:c r="D11" s="13" t="n">
        <x:f>LN('Source Data'!D11/'Source Data'!D$8)</x:f>
        <x:v>-10.855922324556285</x:v>
      </x:c>
      <x:c r="E11" s="13" t="n">
        <x:f>LN('Source Data'!E11/'Source Data'!E$8)</x:f>
        <x:v>-11.006217868696634</x:v>
      </x:c>
      <x:c r="F11" s="13" t="n">
        <x:f>SLOPE(C11:E11,'Source Data'!C$7:E$7)</x:f>
        <x:v>-0.05727685429601159</x:v>
      </x:c>
      <x:c r="G11" s="14" t="n">
        <x:f>EXP(F11)-1</x:f>
        <x:v>-0.05566740936214298</x:v>
      </x:c>
      <x:c r="H11" s="8" t="n">
        <x:f>'Source Data'!F11</x:f>
        <x:v>244</x:v>
      </x:c>
      <x:c r="I11" s="8" t="n">
        <x:f>'Source Data'!H11</x:f>
        <x:v>360</x:v>
      </x:c>
      <x:c r="J11" s="14" t="n">
        <x:f>I11/H11-1</x:f>
        <x:v>0.47540983606557385</x:v>
      </x:c>
      <x:c r="K11" s="8" t="n">
        <x:f>H11*('Source Data'!H$8/'Source Data'!F$8)*EXP(F11*('Source Data'!H$7-'Source Data'!F$7))</x:f>
        <x:v>197.48227099701143</x:v>
      </x:c>
      <x:c r="L11" s="14" t="n">
        <x:f>I11/K11-1</x:f>
        <x:v>0.8229484509292888</x:v>
      </x:c>
      <x:c r="M11" s="8" t="n">
        <x:f>'Source Data'!G11</x:f>
        <x:v>229</x:v>
      </x:c>
      <x:c r="N11" s="8" t="n">
        <x:f>M11*('Source Data'!H$8/'Source Data'!G$8)*EXP(F11*('Source Data'!H$7-'Source Data'!G$7))</x:f>
        <x:v>195.86169712235144</x:v>
      </x:c>
      <x:c r="O11" s="14" t="n">
        <x:f>I11/N11-1</x:f>
        <x:v>0.8380316585080654</x:v>
      </x:c>
      <x:c r="P11" s="2" t="str"/>
    </x:row>
    <x:row r="12">
      <x:c r="A12" s="2" t="str">
        <x:f>'Source Data'!A12</x:f>
        <x:v>111160</x:v>
      </x:c>
      <x:c r="B12" s="2" t="str">
        <x:f>'Source Data'!B12</x:f>
        <x:v>Rice Farming</x:v>
      </x:c>
      <x:c r="C12" s="13" t="n">
        <x:f>LN('Source Data'!C12/'Source Data'!C$8)</x:f>
        <x:v>-9.390096174933763</x:v>
      </x:c>
      <x:c r="D12" s="13" t="n">
        <x:f>LN('Source Data'!D12/'Source Data'!D$8)</x:f>
        <x:v>-9.349483651594332</x:v>
      </x:c>
      <x:c r="E12" s="13" t="n">
        <x:f>LN('Source Data'!E12/'Source Data'!E$8)</x:f>
        <x:v>-9.42054182803748</x:v>
      </x:c>
      <x:c r="F12" s="13" t="n">
        <x:f>SLOPE(C12:E12,'Source Data'!C$7:E$7)</x:f>
        <x:v>-0.015222826551858581</x:v>
      </x:c>
      <x:c r="G12" s="14" t="n">
        <x:f>EXP(F12)-1</x:f>
        <x:v>-0.015107545039222625</x:v>
      </x:c>
      <x:c r="H12" s="8" t="n">
        <x:f>'Source Data'!F12</x:f>
        <x:v>1249</x:v>
      </x:c>
      <x:c r="I12" s="8" t="n">
        <x:f>'Source Data'!H12</x:f>
        <x:v>1211</x:v>
      </x:c>
      <x:c r="J12" s="14" t="n">
        <x:f>I12/H12-1</x:f>
        <x:v>-0.0304243394715773</x:v>
      </x:c>
      <x:c r="K12" s="8" t="n">
        <x:f>H12*('Source Data'!H$8/'Source Data'!F$8)*EXP(F12*('Source Data'!H$7-'Source Data'!F$7))</x:f>
        <x:v>1196.0685022715202</x:v>
      </x:c>
      <x:c r="L12" s="14" t="n">
        <x:f>I12/K12-1</x:f>
        <x:v>0.012483814848499586</x:v>
      </x:c>
      <x:c r="M12" s="8" t="n">
        <x:f>'Source Data'!G12</x:f>
        <x:v>1109</x:v>
      </x:c>
      <x:c r="N12" s="8" t="n">
        <x:f>M12*('Source Data'!H$8/'Source Data'!G$8)*EXP(F12*('Source Data'!H$7-'Source Data'!G$7))</x:f>
        <x:v>1076.0614516184053</x:v>
      </x:c>
      <x:c r="O12" s="14" t="n">
        <x:f>I12/N12-1</x:f>
        <x:v>0.12540041108121303</x:v>
      </x:c>
      <x:c r="P12" s="2" t="str"/>
    </x:row>
    <x:row r="13">
      <x:c r="A13" s="2" t="str">
        <x:f>'Source Data'!A13</x:f>
        <x:v>111191</x:v>
      </x:c>
      <x:c r="B13" s="2" t="str">
        <x:f>'Source Data'!B13</x:f>
        <x:v>Oilseed and Grain Combination Farming</x:v>
      </x:c>
      <x:c r="C13" s="13" t="n">
        <x:f>LN('Source Data'!C13/'Source Data'!C$8)</x:f>
        <x:v>-10.929983024406749</x:v>
      </x:c>
      <x:c r="D13" s="13" t="n">
        <x:f>LN('Source Data'!D13/'Source Data'!D$8)</x:f>
        <x:v>-10.859474726160654</x:v>
      </x:c>
      <x:c r="E13" s="13" t="n">
        <x:f>LN('Source Data'!E13/'Source Data'!E$8)</x:f>
        <x:v>-11.002177459159629</x:v>
      </x:c>
      <x:c r="F13" s="13" t="n">
        <x:f>SLOPE(C13:E13,'Source Data'!C$7:E$7)</x:f>
        <x:v>-0.03609721737644023</x:v>
      </x:c>
      <x:c r="G13" s="14" t="n">
        <x:f>EXP(F13)-1</x:f>
        <x:v>-0.03545348175705265</x:v>
      </x:c>
      <x:c r="H13" s="8" t="n">
        <x:f>'Source Data'!F13</x:f>
        <x:v>268</x:v>
      </x:c>
      <x:c r="I13" s="8" t="n">
        <x:f>'Source Data'!H13</x:f>
        <x:v>207</x:v>
      </x:c>
      <x:c r="J13" s="14" t="n">
        <x:f>I13/H13-1</x:f>
        <x:v>-0.2276119402985075</x:v>
      </x:c>
      <x:c r="K13" s="8" t="n">
        <x:f>H13*('Source Data'!H$8/'Source Data'!F$8)*EXP(F13*('Source Data'!H$7-'Source Data'!F$7))</x:f>
        <x:v>236.08363222955427</x:v>
      </x:c>
      <x:c r="L13" s="14" t="n">
        <x:f>I13/K13-1</x:f>
        <x:v>-0.12319207373628938</x:v>
      </x:c>
      <x:c r="M13" s="8" t="n">
        <x:f>'Source Data'!G13</x:f>
        <x:v>206</x:v>
      </x:c>
      <x:c r="N13" s="8" t="n">
        <x:f>M13*('Source Data'!H$8/'Source Data'!G$8)*EXP(F13*('Source Data'!H$7-'Source Data'!G$7))</x:f>
        <x:v>187.74822925956366</x:v>
      </x:c>
      <x:c r="O13" s="14" t="n">
        <x:f>I13/N13-1</x:f>
        <x:v>0.1025403585235447</x:v>
      </x:c>
      <x:c r="P13" s="2" t="str"/>
    </x:row>
    <x:row r="14">
      <x:c r="A14" s="2" t="str">
        <x:f>'Source Data'!A14</x:f>
        <x:v>111199</x:v>
      </x:c>
      <x:c r="B14" s="2" t="str">
        <x:f>'Source Data'!B14</x:f>
        <x:v>All Other Grain Farming</x:v>
      </x:c>
      <x:c r="C14" s="13" t="n">
        <x:f>LN('Source Data'!C14/'Source Data'!C$8)</x:f>
        <x:v>-11.51933341128505</x:v>
      </x:c>
      <x:c r="D14" s="13" t="n">
        <x:f>LN('Source Data'!D14/'Source Data'!D$8)</x:f>
        <x:v>-11.240334023466618</x:v>
      </x:c>
      <x:c r="E14" s="13" t="n">
        <x:f>LN('Source Data'!E14/'Source Data'!E$8)</x:f>
        <x:v>-11.403618416968067</x:v>
      </x:c>
      <x:c r="F14" s="13" t="n">
        <x:f>SLOPE(C14:E14,'Source Data'!C$7:E$7)</x:f>
        <x:v>0.05785749715849153</x:v>
      </x:c>
      <x:c r="G14" s="14" t="n">
        <x:f>EXP(F14)-1</x:f>
        <x:v>0.059563994071546444</x:v>
      </x:c>
      <x:c r="H14" s="8" t="n">
        <x:f>'Source Data'!F14</x:f>
        <x:v>307</x:v>
      </x:c>
      <x:c r="I14" s="8" t="n">
        <x:f>'Source Data'!H14</x:f>
        <x:v>206</x:v>
      </x:c>
      <x:c r="J14" s="14" t="n">
        <x:f>I14/H14-1</x:f>
        <x:v>-0.32899022801302935</x:v>
      </x:c>
      <x:c r="K14" s="8" t="n">
        <x:f>H14*('Source Data'!H$8/'Source Data'!F$8)*EXP(F14*('Source Data'!H$7-'Source Data'!F$7))</x:f>
        <x:v>393.80889018067916</x:v>
      </x:c>
      <x:c r="L14" s="14" t="n">
        <x:f>I14/K14-1</x:f>
        <x:v>-0.4769036323545479</x:v>
      </x:c>
      <x:c r="M14" s="8" t="n">
        <x:f>'Source Data'!G14</x:f>
        <x:v>322</x:v>
      </x:c>
      <x:c r="N14" s="8" t="n">
        <x:f>M14*('Source Data'!H$8/'Source Data'!G$8)*EXP(F14*('Source Data'!H$7-'Source Data'!G$7))</x:f>
        <x:v>389.0241327397493</x:v>
      </x:c>
      <x:c r="O14" s="14" t="n">
        <x:f>I14/N14-1</x:f>
        <x:v>-0.4704698689276159</x:v>
      </x:c>
      <x:c r="P14" s="2" t="str"/>
    </x:row>
    <x:row r="15">
      <x:c r="A15" s="2" t="str">
        <x:f>'Source Data'!A15</x:f>
        <x:v>111211</x:v>
      </x:c>
      <x:c r="B15" s="2" t="str">
        <x:f>'Source Data'!B15</x:f>
        <x:v>Potato Farming</x:v>
      </x:c>
      <x:c r="C15" s="13" t="n">
        <x:f>LN('Source Data'!C15/'Source Data'!C$8)</x:f>
        <x:v>-9.568405690237757</x:v>
      </x:c>
      <x:c r="D15" s="13" t="n">
        <x:f>LN('Source Data'!D15/'Source Data'!D$8)</x:f>
        <x:v>-9.016837232624875</x:v>
      </x:c>
      <x:c r="E15" s="13" t="n">
        <x:f>LN('Source Data'!E15/'Source Data'!E$8)</x:f>
        <x:v>-9.166375380711276</x:v>
      </x:c>
      <x:c r="F15" s="13" t="n">
        <x:f>SLOPE(C15:E15,'Source Data'!C$7:E$7)</x:f>
        <x:v>0.2010151547632404</x:v>
      </x:c>
      <x:c r="G15" s="14" t="n">
        <x:f>EXP(F15)-1</x:f>
        <x:v>0.2226433005526749</x:v>
      </x:c>
      <x:c r="H15" s="8" t="n">
        <x:f>'Source Data'!F15</x:f>
        <x:v>3106</x:v>
      </x:c>
      <x:c r="I15" s="8" t="n">
        <x:f>'Source Data'!H15</x:f>
        <x:v>1226</x:v>
      </x:c>
      <x:c r="J15" s="14" t="n">
        <x:f>I15/H15-1</x:f>
        <x:v>-0.6052801030264006</x:v>
      </x:c>
      <x:c r="K15" s="8" t="n">
        <x:f>H15*('Source Data'!H$8/'Source Data'!F$8)*EXP(F15*('Source Data'!H$7-'Source Data'!F$7))</x:f>
        <x:v>7063.808466310991</x:v>
      </x:c>
      <x:c r="L15" s="14" t="n">
        <x:f>I15/K15-1</x:f>
        <x:v>-0.8264392351736192</x:v>
      </x:c>
      <x:c r="M15" s="8" t="n">
        <x:f>'Source Data'!G15</x:f>
        <x:v>1515</x:v>
      </x:c>
      <x:c r="N15" s="8" t="n">
        <x:f>M15*('Source Data'!H$8/'Source Data'!G$8)*EXP(F15*('Source Data'!H$7-'Source Data'!G$7))</x:f>
        <x:v>2812.2313580106975</x:v>
      </x:c>
      <x:c r="O15" s="14" t="n">
        <x:f>I15/N15-1</x:f>
        <x:v>-0.5640472479237122</x:v>
      </x:c>
      <x:c r="P15" s="2" t="str"/>
    </x:row>
    <x:row r="16">
      <x:c r="A16" s="2" t="str">
        <x:f>'Source Data'!A16</x:f>
        <x:v>111219</x:v>
      </x:c>
      <x:c r="B16" s="2" t="str">
        <x:f>'Source Data'!B16</x:f>
        <x:v>Other Vegetable (except Potato) and Melon Farming</x:v>
      </x:c>
      <x:c r="C16" s="13" t="n">
        <x:f>LN('Source Data'!C16/'Source Data'!C$8)</x:f>
        <x:v>-6.328099483524465</x:v>
      </x:c>
      <x:c r="D16" s="13" t="n">
        <x:f>LN('Source Data'!D16/'Source Data'!D$8)</x:f>
        <x:v>-6.3455305448954835</x:v>
      </x:c>
      <x:c r="E16" s="13" t="n">
        <x:f>LN('Source Data'!E16/'Source Data'!E$8)</x:f>
        <x:v>-6.420176852617537</x:v>
      </x:c>
      <x:c r="F16" s="13" t="n">
        <x:f>SLOPE(C16:E16,'Source Data'!C$7:E$7)</x:f>
        <x:v>-0.046038684546536146</x:v>
      </x:c>
      <x:c r="G16" s="14" t="n">
        <x:f>EXP(F16)-1</x:f>
        <x:v>-0.04499498245991762</x:v>
      </x:c>
      <x:c r="H16" s="8" t="n">
        <x:f>'Source Data'!F16</x:f>
        <x:v>22442</x:v>
      </x:c>
      <x:c r="I16" s="8" t="n">
        <x:f>'Source Data'!H16</x:f>
        <x:v>20370</x:v>
      </x:c>
      <x:c r="J16" s="14" t="n">
        <x:f>I16/H16-1</x:f>
        <x:v>-0.09232688708671244</x:v>
      </x:c>
      <x:c r="K16" s="8" t="n">
        <x:f>H16*('Source Data'!H$8/'Source Data'!F$8)*EXP(F16*('Source Data'!H$7-'Source Data'!F$7))</x:f>
        <x:v>18998.641377369662</x:v>
      </x:c>
      <x:c r="L16" s="14" t="n">
        <x:f>I16/K16-1</x:f>
        <x:v>0.07218193108607429</x:v>
      </x:c>
      <x:c r="M16" s="8" t="n">
        <x:f>'Source Data'!G16</x:f>
        <x:v>20299</x:v>
      </x:c>
      <x:c r="N16" s="8" t="n">
        <x:f>M16*('Source Data'!H$8/'Source Data'!G$8)*EXP(F16*('Source Data'!H$7-'Source Data'!G$7))</x:f>
        <x:v>17956.872534787806</x:v>
      </x:c>
      <x:c r="O16" s="14" t="n">
        <x:f>I16/N16-1</x:f>
        <x:v>0.13438461850955652</x:v>
      </x:c>
      <x:c r="P16" s="2" t="str"/>
    </x:row>
    <x:row r="17">
      <x:c r="A17" s="2" t="str">
        <x:f>'Source Data'!A17</x:f>
        <x:v>111310</x:v>
      </x:c>
      <x:c r="B17" s="2" t="str">
        <x:f>'Source Data'!B17</x:f>
        <x:v>Orange Groves</x:v>
      </x:c>
      <x:c r="C17" s="13" t="n">
        <x:f>LN('Source Data'!C17/'Source Data'!C$8)</x:f>
        <x:v>-9.04504633032451</x:v>
      </x:c>
      <x:c r="D17" s="13" t="n">
        <x:f>LN('Source Data'!D17/'Source Data'!D$8)</x:f>
        <x:v>-9.058857803098537</x:v>
      </x:c>
      <x:c r="E17" s="13" t="n">
        <x:f>LN('Source Data'!E17/'Source Data'!E$8)</x:f>
        <x:v>-9.08965254824707</x:v>
      </x:c>
      <x:c r="F17" s="13" t="n">
        <x:f>SLOPE(C17:E17,'Source Data'!C$7:E$7)</x:f>
        <x:v>-0.02230310896127996</x:v>
      </x:c>
      <x:c r="G17" s="14" t="n">
        <x:f>EXP(F17)-1</x:f>
        <x:v>-0.022056233396927083</x:v>
      </x:c>
      <x:c r="H17" s="8" t="n">
        <x:f>'Source Data'!F17</x:f>
        <x:v>1693</x:v>
      </x:c>
      <x:c r="I17" s="8" t="n">
        <x:f>'Source Data'!H17</x:f>
        <x:v>2022</x:v>
      </x:c>
      <x:c r="J17" s="14" t="n">
        <x:f>I17/H17-1</x:f>
        <x:v>0.19432959243945658</x:v>
      </x:c>
      <x:c r="K17" s="8" t="n">
        <x:f>H17*('Source Data'!H$8/'Source Data'!F$8)*EXP(F17*('Source Data'!H$7-'Source Data'!F$7))</x:f>
        <x:v>1575.9805853269893</x:v>
      </x:c>
      <x:c r="L17" s="14" t="n">
        <x:f>I17/K17-1</x:f>
        <x:v>0.2830107292092492</x:v>
      </x:c>
      <x:c r="M17" s="8" t="n">
        <x:f>'Source Data'!G17</x:f>
        <x:v>1497</x:v>
      </x:c>
      <x:c r="N17" s="8" t="n">
        <x:f>M17*('Source Data'!H$8/'Source Data'!G$8)*EXP(F17*('Source Data'!H$7-'Source Data'!G$7))</x:f>
        <x:v>1422.009655040614</x:v>
      </x:c>
      <x:c r="O17" s="14" t="n">
        <x:f>I17/N17-1</x:f>
        <x:v>0.4219312736960634</x:v>
      </x:c>
      <x:c r="P17" s="2" t="str"/>
    </x:row>
    <x:row r="18">
      <x:c r="A18" s="2" t="str">
        <x:f>'Source Data'!A18</x:f>
        <x:v>111320</x:v>
      </x:c>
      <x:c r="B18" s="2" t="str">
        <x:f>'Source Data'!B18</x:f>
        <x:v>Citrus (except Orange) Groves</x:v>
      </x:c>
      <x:c r="C18" s="13" t="n">
        <x:f>LN('Source Data'!C18/'Source Data'!C$8)</x:f>
        <x:v>-8.98910785102317</x:v>
      </x:c>
      <x:c r="D18" s="13" t="n">
        <x:f>LN('Source Data'!D18/'Source Data'!D$8)</x:f>
        <x:v>-9.041952708002574</x:v>
      </x:c>
      <x:c r="E18" s="13" t="n">
        <x:f>LN('Source Data'!E18/'Source Data'!E$8)</x:f>
        <x:v>-9.163165105081028</x:v>
      </x:c>
      <x:c r="F18" s="13" t="n">
        <x:f>SLOPE(C18:E18,'Source Data'!C$7:E$7)</x:f>
        <x:v>-0.08702862702892844</x:v>
      </x:c>
      <x:c r="G18" s="14" t="n">
        <x:f>EXP(F18)-1</x:f>
        <x:v>-0.08334914573297447</x:v>
      </x:c>
      <x:c r="H18" s="8" t="n">
        <x:f>'Source Data'!F18</x:f>
        <x:v>1920</x:v>
      </x:c>
      <x:c r="I18" s="8" t="n">
        <x:f>'Source Data'!H18</x:f>
        <x:v>1769</x:v>
      </x:c>
      <x:c r="J18" s="14" t="n">
        <x:f>I18/H18-1</x:f>
        <x:v>-0.0786458333333333</x:v>
      </x:c>
      <x:c r="K18" s="8" t="n">
        <x:f>H18*('Source Data'!H$8/'Source Data'!F$8)*EXP(F18*('Source Data'!H$7-'Source Data'!F$7))</x:f>
        <x:v>1379.607009685945</x:v>
      </x:c>
      <x:c r="L18" s="14" t="n">
        <x:f>I18/K18-1</x:f>
        <x:v>0.28224921124653957</x:v>
      </x:c>
      <x:c r="M18" s="8" t="n">
        <x:f>'Source Data'!G18</x:f>
        <x:v>1517</x:v>
      </x:c>
      <x:c r="N18" s="8" t="n">
        <x:f>M18*('Source Data'!H$8/'Source Data'!G$8)*EXP(F18*('Source Data'!H$7-'Source Data'!G$7))</x:f>
        <x:v>1186.687914894257</x:v>
      </x:c>
      <x:c r="O18" s="14" t="n">
        <x:f>I18/N18-1</x:f>
        <x:v>0.4907036448227684</x:v>
      </x:c>
      <x:c r="P18" s="2" t="str"/>
    </x:row>
    <x:row r="19">
      <x:c r="A19" s="2" t="str">
        <x:f>'Source Data'!A19</x:f>
        <x:v>111331</x:v>
      </x:c>
      <x:c r="B19" s="2" t="str">
        <x:f>'Source Data'!B19</x:f>
        <x:v>Apple Orchards</x:v>
      </x:c>
      <x:c r="C19" s="13" t="n">
        <x:f>LN('Source Data'!C19/'Source Data'!C$8)</x:f>
        <x:v>-10.348291284772126</x:v>
      </x:c>
      <x:c r="D19" s="13" t="n">
        <x:f>LN('Source Data'!D19/'Source Data'!D$8)</x:f>
        <x:v>-10.625711606018983</x:v>
      </x:c>
      <x:c r="E19" s="13" t="n">
        <x:f>LN('Source Data'!E19/'Source Data'!E$8)</x:f>
        <x:v>-10.544344365534148</x:v>
      </x:c>
      <x:c r="F19" s="13" t="n">
        <x:f>SLOPE(C19:E19,'Source Data'!C$7:E$7)</x:f>
        <x:v>-0.098026540381011</x:v>
      </x:c>
      <x:c r="G19" s="14" t="n">
        <x:f>EXP(F19)-1</x:f>
        <x:v>-0.09337515873411273</x:v>
      </x:c>
      <x:c r="H19" s="8" t="n">
        <x:f>'Source Data'!F19</x:f>
        <x:v>379</x:v>
      </x:c>
      <x:c r="I19" s="8" t="n">
        <x:f>'Source Data'!H19</x:f>
        <x:v>296</x:v>
      </x:c>
      <x:c r="J19" s="14" t="n">
        <x:f>I19/H19-1</x:f>
        <x:v>-0.21899736147757254</x:v>
      </x:c>
      <x:c r="K19" s="8" t="n">
        <x:f>H19*('Source Data'!H$8/'Source Data'!F$8)*EXP(F19*('Source Data'!H$7-'Source Data'!F$7))</x:f>
        <x:v>260.60817879003974</x:v>
      </x:c>
      <x:c r="L19" s="14" t="n">
        <x:f>I19/K19-1</x:f>
        <x:v>0.13580472176383163</x:v>
      </x:c>
      <x:c r="M19" s="8" t="n">
        <x:f>'Source Data'!G19</x:f>
        <x:v>350</x:v>
      </x:c>
      <x:c r="N19" s="8" t="n">
        <x:f>M19*('Source Data'!H$8/'Source Data'!G$8)*EXP(F19*('Source Data'!H$7-'Source Data'!G$7))</x:f>
        <x:v>264.90489529871036</x:v>
      </x:c>
      <x:c r="O19" s="14" t="n">
        <x:f>I19/N19-1</x:f>
        <x:v>0.11738214450973583</x:v>
      </x:c>
      <x:c r="P19" s="2" t="str"/>
    </x:row>
    <x:row r="20">
      <x:c r="A20" s="2" t="str">
        <x:f>'Source Data'!A20</x:f>
        <x:v>111332</x:v>
      </x:c>
      <x:c r="B20" s="2" t="str">
        <x:f>'Source Data'!B20</x:f>
        <x:v>Grape Vineyards</x:v>
      </x:c>
      <x:c r="C20" s="13" t="n">
        <x:f>LN('Source Data'!C20/'Source Data'!C$8)</x:f>
        <x:v>-6.563258417749164</x:v>
      </x:c>
      <x:c r="D20" s="13" t="n">
        <x:f>LN('Source Data'!D20/'Source Data'!D$8)</x:f>
        <x:v>-6.6697660656051125</x:v>
      </x:c>
      <x:c r="E20" s="13" t="n">
        <x:f>LN('Source Data'!E20/'Source Data'!E$8)</x:f>
        <x:v>-6.716202206331805</x:v>
      </x:c>
      <x:c r="F20" s="13" t="n">
        <x:f>SLOPE(C20:E20,'Source Data'!C$7:E$7)</x:f>
        <x:v>-0.07647189429132029</x:v>
      </x:c>
      <x:c r="G20" s="14" t="n">
        <x:f>EXP(F20)-1</x:f>
        <x:v>-0.07362104954015347</x:v>
      </x:c>
      <x:c r="H20" s="8" t="n">
        <x:f>'Source Data'!F20</x:f>
        <x:v>14832</x:v>
      </x:c>
      <x:c r="I20" s="8" t="n">
        <x:f>'Source Data'!H20</x:f>
        <x:v>12345</x:v>
      </x:c>
      <x:c r="J20" s="14" t="n">
        <x:f>I20/H20-1</x:f>
        <x:v>-0.16767799352750812</x:v>
      </x:c>
      <x:c r="K20" s="8" t="n">
        <x:f>H20*('Source Data'!H$8/'Source Data'!F$8)*EXP(F20*('Source Data'!H$7-'Source Data'!F$7))</x:f>
        <x:v>11117.133054674256</x:v>
      </x:c>
      <x:c r="L20" s="14" t="n">
        <x:f>I20/K20-1</x:f>
        <x:v>0.11044816494388199</x:v>
      </x:c>
      <x:c r="M20" s="8" t="n">
        <x:f>'Source Data'!G20</x:f>
        <x:v>13700</x:v>
      </x:c>
      <x:c r="N20" s="8" t="n">
        <x:f>M20*('Source Data'!H$8/'Source Data'!G$8)*EXP(F20*('Source Data'!H$7-'Source Data'!G$7))</x:f>
        <x:v>11061.797356561654</x:v>
      </x:c>
      <x:c r="O20" s="14" t="n">
        <x:f>I20/N20-1</x:f>
        <x:v>0.11600308720871433</x:v>
      </x:c>
      <x:c r="P20" s="2" t="str"/>
    </x:row>
    <x:row r="21">
      <x:c r="A21" s="2" t="str">
        <x:f>'Source Data'!A21</x:f>
        <x:v>111333</x:v>
      </x:c>
      <x:c r="B21" s="2" t="str">
        <x:f>'Source Data'!B21</x:f>
        <x:v>Strawberry Farming</x:v>
      </x:c>
      <x:c r="C21" s="13" t="n">
        <x:f>LN('Source Data'!C21/'Source Data'!C$8)</x:f>
        <x:v>-6.505931993387506</x:v>
      </x:c>
      <x:c r="D21" s="13" t="n">
        <x:f>LN('Source Data'!D21/'Source Data'!D$8)</x:f>
        <x:v>-6.569356590264363</x:v>
      </x:c>
      <x:c r="E21" s="13" t="n">
        <x:f>LN('Source Data'!E21/'Source Data'!E$8)</x:f>
        <x:v>-6.741373488645745</x:v>
      </x:c>
      <x:c r="F21" s="13" t="n">
        <x:f>SLOPE(C21:E21,'Source Data'!C$7:E$7)</x:f>
        <x:v>-0.11772074762911933</x:v>
      </x:c>
      <x:c r="G21" s="14" t="n">
        <x:f>EXP(F21)-1</x:f>
        <x:v>-0.1110557422513746</x:v>
      </x:c>
      <x:c r="H21" s="8" t="n">
        <x:f>'Source Data'!F21</x:f>
        <x:v>20648</x:v>
      </x:c>
      <x:c r="I21" s="8" t="n">
        <x:f>'Source Data'!H21</x:f>
        <x:v>25389</x:v>
      </x:c>
      <x:c r="J21" s="14" t="n">
        <x:f>I21/H21-1</x:f>
        <x:v>0.22961061604029442</x:v>
      </x:c>
      <x:c r="K21" s="8" t="n">
        <x:f>H21*('Source Data'!H$8/'Source Data'!F$8)*EXP(F21*('Source Data'!H$7-'Source Data'!F$7))</x:f>
        <x:v>13122.436524711586</x:v>
      </x:c>
      <x:c r="L21" s="14" t="n">
        <x:f>I21/K21-1</x:f>
        <x:v>0.9347778861180673</x:v>
      </x:c>
      <x:c r="M21" s="8" t="n">
        <x:f>'Source Data'!G21</x:f>
        <x:v>16983</x:v>
      </x:c>
      <x:c r="N21" s="8" t="n">
        <x:f>M21*('Source Data'!H$8/'Source Data'!G$8)*EXP(F21*('Source Data'!H$7-'Source Data'!G$7))</x:f>
        <x:v>12116.497374867535</x:v>
      </x:c>
      <x:c r="O21" s="14" t="n">
        <x:f>I21/N21-1</x:f>
        <x:v>1.095407543492128</x:v>
      </x:c>
      <x:c r="P21" s="2" t="str"/>
    </x:row>
    <x:row r="22">
      <x:c r="A22" s="2" t="str">
        <x:f>'Source Data'!A22</x:f>
        <x:v>111334</x:v>
      </x:c>
      <x:c r="B22" s="2" t="str">
        <x:f>'Source Data'!B22</x:f>
        <x:v>Berry (except Strawberry) Farming</x:v>
      </x:c>
      <x:c r="C22" s="13" t="n">
        <x:f>LN('Source Data'!C22/'Source Data'!C$8)</x:f>
        <x:v>-7.551302888786426</x:v>
      </x:c>
      <x:c r="D22" s="13" t="n">
        <x:f>LN('Source Data'!D22/'Source Data'!D$8)</x:f>
        <x:v>-7.670361282973746</x:v>
      </x:c>
      <x:c r="E22" s="13" t="n">
        <x:f>LN('Source Data'!E22/'Source Data'!E$8)</x:f>
        <x:v>-7.678070159217044</x:v>
      </x:c>
      <x:c r="F22" s="13" t="n">
        <x:f>SLOPE(C22:E22,'Source Data'!C$7:E$7)</x:f>
        <x:v>-0.06338363521530876</x:v>
      </x:c>
      <x:c r="G22" s="14" t="n">
        <x:f>EXP(F22)-1</x:f>
        <x:v>-0.061416669006430946</x:v>
      </x:c>
      <x:c r="H22" s="8" t="n">
        <x:f>'Source Data'!F22</x:f>
        <x:v>7671</x:v>
      </x:c>
      <x:c r="I22" s="8" t="n">
        <x:f>'Source Data'!H22</x:f>
        <x:v>7782</x:v>
      </x:c>
      <x:c r="J22" s="14" t="n">
        <x:f>I22/H22-1</x:f>
        <x:v>0.014470082127493233</x:v>
      </x:c>
      <x:c r="K22" s="8" t="n">
        <x:f>H22*('Source Data'!H$8/'Source Data'!F$8)*EXP(F22*('Source Data'!H$7-'Source Data'!F$7))</x:f>
        <x:v>6058.731466538992</x:v>
      </x:c>
      <x:c r="L22" s="14" t="n">
        <x:f>I22/K22-1</x:f>
        <x:v>0.28442728366131287</x:v>
      </x:c>
      <x:c r="M22" s="8" t="n">
        <x:f>'Source Data'!G22</x:f>
        <x:v>6238</x:v>
      </x:c>
      <x:c r="N22" s="8" t="n">
        <x:f>M22*('Source Data'!H$8/'Source Data'!G$8)*EXP(F22*('Source Data'!H$7-'Source Data'!G$7))</x:f>
        <x:v>5238.4521061560845</x:v>
      </x:c>
      <x:c r="O22" s="14" t="n">
        <x:f>I22/N22-1</x:f>
        <x:v>0.48555333566089276</x:v>
      </x:c>
      <x:c r="P22" s="2" t="str"/>
    </x:row>
    <x:row r="23">
      <x:c r="A23" s="2" t="str">
        <x:f>'Source Data'!A23</x:f>
        <x:v>111335</x:v>
      </x:c>
      <x:c r="B23" s="2" t="str">
        <x:f>'Source Data'!B23</x:f>
        <x:v>Tree Nut Farming</x:v>
      </x:c>
      <x:c r="C23" s="13" t="n">
        <x:f>LN('Source Data'!C23/'Source Data'!C$8)</x:f>
        <x:v>-6.822508887681301</x:v>
      </x:c>
      <x:c r="D23" s="13" t="n">
        <x:f>LN('Source Data'!D23/'Source Data'!D$8)</x:f>
        <x:v>-6.864445983135983</x:v>
      </x:c>
      <x:c r="E23" s="13" t="n">
        <x:f>LN('Source Data'!E23/'Source Data'!E$8)</x:f>
        <x:v>-6.845186285300385</x:v>
      </x:c>
      <x:c r="F23" s="13" t="n">
        <x:f>SLOPE(C23:E23,'Source Data'!C$7:E$7)</x:f>
        <x:v>-0.01133869880954208</x:v>
      </x:c>
      <x:c r="G23" s="14" t="n">
        <x:f>EXP(F23)-1</x:f>
        <x:v>-0.011274658039065799</x:v>
      </x:c>
      <x:c r="H23" s="8" t="n">
        <x:f>'Source Data'!F23</x:f>
        <x:v>15662</x:v>
      </x:c>
      <x:c r="I23" s="8" t="n">
        <x:f>'Source Data'!H23</x:f>
        <x:v>11331</x:v>
      </x:c>
      <x:c r="J23" s="14" t="n">
        <x:f>I23/H23-1</x:f>
        <x:v>-0.27652917890435447</x:v>
      </x:c>
      <x:c r="K23" s="8" t="n">
        <x:f>H23*('Source Data'!H$8/'Source Data'!F$8)*EXP(F23*('Source Data'!H$7-'Source Data'!F$7))</x:f>
        <x:v>15233.098695459688</x:v>
      </x:c>
      <x:c r="L23" s="14" t="n">
        <x:f>I23/K23-1</x:f>
        <x:v>-0.25615922101408894</x:v>
      </x:c>
      <x:c r="M23" s="8" t="n">
        <x:f>'Source Data'!G23</x:f>
        <x:v>14517</x:v>
      </x:c>
      <x:c r="N23" s="8" t="n">
        <x:f>M23*('Source Data'!H$8/'Source Data'!G$8)*EXP(F23*('Source Data'!H$7-'Source Data'!G$7))</x:f>
        <x:v>14250.922231440205</x:v>
      </x:c>
      <x:c r="O23" s="14" t="n">
        <x:f>I23/N23-1</x:f>
        <x:v>-0.20489356295821404</x:v>
      </x:c>
      <x:c r="P23" s="2" t="str"/>
    </x:row>
    <x:row r="24">
      <x:c r="A24" s="2" t="str">
        <x:f>'Source Data'!A24</x:f>
        <x:v>111336</x:v>
      </x:c>
      <x:c r="B24" s="2" t="str">
        <x:f>'Source Data'!B24</x:f>
        <x:v>Fruit and Tree Nut Combination Farming</x:v>
      </x:c>
      <x:c r="C24" s="13" t="n">
        <x:f>LN('Source Data'!C24/'Source Data'!C$8)</x:f>
        <x:v>-8.249925144784642</x:v>
      </x:c>
      <x:c r="D24" s="13" t="n">
        <x:f>LN('Source Data'!D24/'Source Data'!D$8)</x:f>
        <x:v>-8.266985831296164</x:v>
      </x:c>
      <x:c r="E24" s="13" t="n">
        <x:f>LN('Source Data'!E24/'Source Data'!E$8)</x:f>
        <x:v>-8.29708862783502</x:v>
      </x:c>
      <x:c r="F24" s="13" t="n">
        <x:f>SLOPE(C24:E24,'Source Data'!C$7:E$7)</x:f>
        <x:v>-0.023581741525188882</x:v>
      </x:c>
      <x:c r="G24" s="14" t="n">
        <x:f>EXP(F24)-1</x:f>
        <x:v>-0.023305865062455244</x:v>
      </x:c>
      <x:c r="H24" s="8" t="n">
        <x:f>'Source Data'!F24</x:f>
        <x:v>3175</x:v>
      </x:c>
      <x:c r="I24" s="8" t="n">
        <x:f>'Source Data'!H24</x:f>
        <x:v>3401</x:v>
      </x:c>
      <x:c r="J24" s="14" t="n">
        <x:f>I24/H24-1</x:f>
        <x:v>0.07118110236220465</x:v>
      </x:c>
      <x:c r="K24" s="8" t="n">
        <x:f>H24*('Source Data'!H$8/'Source Data'!F$8)*EXP(F24*('Source Data'!H$7-'Source Data'!F$7))</x:f>
        <x:v>2940.467761784435</x:v>
      </x:c>
      <x:c r="L24" s="14" t="n">
        <x:f>I24/K24-1</x:f>
        <x:v>0.1566186999908099</x:v>
      </x:c>
      <x:c r="M24" s="8" t="n">
        <x:f>'Source Data'!G24</x:f>
        <x:v>3109</x:v>
      </x:c>
      <x:c r="N24" s="8" t="n">
        <x:f>M24*('Source Data'!H$8/'Source Data'!G$8)*EXP(F24*('Source Data'!H$7-'Source Data'!G$7))</x:f>
        <x:v>2941.9518306973187</x:v>
      </x:c>
      <x:c r="O24" s="14" t="n">
        <x:f>I24/N24-1</x:f>
        <x:v>0.15603524317183504</x:v>
      </x:c>
      <x:c r="P24" s="2" t="str"/>
    </x:row>
    <x:row r="25">
      <x:c r="A25" s="2" t="str">
        <x:f>'Source Data'!A25</x:f>
        <x:v>111339</x:v>
      </x:c>
      <x:c r="B25" s="2" t="str">
        <x:f>'Source Data'!B25</x:f>
        <x:v>Other Noncitrus Fruit Farming</x:v>
      </x:c>
      <x:c r="C25" s="13" t="n">
        <x:f>LN('Source Data'!C25/'Source Data'!C$8)</x:f>
        <x:v>-7.190640698735876</x:v>
      </x:c>
      <x:c r="D25" s="13" t="n">
        <x:f>LN('Source Data'!D25/'Source Data'!D$8)</x:f>
        <x:v>-7.3239455605288315</x:v>
      </x:c>
      <x:c r="E25" s="13" t="n">
        <x:f>LN('Source Data'!E25/'Source Data'!E$8)</x:f>
        <x:v>-7.392568161751225</x:v>
      </x:c>
      <x:c r="F25" s="13" t="n">
        <x:f>SLOPE(C25:E25,'Source Data'!C$7:E$7)</x:f>
        <x:v>-0.10096373150767413</x:v>
      </x:c>
      <x:c r="G25" s="14" t="n">
        <x:f>EXP(F25)-1</x:f>
        <x:v>-0.09603418223134408</x:v>
      </x:c>
      <x:c r="H25" s="8" t="n">
        <x:f>'Source Data'!F25</x:f>
        <x:v>8166</x:v>
      </x:c>
      <x:c r="I25" s="8" t="n">
        <x:f>'Source Data'!H25</x:f>
        <x:v>7405</x:v>
      </x:c>
      <x:c r="J25" s="14" t="n">
        <x:f>I25/H25-1</x:f>
        <x:v>-0.09319128092089146</x:v>
      </x:c>
      <x:c r="K25" s="8" t="n">
        <x:f>H25*('Source Data'!H$8/'Source Data'!F$8)*EXP(F25*('Source Data'!H$7-'Source Data'!F$7))</x:f>
        <x:v>5549.524630709974</x:v>
      </x:c>
      <x:c r="L25" s="14" t="n">
        <x:f>I25/K25-1</x:f>
        <x:v>0.3343485240199118</x:v>
      </x:c>
      <x:c r="M25" s="8" t="n">
        <x:f>'Source Data'!G25</x:f>
        <x:v>6555</x:v>
      </x:c>
      <x:c r="N25" s="8" t="n">
        <x:f>M25*('Source Data'!H$8/'Source Data'!G$8)*EXP(F25*('Source Data'!H$7-'Source Data'!G$7))</x:f>
        <x:v>4917.765522551338</x:v>
      </x:c>
      <x:c r="O25" s="14" t="n">
        <x:f>I25/N25-1</x:f>
        <x:v>0.5057651622556993</x:v>
      </x:c>
      <x:c r="P25" s="2" t="str"/>
    </x:row>
    <x:row r="26">
      <x:c r="A26" s="2" t="str">
        <x:f>'Source Data'!A26</x:f>
        <x:v>111411</x:v>
      </x:c>
      <x:c r="B26" s="2" t="str">
        <x:f>'Source Data'!B26</x:f>
        <x:v>Mushroom Production</x:v>
      </x:c>
      <x:c r="C26" s="13" t="n">
        <x:f>LN('Source Data'!C26/'Source Data'!C$8)</x:f>
        <x:v>-8.694021959041295</x:v>
      </x:c>
      <x:c r="D26" s="13" t="n">
        <x:f>LN('Source Data'!D26/'Source Data'!D$8)</x:f>
        <x:v>-8.745494232192108</x:v>
      </x:c>
      <x:c r="E26" s="13" t="n">
        <x:f>LN('Source Data'!E26/'Source Data'!E$8)</x:f>
        <x:v>-8.78192263454871</x:v>
      </x:c>
      <x:c r="F26" s="13" t="n">
        <x:f>SLOPE(C26:E26,'Source Data'!C$7:E$7)</x:f>
        <x:v>-0.04395033775370738</x:v>
      </x:c>
      <x:c r="G26" s="14" t="n">
        <x:f>EXP(F26)-1</x:f>
        <x:v>-0.042998516863720804</x:v>
      </x:c>
      <x:c r="H26" s="8" t="n">
        <x:f>'Source Data'!F26</x:f>
        <x:v>2052</x:v>
      </x:c>
      <x:c r="I26" s="8" t="n">
        <x:f>'Source Data'!H26</x:f>
        <x:v>1465</x:v>
      </x:c>
      <x:c r="J26" s="14" t="n">
        <x:f>I26/H26-1</x:f>
        <x:v>-0.28606237816764135</x:v>
      </x:c>
      <x:c r="K26" s="8" t="n">
        <x:f>H26*('Source Data'!H$8/'Source Data'!F$8)*EXP(F26*('Source Data'!H$7-'Source Data'!F$7))</x:f>
        <x:v>1751.7259891448068</x:v>
      </x:c>
      <x:c r="L26" s="14" t="n">
        <x:f>I26/K26-1</x:f>
        <x:v>-0.16368198617912066</x:v>
      </x:c>
      <x:c r="M26" s="8" t="n">
        <x:f>'Source Data'!G26</x:f>
        <x:v>2149</x:v>
      </x:c>
      <x:c r="N26" s="8" t="n">
        <x:f>M26*('Source Data'!H$8/'Source Data'!G$8)*EXP(F26*('Source Data'!H$7-'Source Data'!G$7))</x:f>
        <x:v>1912.9928387109408</x:v>
      </x:c>
      <x:c r="O26" s="14" t="n">
        <x:f>I26/N26-1</x:f>
        <x:v>-0.23418427379624596</x:v>
      </x:c>
      <x:c r="P26" s="2" t="str"/>
    </x:row>
    <x:row r="27">
      <x:c r="A27" s="2" t="str">
        <x:f>'Source Data'!A27</x:f>
        <x:v>111419</x:v>
      </x:c>
      <x:c r="B27" s="2" t="str">
        <x:f>'Source Data'!B27</x:f>
        <x:v>Other Food Crops Grown Under Cover</x:v>
      </x:c>
      <x:c r="C27" s="13" t="n">
        <x:f>LN('Source Data'!C27/'Source Data'!C$8)</x:f>
        <x:v>-8.896503618291549</x:v>
      </x:c>
      <x:c r="D27" s="13" t="n">
        <x:f>LN('Source Data'!D27/'Source Data'!D$8)</x:f>
        <x:v>-8.884998365087043</x:v>
      </x:c>
      <x:c r="E27" s="13" t="n">
        <x:f>LN('Source Data'!E27/'Source Data'!E$8)</x:f>
        <x:v>-8.6883653035718</x:v>
      </x:c>
      <x:c r="F27" s="13" t="n">
        <x:f>SLOPE(C27:E27,'Source Data'!C$7:E$7)</x:f>
        <x:v>0.10406915735987443</x:v>
      </x:c>
      <x:c r="G27" s="14" t="n">
        <x:f>EXP(F27)-1</x:f>
        <x:v>0.10967719460708669</x:v>
      </x:c>
      <x:c r="H27" s="8" t="n">
        <x:f>'Source Data'!F27</x:f>
        <x:v>4844</x:v>
      </x:c>
      <x:c r="I27" s="8" t="n">
        <x:f>'Source Data'!H27</x:f>
        <x:v>4080</x:v>
      </x:c>
      <x:c r="J27" s="14" t="n">
        <x:f>I27/H27-1</x:f>
        <x:v>-0.1577208918249381</x:v>
      </x:c>
      <x:c r="K27" s="8" t="n">
        <x:f>H27*('Source Data'!H$8/'Source Data'!F$8)*EXP(F27*('Source Data'!H$7-'Source Data'!F$7))</x:f>
        <x:v>7475.309030008194</x:v>
      </x:c>
      <x:c r="L27" s="14" t="n">
        <x:f>I27/K27-1</x:f>
        <x:v>-0.45420316623411516</x:v>
      </x:c>
      <x:c r="M27" s="8" t="n">
        <x:f>'Source Data'!G27</x:f>
        <x:v>4664</x:v>
      </x:c>
      <x:c r="N27" s="8" t="n">
        <x:f>M27*('Source Data'!H$8/'Source Data'!G$8)*EXP(F27*('Source Data'!H$7-'Source Data'!G$7))</x:f>
        <x:v>6472.731920625681</x:v>
      </x:c>
      <x:c r="O27" s="14" t="n">
        <x:f>I27/N27-1</x:f>
        <x:v>-0.3696633739767782</x:v>
      </x:c>
      <x:c r="P27" s="2" t="str"/>
    </x:row>
    <x:row r="28">
      <x:c r="A28" s="2" t="str">
        <x:f>'Source Data'!A28</x:f>
        <x:v>111421</x:v>
      </x:c>
      <x:c r="B28" s="2" t="str">
        <x:f>'Source Data'!B28</x:f>
        <x:v>Nursery and Tree Production</x:v>
      </x:c>
      <x:c r="C28" s="13" t="n">
        <x:f>LN('Source Data'!C28/'Source Data'!C$8)</x:f>
        <x:v>-6.93883119030376</x:v>
      </x:c>
      <x:c r="D28" s="13" t="n">
        <x:f>LN('Source Data'!D28/'Source Data'!D$8)</x:f>
        <x:v>-7.0032880029030915</x:v>
      </x:c>
      <x:c r="E28" s="13" t="n">
        <x:f>LN('Source Data'!E28/'Source Data'!E$8)</x:f>
        <x:v>-6.952568790778919</x:v>
      </x:c>
      <x:c r="F28" s="13" t="n">
        <x:f>SLOPE(C28:E28,'Source Data'!C$7:E$7)</x:f>
        <x:v>-0.006868800237579631</x:v>
      </x:c>
      <x:c r="G28" s="14" t="n">
        <x:f>EXP(F28)-1</x:f>
        <x:v>-0.0068452639487482925</x:v>
      </x:c>
      <x:c r="H28" s="8" t="n">
        <x:f>'Source Data'!F28</x:f>
        <x:v>15741</x:v>
      </x:c>
      <x:c r="I28" s="8" t="n">
        <x:f>'Source Data'!H28</x:f>
        <x:v>12686</x:v>
      </x:c>
      <x:c r="J28" s="14" t="n">
        <x:f>I28/H28-1</x:f>
        <x:v>-0.1940791563433073</x:v>
      </x:c>
      <x:c r="K28" s="8" t="n">
        <x:f>H28*('Source Data'!H$8/'Source Data'!F$8)*EXP(F28*('Source Data'!H$7-'Source Data'!F$7))</x:f>
        <x:v>15586.132514293466</x:v>
      </x:c>
      <x:c r="L28" s="14" t="n">
        <x:f>I28/K28-1</x:f>
        <x:v>-0.18607133691657385</x:v>
      </x:c>
      <x:c r="M28" s="8" t="n">
        <x:f>'Source Data'!G28</x:f>
        <x:v>13818</x:v>
      </x:c>
      <x:c r="N28" s="8" t="n">
        <x:f>M28*('Source Data'!H$8/'Source Data'!G$8)*EXP(F28*('Source Data'!H$7-'Source Data'!G$7))</x:f>
        <x:v>13747.85802420163</x:v>
      </x:c>
      <x:c r="O28" s="14" t="n">
        <x:f>I28/N28-1</x:f>
        <x:v>-0.0772380702748271</x:v>
      </x:c>
      <x:c r="P28" s="2" t="str"/>
    </x:row>
    <x:row r="29">
      <x:c r="A29" s="2" t="str">
        <x:f>'Source Data'!A29</x:f>
        <x:v>111422</x:v>
      </x:c>
      <x:c r="B29" s="2" t="str">
        <x:f>'Source Data'!B29</x:f>
        <x:v>Floriculture Production</x:v>
      </x:c>
      <x:c r="C29" s="13" t="n">
        <x:f>LN('Source Data'!C29/'Source Data'!C$8)</x:f>
        <x:v>-7.53191553575352</x:v>
      </x:c>
      <x:c r="D29" s="13" t="n">
        <x:f>LN('Source Data'!D29/'Source Data'!D$8)</x:f>
        <x:v>-7.560216804188187</x:v>
      </x:c>
      <x:c r="E29" s="13" t="n">
        <x:f>LN('Source Data'!E29/'Source Data'!E$8)</x:f>
        <x:v>-7.600173950891948</x:v>
      </x:c>
      <x:c r="F29" s="13" t="n">
        <x:f>SLOPE(C29:E29,'Source Data'!C$7:E$7)</x:f>
        <x:v>-0.03412920756921389</x:v>
      </x:c>
      <x:c r="G29" s="14" t="n">
        <x:f>EXP(F29)-1</x:f>
        <x:v>-0.03355337564916605</x:v>
      </x:c>
      <x:c r="H29" s="8" t="n">
        <x:f>'Source Data'!F29</x:f>
        <x:v>6571</x:v>
      </x:c>
      <x:c r="I29" s="8" t="n">
        <x:f>'Source Data'!H29</x:f>
        <x:v>4961</x:v>
      </x:c>
      <x:c r="J29" s="14" t="n">
        <x:f>I29/H29-1</x:f>
        <x:v>-0.245015979302998</x:v>
      </x:c>
      <x:c r="K29" s="8" t="n">
        <x:f>H29*('Source Data'!H$8/'Source Data'!F$8)*EXP(F29*('Source Data'!H$7-'Source Data'!F$7))</x:f>
        <x:v>5834.200292197517</x:v>
      </x:c>
      <x:c r="L29" s="14" t="n">
        <x:f>I29/K29-1</x:f>
        <x:v>-0.14966923459335268</x:v>
      </x:c>
      <x:c r="M29" s="8" t="n">
        <x:f>'Source Data'!G29</x:f>
        <x:v>6033</x:v>
      </x:c>
      <x:c r="N29" s="8" t="n">
        <x:f>M29*('Source Data'!H$8/'Source Data'!G$8)*EXP(F29*('Source Data'!H$7-'Source Data'!G$7))</x:f>
        <x:v>5531.0303558933965</x:v>
      </x:c>
      <x:c r="O29" s="14" t="n">
        <x:f>I29/N29-1</x:f>
        <x:v>-0.10306042802423254</x:v>
      </x:c>
      <x:c r="P29" s="2" t="str"/>
    </x:row>
    <x:row r="30">
      <x:c r="A30" s="2" t="str">
        <x:f>'Source Data'!A30</x:f>
        <x:v>111940</x:v>
      </x:c>
      <x:c r="B30" s="2" t="str">
        <x:f>'Source Data'!B30</x:f>
        <x:v>Hay Farming</x:v>
      </x:c>
      <x:c r="C30" s="13" t="n">
        <x:f>LN('Source Data'!C30/'Source Data'!C$8)</x:f>
        <x:v>-8.67745843336962</x:v>
      </x:c>
      <x:c r="D30" s="13" t="n">
        <x:f>LN('Source Data'!D30/'Source Data'!D$8)</x:f>
        <x:v>-8.715856161060016</x:v>
      </x:c>
      <x:c r="E30" s="13" t="n">
        <x:f>LN('Source Data'!E30/'Source Data'!E$8)</x:f>
        <x:v>-8.718314931777138</x:v>
      </x:c>
      <x:c r="F30" s="13" t="n">
        <x:f>SLOPE(C30:E30,'Source Data'!C$7:E$7)</x:f>
        <x:v>-0.020428249203758853</x:v>
      </x:c>
      <x:c r="G30" s="14" t="n">
        <x:f>EXP(F30)-1</x:f>
        <x:v>-0.02022100612450861</x:v>
      </x:c>
      <x:c r="H30" s="8" t="n">
        <x:f>'Source Data'!F30</x:f>
        <x:v>2479</x:v>
      </x:c>
      <x:c r="I30" s="8" t="n">
        <x:f>'Source Data'!H30</x:f>
        <x:v>2263</x:v>
      </x:c>
      <x:c r="J30" s="14" t="n">
        <x:f>I30/H30-1</x:f>
        <x:v>-0.08713190802743043</x:v>
      </x:c>
      <x:c r="K30" s="8" t="n">
        <x:f>H30*('Source Data'!H$8/'Source Data'!F$8)*EXP(F30*('Source Data'!H$7-'Source Data'!F$7))</x:f>
        <x:v>2325.0237669635644</x:v>
      </x:c>
      <x:c r="L30" s="14" t="n">
        <x:f>I30/K30-1</x:f>
        <x:v>-0.026676616318880186</x:v>
      </x:c>
      <x:c r="M30" s="8" t="n">
        <x:f>'Source Data'!G30</x:f>
        <x:v>2420</x:v>
      </x:c>
      <x:c r="N30" s="8" t="n">
        <x:f>M30*('Source Data'!H$8/'Source Data'!G$8)*EXP(F30*('Source Data'!H$7-'Source Data'!G$7))</x:f>
        <x:v>2311.739184843645</x:v>
      </x:c>
      <x:c r="O30" s="14" t="n">
        <x:f>I30/N30-1</x:f>
        <x:v>-0.021083340700019937</x:v>
      </x:c>
      <x:c r="P30" s="2" t="str"/>
    </x:row>
    <x:row r="31">
      <x:c r="A31" s="2" t="str">
        <x:f>'Source Data'!A31</x:f>
        <x:v>112111</x:v>
      </x:c>
      <x:c r="B31" s="2" t="str">
        <x:f>'Source Data'!B31</x:f>
        <x:v>Beef Cattle Ranching and Farming</x:v>
      </x:c>
      <x:c r="C31" s="13" t="n">
        <x:f>LN('Source Data'!C31/'Source Data'!C$8)</x:f>
        <x:v>-8.150096775255113</x:v>
      </x:c>
      <x:c r="D31" s="13" t="n">
        <x:f>LN('Source Data'!D31/'Source Data'!D$8)</x:f>
        <x:v>-8.139866429648718</x:v>
      </x:c>
      <x:c r="E31" s="13" t="n">
        <x:f>LN('Source Data'!E31/'Source Data'!E$8)</x:f>
        <x:v>-8.22606672070047</x:v>
      </x:c>
      <x:c r="F31" s="13" t="n">
        <x:f>SLOPE(C31:E31,'Source Data'!C$7:E$7)</x:f>
        <x:v>-0.0379849727226782</x:v>
      </x:c>
      <x:c r="G31" s="14" t="n">
        <x:f>EXP(F31)-1</x:f>
        <x:v>-0.03727259204575639</x:v>
      </x:c>
      <x:c r="H31" s="8" t="n">
        <x:f>'Source Data'!F31</x:f>
        <x:v>4350</x:v>
      </x:c>
      <x:c r="I31" s="8" t="n">
        <x:f>'Source Data'!H31</x:f>
        <x:v>4115</x:v>
      </x:c>
      <x:c r="J31" s="14" t="n">
        <x:f>I31/H31-1</x:f>
        <x:v>-0.05402298850574716</x:v>
      </x:c>
      <x:c r="K31" s="8" t="n">
        <x:f>H31*('Source Data'!H$8/'Source Data'!F$8)*EXP(F31*('Source Data'!H$7-'Source Data'!F$7))</x:f>
        <x:v>3803.1282787328987</x:v>
      </x:c>
      <x:c r="L31" s="14" t="n">
        <x:f>I31/K31-1</x:f>
        <x:v>0.08200399734373631</x:v>
      </x:c>
      <x:c r="M31" s="8" t="n">
        <x:f>'Source Data'!G31</x:f>
        <x:v>4068</x:v>
      </x:c>
      <x:c r="N31" s="8" t="n">
        <x:f>M31*('Source Data'!H$8/'Source Data'!G$8)*EXP(F31*('Source Data'!H$7-'Source Data'!G$7))</x:f>
        <x:v>3686.6342062916196</x:v>
      </x:c>
      <x:c r="O31" s="14" t="n">
        <x:f>I31/N31-1</x:f>
        <x:v>0.116194276334042</x:v>
      </x:c>
      <x:c r="P31" s="2" t="str"/>
    </x:row>
    <x:row r="32">
      <x:c r="A32" s="2" t="str">
        <x:f>'Source Data'!A32</x:f>
        <x:v>112112</x:v>
      </x:c>
      <x:c r="B32" s="2" t="str">
        <x:f>'Source Data'!B32</x:f>
        <x:v>Cattle Feedlots</x:v>
      </x:c>
      <x:c r="C32" s="13" t="n">
        <x:f>LN('Source Data'!C32/'Source Data'!C$8)</x:f>
        <x:v>-10.016822185541521</x:v>
      </x:c>
      <x:c r="D32" s="13" t="n">
        <x:f>LN('Source Data'!D32/'Source Data'!D$8)</x:f>
        <x:v>-10.05688285486148</x:v>
      </x:c>
      <x:c r="E32" s="13" t="n">
        <x:f>LN('Source Data'!E32/'Source Data'!E$8)</x:f>
        <x:v>-10.041715508972336</x:v>
      </x:c>
      <x:c r="F32" s="13" t="n">
        <x:f>SLOPE(C32:E32,'Source Data'!C$7:E$7)</x:f>
        <x:v>-0.012446661715407537</x:v>
      </x:c>
      <x:c r="G32" s="14" t="n">
        <x:f>EXP(F32)-1</x:f>
        <x:v>-0.012369522395497712</x:v>
      </x:c>
      <x:c r="H32" s="8" t="n">
        <x:f>'Source Data'!F32</x:f>
        <x:v>656</x:v>
      </x:c>
      <x:c r="I32" s="8" t="n">
        <x:f>'Source Data'!H32</x:f>
        <x:v>633</x:v>
      </x:c>
      <x:c r="J32" s="14" t="n">
        <x:f>I32/H32-1</x:f>
        <x:v>-0.03506097560975607</x:v>
      </x:c>
      <x:c r="K32" s="8" t="n">
        <x:f>H32*('Source Data'!H$8/'Source Data'!F$8)*EXP(F32*('Source Data'!H$7-'Source Data'!F$7))</x:f>
        <x:v>635.2141252573044</x:v>
      </x:c>
      <x:c r="L32" s="14" t="n">
        <x:f>I32/K32-1</x:f>
        <x:v>-0.0034856360544683884</x:v>
      </x:c>
      <x:c r="M32" s="8" t="n">
        <x:f>'Source Data'!G32</x:f>
        <x:v>624</x:v>
      </x:c>
      <x:c r="N32" s="8" t="n">
        <x:f>M32*('Source Data'!H$8/'Source Data'!G$8)*EXP(F32*('Source Data'!H$7-'Source Data'!G$7))</x:f>
        <x:v>610.5301791272801</x:v>
      </x:c>
      <x:c r="O32" s="14" t="n">
        <x:f>I32/N32-1</x:f>
        <x:v>0.03680378405673457</x:v>
      </x:c>
      <x:c r="P32" s="2" t="str"/>
    </x:row>
    <x:row r="33">
      <x:c r="A33" s="2" t="str">
        <x:f>'Source Data'!A33</x:f>
        <x:v>112120</x:v>
      </x:c>
      <x:c r="B33" s="2" t="str">
        <x:f>'Source Data'!B33</x:f>
        <x:v>Dairy Cattle and Milk Production</x:v>
      </x:c>
      <x:c r="C33" s="13" t="n">
        <x:f>LN('Source Data'!C33/'Source Data'!C$8)</x:f>
        <x:v>-6.679035434678682</x:v>
      </x:c>
      <x:c r="D33" s="13" t="n">
        <x:f>LN('Source Data'!D33/'Source Data'!D$8)</x:f>
        <x:v>-6.706111743801281</x:v>
      </x:c>
      <x:c r="E33" s="13" t="n">
        <x:f>LN('Source Data'!E33/'Source Data'!E$8)</x:f>
        <x:v>-6.74582148867999</x:v>
      </x:c>
      <x:c r="F33" s="13" t="n">
        <x:f>SLOPE(C33:E33,'Source Data'!C$7:E$7)</x:f>
        <x:v>-0.03339302700065394</x:v>
      </x:c>
      <x:c r="G33" s="14" t="n">
        <x:f>EXP(F33)-1</x:f>
        <x:v>-0.032841634470900716</x:v>
      </x:c>
      <x:c r="H33" s="8" t="n">
        <x:f>'Source Data'!F33</x:f>
        <x:v>17354</x:v>
      </x:c>
      <x:c r="I33" s="8" t="n">
        <x:f>'Source Data'!H33</x:f>
        <x:v>16092</x:v>
      </x:c>
      <x:c r="J33" s="14" t="n">
        <x:f>I33/H33-1</x:f>
        <x:v>-0.07272098651607695</x:v>
      </x:c>
      <x:c r="K33" s="8" t="n">
        <x:f>H33*('Source Data'!H$8/'Source Data'!F$8)*EXP(F33*('Source Data'!H$7-'Source Data'!F$7))</x:f>
        <x:v>15453.552689767843</x:v>
      </x:c>
      <x:c r="L33" s="14" t="n">
        <x:f>I33/K33-1</x:f>
        <x:v>0.041313950458452764</x:v>
      </x:c>
      <x:c r="M33" s="8" t="n">
        <x:f>'Source Data'!G33</x:f>
        <x:v>16886</x:v>
      </x:c>
      <x:c r="N33" s="8" t="n">
        <x:f>M33*('Source Data'!H$8/'Source Data'!G$8)*EXP(F33*('Source Data'!H$7-'Source Data'!G$7))</x:f>
        <x:v>15515.245758160623</x:v>
      </x:c>
      <x:c r="O33" s="14" t="n">
        <x:f>I33/N33-1</x:f>
        <x:v>0.03717338744286525</x:v>
      </x:c>
      <x:c r="P33" s="2" t="str"/>
    </x:row>
    <x:row r="34">
      <x:c r="A34" s="2" t="str">
        <x:f>'Source Data'!A34</x:f>
        <x:v>112210</x:v>
      </x:c>
      <x:c r="B34" s="2" t="str">
        <x:f>'Source Data'!B34</x:f>
        <x:v>Hog and Pig Farming</x:v>
      </x:c>
      <x:c r="C34" s="13" t="n">
        <x:f>LN('Source Data'!C34/'Source Data'!C$8)</x:f>
        <x:v>-12.646519072397215</x:v>
      </x:c>
      <x:c r="D34" s="13" t="n">
        <x:f>LN('Source Data'!D34/'Source Data'!D$8)</x:f>
        <x:v>-11.585174509758348</x:v>
      </x:c>
      <x:c r="E34" s="13" t="n">
        <x:f>LN('Source Data'!E34/'Source Data'!E$8)</x:f>
        <x:v>-11.531999583616274</x:v>
      </x:c>
      <x:c r="F34" s="13" t="n">
        <x:f>SLOPE(C34:E34,'Source Data'!C$7:E$7)</x:f>
        <x:v>0.5572597443904703</x:v>
      </x:c>
      <x:c r="G34" s="14" t="n">
        <x:f>EXP(F34)-1</x:f>
        <x:v>0.7458817770576243</x:v>
      </x:c>
      <x:c r="H34" s="8" t="n">
        <x:f>'Source Data'!F34</x:f>
        <x:v>139</x:v>
      </x:c>
      <x:c r="I34" s="8" t="n">
        <x:f>'Source Data'!H34</x:f>
        <x:v>68</x:v>
      </x:c>
      <x:c r="J34" s="14" t="n">
        <x:f>I34/H34-1</x:f>
        <x:v>-0.5107913669064748</x:v>
      </x:c>
      <x:c r="K34" s="8" t="n">
        <x:f>H34*('Source Data'!H$8/'Source Data'!F$8)*EXP(F34*('Source Data'!H$7-'Source Data'!F$7))</x:f>
        <x:v>1314.3544556047038</x:v>
      </x:c>
      <x:c r="L34" s="14" t="n">
        <x:f>I34/K34-1</x:f>
        <x:v>-0.9482635755446085</x:v>
      </x:c>
      <x:c r="M34" s="8" t="n">
        <x:f>'Source Data'!G34</x:f>
        <x:v>129</x:v>
      </x:c>
      <x:c r="N34" s="8" t="n">
        <x:f>M34*('Source Data'!H$8/'Source Data'!G$8)*EXP(F34*('Source Data'!H$7-'Source Data'!G$7))</x:f>
        <x:v>697.2255643196331</x:v>
      </x:c>
      <x:c r="O34" s="14" t="n">
        <x:f>I34/N34-1</x:f>
        <x:v>-0.9024705870239342</x:v>
      </x:c>
      <x:c r="P34" s="2" t="str"/>
    </x:row>
    <x:row r="35">
      <x:c r="A35" s="2" t="str">
        <x:f>'Source Data'!A35</x:f>
        <x:v>112310</x:v>
      </x:c>
      <x:c r="B35" s="2" t="str">
        <x:f>'Source Data'!B35</x:f>
        <x:v>Chicken Egg Production</x:v>
      </x:c>
      <x:c r="C35" s="13" t="n">
        <x:f>LN('Source Data'!C35/'Source Data'!C$8)</x:f>
        <x:v>-9.197912742254827</x:v>
      </x:c>
      <x:c r="D35" s="13" t="n">
        <x:f>LN('Source Data'!D35/'Source Data'!D$8)</x:f>
        <x:v>-9.235902302791649</x:v>
      </x:c>
      <x:c r="E35" s="13" t="n">
        <x:f>LN('Source Data'!E35/'Source Data'!E$8)</x:f>
        <x:v>-9.142859838920282</x:v>
      </x:c>
      <x:c r="F35" s="13" t="n">
        <x:f>SLOPE(C35:E35,'Source Data'!C$7:E$7)</x:f>
        <x:v>0.02752645166727241</x:v>
      </x:c>
      <x:c r="G35" s="14" t="n">
        <x:f>EXP(F35)-1</x:f>
        <x:v>0.02790880464933365</x:v>
      </x:c>
      <x:c r="H35" s="8" t="n">
        <x:f>'Source Data'!F35</x:f>
        <x:v>1451</x:v>
      </x:c>
      <x:c r="I35" s="8" t="n">
        <x:f>'Source Data'!H35</x:f>
        <x:v>1666</x:v>
      </x:c>
      <x:c r="J35" s="14" t="n">
        <x:f>I35/H35-1</x:f>
        <x:v>0.14817367332873888</x:v>
      </x:c>
      <x:c r="K35" s="8" t="n">
        <x:f>H35*('Source Data'!H$8/'Source Data'!F$8)*EXP(F35*('Source Data'!H$7-'Source Data'!F$7))</x:f>
        <x:v>1648.6335374368937</x:v>
      </x:c>
      <x:c r="L35" s="14" t="n">
        <x:f>I35/K35-1</x:f>
        <x:v>0.010533852532264909</x:v>
      </x:c>
      <x:c r="M35" s="8" t="n">
        <x:f>'Source Data'!G35</x:f>
        <x:v>1528</x:v>
      </x:c>
      <x:c r="N35" s="8" t="n">
        <x:f>M35*('Source Data'!H$8/'Source Data'!G$8)*EXP(F35*('Source Data'!H$7-'Source Data'!G$7))</x:f>
        <x:v>1685.4901105597648</x:v>
      </x:c>
      <x:c r="O35" s="14" t="n">
        <x:f>I35/N35-1</x:f>
        <x:v>-0.011563467763861301</x:v>
      </x:c>
      <x:c r="P35" s="2" t="str"/>
    </x:row>
    <x:row r="36">
      <x:c r="A36" s="2" t="str">
        <x:f>'Source Data'!A36</x:f>
        <x:v>112340</x:v>
      </x:c>
      <x:c r="B36" s="2" t="str">
        <x:f>'Source Data'!B36</x:f>
        <x:v>Poultry Hatcheries</x:v>
      </x:c>
      <x:c r="C36" s="13" t="n">
        <x:f>LN('Source Data'!C36/'Source Data'!C$8)</x:f>
        <x:v>-10.937826201867773</x:v>
      </x:c>
      <x:c r="D36" s="13" t="n">
        <x:f>LN('Source Data'!D36/'Source Data'!D$8)</x:f>
        <x:v>-11.051092023828089</x:v>
      </x:c>
      <x:c r="E36" s="13" t="n">
        <x:f>LN('Source Data'!E36/'Source Data'!E$8)</x:f>
        <x:v>-11.117443503806857</x:v>
      </x:c>
      <x:c r="F36" s="13" t="n">
        <x:f>SLOPE(C36:E36,'Source Data'!C$7:E$7)</x:f>
        <x:v>-0.08980865096954194</x:v>
      </x:c>
      <x:c r="G36" s="14" t="n">
        <x:f>EXP(F36)-1</x:f>
        <x:v>-0.08589391814995306</x:v>
      </x:c>
      <x:c r="H36" s="8" t="n">
        <x:f>'Source Data'!F36</x:f>
        <x:v>178</x:v>
      </x:c>
      <x:c r="I36" s="8" t="n">
        <x:f>'Source Data'!H36</x:f>
        <x:v>258</x:v>
      </x:c>
      <x:c r="J36" s="14" t="n">
        <x:f>I36/H36-1</x:f>
        <x:v>0.449438202247191</x:v>
      </x:c>
      <x:c r="K36" s="8" t="n">
        <x:f>H36*('Source Data'!H$8/'Source Data'!F$8)*EXP(F36*('Source Data'!H$7-'Source Data'!F$7))</x:f>
        <x:v>126.48667308523443</x:v>
      </x:c>
      <x:c r="L36" s="14" t="n">
        <x:f>I36/K36-1</x:f>
        <x:v>1.039740580623414</x:v>
      </x:c>
      <x:c r="M36" s="8" t="n">
        <x:f>'Source Data'!G36</x:f>
        <x:v>196</x:v>
      </x:c>
      <x:c r="N36" s="8" t="n">
        <x:f>M36*('Source Data'!H$8/'Source Data'!G$8)*EXP(F36*('Source Data'!H$7-'Source Data'!G$7))</x:f>
        <x:v>152.04948831675713</x:v>
      </x:c>
      <x:c r="O36" s="14" t="n">
        <x:f>I36/N36-1</x:f>
        <x:v>0.6968159699592111</x:v>
      </x:c>
      <x:c r="P36" s="2" t="str"/>
    </x:row>
    <x:row r="37">
      <x:c r="A37" s="2" t="str">
        <x:f>'Source Data'!A37</x:f>
        <x:v>112390</x:v>
      </x:c>
      <x:c r="B37" s="2" t="str">
        <x:f>'Source Data'!B37</x:f>
        <x:v>Other Poultry Production</x:v>
      </x:c>
      <x:c r="C37" s="13" t="n">
        <x:f>LN('Source Data'!C37/'Source Data'!C$8)</x:f>
        <x:v>-10.9986969169548</x:v>
      </x:c>
      <x:c r="D37" s="13" t="n">
        <x:f>LN('Source Data'!D37/'Source Data'!D$8)</x:f>
        <x:v>-11.029769254359268</x:v>
      </x:c>
      <x:c r="E37" s="13" t="n">
        <x:f>LN('Source Data'!E37/'Source Data'!E$8)</x:f>
        <x:v>-11.0391426533931</x:v>
      </x:c>
      <x:c r="F37" s="13" t="n">
        <x:f>SLOPE(C37:E37,'Source Data'!C$7:E$7)</x:f>
        <x:v>-0.020222868219149426</x:v>
      </x:c>
      <x:c r="G37" s="14" t="n">
        <x:f>EXP(F37)-1</x:f>
        <x:v>-0.02001975748443241</x:v>
      </x:c>
      <x:c r="H37" s="8" t="n">
        <x:f>'Source Data'!F37</x:f>
        <x:v>219</x:v>
      </x:c>
      <x:c r="I37" s="8" t="n">
        <x:f>'Source Data'!H37</x:f>
        <x:v>160</x:v>
      </x:c>
      <x:c r="J37" s="14" t="n">
        <x:f>I37/H37-1</x:f>
        <x:v>-0.26940639269406397</x:v>
      </x:c>
      <x:c r="K37" s="8" t="n">
        <x:f>H37*('Source Data'!H$8/'Source Data'!F$8)*EXP(F37*('Source Data'!H$7-'Source Data'!F$7))</x:f>
        <x:v>205.5662285448579</x:v>
      </x:c>
      <x:c r="L37" s="14" t="n">
        <x:f>I37/K37-1</x:f>
        <x:v>-0.2216620349918742</x:v>
      </x:c>
      <x:c r="M37" s="8" t="n">
        <x:f>'Source Data'!G37</x:f>
        <x:v>213</x:v>
      </x:c>
      <x:c r="N37" s="8" t="n">
        <x:f>M37*('Source Data'!H$8/'Source Data'!G$8)*EXP(F37*('Source Data'!H$7-'Source Data'!G$7))</x:f>
        <x:v>203.59666484376314</x:v>
      </x:c>
      <x:c r="O37" s="14" t="n">
        <x:f>I37/N37-1</x:f>
        <x:v>-0.21413250986806942</x:v>
      </x:c>
      <x:c r="P37" s="2" t="str"/>
    </x:row>
    <x:row r="38">
      <x:c r="A38" s="2" t="str">
        <x:f>'Source Data'!A38</x:f>
        <x:v>112410</x:v>
      </x:c>
      <x:c r="B38" s="2" t="str">
        <x:f>'Source Data'!B38</x:f>
        <x:v>Sheep Farming</x:v>
      </x:c>
      <x:c r="C38" s="13" t="n">
        <x:f>LN('Source Data'!C38/'Source Data'!C$8)</x:f>
        <x:v>-10.969828932953948</x:v>
      </x:c>
      <x:c r="D38" s="13" t="n">
        <x:f>LN('Source Data'!D38/'Source Data'!D$8)</x:f>
        <x:v>-10.944869810572781</x:v>
      </x:c>
      <x:c r="E38" s="13" t="n">
        <x:f>LN('Source Data'!E38/'Source Data'!E$8)</x:f>
        <x:v>-10.86311702505596</x:v>
      </x:c>
      <x:c r="F38" s="13" t="n">
        <x:f>SLOPE(C38:E38,'Source Data'!C$7:E$7)</x:f>
        <x:v>0.053355953948994284</x:v>
      </x:c>
      <x:c r="G38" s="14" t="n">
        <x:f>EXP(F38)-1</x:f>
        <x:v>0.05480504032321165</x:v>
      </x:c>
      <x:c r="H38" s="8" t="n">
        <x:f>'Source Data'!F38</x:f>
        <x:v>242</x:v>
      </x:c>
      <x:c r="I38" s="8" t="n">
        <x:f>'Source Data'!H38</x:f>
        <x:v>227</x:v>
      </x:c>
      <x:c r="J38" s="14" t="n">
        <x:f>I38/H38-1</x:f>
        <x:v>-0.06198347107438018</x:v>
      </x:c>
      <x:c r="K38" s="8" t="n">
        <x:f>H38*('Source Data'!H$8/'Source Data'!F$8)*EXP(F38*('Source Data'!H$7-'Source Data'!F$7))</x:f>
        <x:v>304.88953999263634</x:v>
      </x:c>
      <x:c r="L38" s="14" t="n">
        <x:f>I38/K38-1</x:f>
        <x:v>-0.2554680622841883</x:v>
      </x:c>
      <x:c r="M38" s="8" t="n">
        <x:f>'Source Data'!G38</x:f>
        <x:v>234</x:v>
      </x:c>
      <x:c r="N38" s="8" t="n">
        <x:f>M38*('Source Data'!H$8/'Source Data'!G$8)*EXP(F38*('Source Data'!H$7-'Source Data'!G$7))</x:f>
        <x:v>278.91478910278073</x:v>
      </x:c>
      <x:c r="O38" s="14" t="n">
        <x:f>I38/N38-1</x:f>
        <x:v>-0.18613136029746347</x:v>
      </x:c>
      <x:c r="P38" s="2" t="str"/>
    </x:row>
    <x:row r="39">
      <x:c r="A39" s="2" t="str">
        <x:f>'Source Data'!A39</x:f>
        <x:v>112420</x:v>
      </x:c>
      <x:c r="B39" s="2" t="str">
        <x:f>'Source Data'!B39</x:f>
        <x:v>Goat Farming</x:v>
      </x:c>
      <x:c r="C39" s="13" t="n">
        <x:f>LN('Source Data'!C39/'Source Data'!C$8)</x:f>
        <x:v>-11.471214162940852</x:v>
      </x:c>
      <x:c r="D39" s="13" t="n">
        <x:f>LN('Source Data'!D39/'Source Data'!D$8)</x:f>
        <x:v>-11.5280160959184</x:v>
      </x:c>
      <x:c r="E39" s="13" t="n">
        <x:f>LN('Source Data'!E39/'Source Data'!E$8)</x:f>
        <x:v>-11.842777370862704</x:v>
      </x:c>
      <x:c r="F39" s="13" t="n">
        <x:f>SLOPE(C39:E39,'Source Data'!C$7:E$7)</x:f>
        <x:v>-0.18578160396092613</x:v>
      </x:c>
      <x:c r="G39" s="14" t="n">
        <x:f>EXP(F39)-1</x:f>
        <x:v>-0.16954505675142484</x:v>
      </x:c>
      <x:c r="H39" s="8" t="n">
        <x:f>'Source Data'!F39</x:f>
        <x:v>134</x:v>
      </x:c>
      <x:c r="I39" s="8" t="n">
        <x:f>'Source Data'!H39</x:f>
        <x:v>135</x:v>
      </x:c>
      <x:c r="J39" s="14" t="n">
        <x:f>I39/H39-1</x:f>
        <x:v>0.00746268656716409</x:v>
      </x:c>
      <x:c r="K39" s="8" t="n">
        <x:f>H39*('Source Data'!H$8/'Source Data'!F$8)*EXP(F39*('Source Data'!H$7-'Source Data'!F$7))</x:f>
        <x:v>64.8645590611123</x:v>
      </x:c>
      <x:c r="L39" s="14" t="n">
        <x:f>I39/K39-1</x:f>
        <x:v>1.0812598120463508</x:v>
      </x:c>
      <x:c r="M39" s="8" t="n">
        <x:f>'Source Data'!G39</x:f>
        <x:v>131</x:v>
      </x:c>
      <x:c r="N39" s="8" t="n">
        <x:f>M39*('Source Data'!H$8/'Source Data'!G$8)*EXP(F39*('Source Data'!H$7-'Source Data'!G$7))</x:f>
        <x:v>76.20063941147134</x:v>
      </x:c>
      <x:c r="O39" s="14" t="n">
        <x:f>I39/N39-1</x:f>
        <x:v>0.7716386770853911</x:v>
      </x:c>
      <x:c r="P39" s="2" t="str"/>
    </x:row>
    <x:row r="40">
      <x:c r="A40" s="2" t="str">
        <x:f>'Source Data'!A40</x:f>
        <x:v>112511</x:v>
      </x:c>
      <x:c r="B40" s="2" t="str">
        <x:f>'Source Data'!B40</x:f>
        <x:v>Finfish Farming and Fish Hatcheries</x:v>
      </x:c>
      <x:c r="C40" s="13" t="n">
        <x:f>LN('Source Data'!C40/'Source Data'!C$8)</x:f>
        <x:v>-10.957707572421603</x:v>
      </x:c>
      <x:c r="D40" s="13" t="n">
        <x:f>LN('Source Data'!D40/'Source Data'!D$8)</x:f>
        <x:v>-10.748436409586146</x:v>
      </x:c>
      <x:c r="E40" s="13" t="n">
        <x:f>LN('Source Data'!E40/'Source Data'!E$8)</x:f>
        <x:v>-10.766213219416358</x:v>
      </x:c>
      <x:c r="F40" s="13" t="n">
        <x:f>SLOPE(C40:E40,'Source Data'!C$7:E$7)</x:f>
        <x:v>0.09574717650262254</x:v>
      </x:c>
      <x:c r="G40" s="14" t="n">
        <x:f>EXP(F40)-1</x:f>
        <x:v>0.10048080141479154</x:v>
      </x:c>
      <x:c r="H40" s="8" t="n">
        <x:f>'Source Data'!F40</x:f>
        <x:v>269</x:v>
      </x:c>
      <x:c r="I40" s="8" t="n">
        <x:f>'Source Data'!H40</x:f>
        <x:v>245</x:v>
      </x:c>
      <x:c r="J40" s="14" t="n">
        <x:f>I40/H40-1</x:f>
        <x:v>-0.08921933085501854</x:v>
      </x:c>
      <x:c r="K40" s="8" t="n">
        <x:f>H40*('Source Data'!H$8/'Source Data'!F$8)*EXP(F40*('Source Data'!H$7-'Source Data'!F$7))</x:f>
        <x:v>401.53234506858</x:v>
      </x:c>
      <x:c r="L40" s="14" t="n">
        <x:f>I40/K40-1</x:f>
        <x:v>-0.3898374489403711</x:v>
      </x:c>
      <x:c r="M40" s="8" t="n">
        <x:f>'Source Data'!G40</x:f>
        <x:v>277</x:v>
      </x:c>
      <x:c r="N40" s="8" t="n">
        <x:f>M40*('Source Data'!H$8/'Source Data'!G$8)*EXP(F40*('Source Data'!H$7-'Source Data'!G$7))</x:f>
        <x:v>374.9438863076754</x:v>
      </x:c>
      <x:c r="O40" s="14" t="n">
        <x:f>I40/N40-1</x:f>
        <x:v>-0.34656888951389564</x:v>
      </x:c>
      <x:c r="P40" s="2" t="str"/>
    </x:row>
    <x:row r="41">
      <x:c r="A41" s="2" t="str">
        <x:f>'Source Data'!A41</x:f>
        <x:v>112512</x:v>
      </x:c>
      <x:c r="B41" s="2" t="str">
        <x:f>'Source Data'!B41</x:f>
        <x:v>Shellfish Farming</x:v>
      </x:c>
      <x:c r="C41" s="13" t="n">
        <x:f>LN('Source Data'!C41/'Source Data'!C$8)</x:f>
        <x:v>-11.687668726104265</x:v>
      </x:c>
      <x:c r="D41" s="13" t="n">
        <x:f>LN('Source Data'!D41/'Source Data'!D$8)</x:f>
        <x:v>-11.49388308954894</x:v>
      </x:c>
      <x:c r="E41" s="13" t="n">
        <x:f>LN('Source Data'!E41/'Source Data'!E$8)</x:f>
        <x:v>-11.67141911886602</x:v>
      </x:c>
      <x:c r="F41" s="13" t="n">
        <x:f>SLOPE(C41:E41,'Source Data'!C$7:E$7)</x:f>
        <x:v>0.008124803619122822</x:v>
      </x:c>
      <x:c r="G41" s="14" t="n">
        <x:f>EXP(F41)-1</x:f>
        <x:v>0.008157899407588154</x:v>
      </x:c>
      <x:c r="H41" s="8" t="n">
        <x:f>'Source Data'!F41</x:f>
        <x:v>118</x:v>
      </x:c>
      <x:c r="I41" s="8" t="n">
        <x:f>'Source Data'!H41</x:f>
        <x:v>133</x:v>
      </x:c>
      <x:c r="J41" s="14" t="n">
        <x:f>I41/H41-1</x:f>
        <x:v>0.12711864406779672</x:v>
      </x:c>
      <x:c r="K41" s="8" t="n">
        <x:f>H41*('Source Data'!H$8/'Source Data'!F$8)*EXP(F41*('Source Data'!H$7-'Source Data'!F$7))</x:f>
        <x:v>124.06080943163398</x:v>
      </x:c>
      <x:c r="L41" s="14" t="n">
        <x:f>I41/K41-1</x:f>
        <x:v>0.07205491088861637</x:v>
      </x:c>
      <x:c r="M41" s="8" t="n">
        <x:f>'Source Data'!G41</x:f>
        <x:v>125</x:v>
      </x:c>
      <x:c r="N41" s="8" t="n">
        <x:f>M41*('Source Data'!H$8/'Source Data'!G$8)*EXP(F41*('Source Data'!H$7-'Source Data'!G$7))</x:f>
        <x:v>130.0872645107955</x:v>
      </x:c>
      <x:c r="O41" s="14" t="n">
        <x:f>I41/N41-1</x:f>
        <x:v>0.02239062755418897</x:v>
      </x:c>
      <x:c r="P41" s="2" t="str"/>
    </x:row>
    <x:row r="42">
      <x:c r="A42" s="2" t="str">
        <x:f>'Source Data'!A42</x:f>
        <x:v>112519</x:v>
      </x:c>
      <x:c r="B42" s="2" t="str">
        <x:f>'Source Data'!B42</x:f>
        <x:v>Other Aquaculture</x:v>
      </x:c>
      <x:c r="C42" s="13" t="n">
        <x:f>LN('Source Data'!C42/'Source Data'!C$8)</x:f>
        <x:v>-12.583340170775683</x:v>
      </x:c>
      <x:c r="D42" s="13" t="n">
        <x:f>LN('Source Data'!D42/'Source Data'!D$8)</x:f>
        <x:v>-12.606009097383772</x:v>
      </x:c>
      <x:c r="E42" s="13" t="n">
        <x:f>LN('Source Data'!E42/'Source Data'!E$8)</x:f>
        <x:v>-13.148310375338136</x:v>
      </x:c>
      <x:c r="F42" s="13" t="n">
        <x:f>SLOPE(C42:E42,'Source Data'!C$7:E$7)</x:f>
        <x:v>-0.2824851022812265</x:v>
      </x:c>
      <x:c r="G42" s="14" t="n">
        <x:f>EXP(F42)-1</x:f>
        <x:v>-0.24609212661686186</x:v>
      </x:c>
      <x:c r="H42" s="8" t="n">
        <x:f>'Source Data'!F42</x:f>
        <x:v>104</x:v>
      </x:c>
      <x:c r="I42" s="8" t="n">
        <x:f>'Source Data'!H42</x:f>
        <x:v>114</x:v>
      </x:c>
      <x:c r="J42" s="14" t="n">
        <x:f>I42/H42-1</x:f>
        <x:v>0.09615384615384626</x:v>
      </x:c>
      <x:c r="K42" s="8" t="n">
        <x:f>H42*('Source Data'!H$8/'Source Data'!F$8)*EXP(F42*('Source Data'!H$7-'Source Data'!F$7))</x:f>
        <x:v>34.19360010468887</x:v>
      </x:c>
      <x:c r="L42" s="14" t="n">
        <x:f>I42/K42-1</x:f>
        <x:v>2.3339572215552558</x:v>
      </x:c>
      <x:c r="M42" s="8" t="n">
        <x:f>'Source Data'!G42</x:f>
        <x:v>113</x:v>
      </x:c>
      <x:c r="N42" s="8" t="n">
        <x:f>M42*('Source Data'!H$8/'Source Data'!G$8)*EXP(F42*('Source Data'!H$7-'Source Data'!G$7))</x:f>
        <x:v>49.178171405840665</x:v>
      </x:c>
      <x:c r="O42" s="14" t="n">
        <x:f>I42/N42-1</x:f>
        <x:v>1.318101644309222</x:v>
      </x:c>
      <x:c r="P42" s="2" t="str"/>
    </x:row>
    <x:row r="43">
      <x:c r="A43" s="2" t="str">
        <x:f>'Source Data'!A43</x:f>
        <x:v>112910</x:v>
      </x:c>
      <x:c r="B43" s="2" t="str">
        <x:f>'Source Data'!B43</x:f>
        <x:v>Apiculture</x:v>
      </x:c>
      <x:c r="C43" s="13" t="n">
        <x:f>LN('Source Data'!C43/'Source Data'!C$8)</x:f>
        <x:v>-9.41468410288651</x:v>
      </x:c>
      <x:c r="D43" s="13" t="n">
        <x:f>LN('Source Data'!D43/'Source Data'!D$8)</x:f>
        <x:v>-9.406919573414415</x:v>
      </x:c>
      <x:c r="E43" s="13" t="n">
        <x:f>LN('Source Data'!E43/'Source Data'!E$8)</x:f>
        <x:v>-9.411462112337084</x:v>
      </x:c>
      <x:c r="F43" s="13" t="n">
        <x:f>SLOPE(C43:E43,'Source Data'!C$7:E$7)</x:f>
        <x:v>0.0016109952747127565</x:v>
      </x:c>
      <x:c r="G43" s="14" t="n">
        <x:f>EXP(F43)-1</x:f>
        <x:v>0.001612293624718708</x:v>
      </x:c>
      <x:c r="H43" s="8" t="n">
        <x:f>'Source Data'!F43</x:f>
        <x:v>1220</x:v>
      </x:c>
      <x:c r="I43" s="8" t="n">
        <x:f>'Source Data'!H43</x:f>
        <x:v>1268</x:v>
      </x:c>
      <x:c r="J43" s="14" t="n">
        <x:f>I43/H43-1</x:f>
        <x:v>0.03934426229508192</x:v>
      </x:c>
      <x:c r="K43" s="8" t="n">
        <x:f>H43*('Source Data'!H$8/'Source Data'!F$8)*EXP(F43*('Source Data'!H$7-'Source Data'!F$7))</x:f>
        <x:v>1249.6741595121666</x:v>
      </x:c>
      <x:c r="L43" s="14" t="n">
        <x:f>I43/K43-1</x:f>
        <x:v>0.01466449501923539</x:v>
      </x:c>
      <x:c r="M43" s="8" t="n">
        <x:f>'Source Data'!G43</x:f>
        <x:v>1166</x:v>
      </x:c>
      <x:c r="N43" s="8" t="n">
        <x:f>M43*('Source Data'!H$8/'Source Data'!G$8)*EXP(F43*('Source Data'!H$7-'Source Data'!G$7))</x:f>
        <x:v>1189.9715702812753</x:v>
      </x:c>
      <x:c r="O43" s="14" t="n">
        <x:f>I43/N43-1</x:f>
        <x:v>0.06557167554875365</x:v>
      </x:c>
      <x:c r="P43" s="2" t="str"/>
    </x:row>
    <x:row r="44">
      <x:c r="A44" s="2" t="str">
        <x:f>'Source Data'!A44</x:f>
        <x:v>112990</x:v>
      </x:c>
      <x:c r="B44" s="2" t="str">
        <x:f>'Source Data'!B44</x:f>
        <x:v>All Other Animal Production</x:v>
      </x:c>
      <x:c r="C44" s="13" t="n">
        <x:f>LN('Source Data'!C44/'Source Data'!C$8)</x:f>
        <x:v>-9.96490212836316</x:v>
      </x:c>
      <x:c r="D44" s="13" t="n">
        <x:f>LN('Source Data'!D44/'Source Data'!D$8)</x:f>
        <x:v>-9.837254245654712</x:v>
      </x:c>
      <x:c r="E44" s="13" t="n">
        <x:f>LN('Source Data'!E44/'Source Data'!E$8)</x:f>
        <x:v>-9.855031055484924</x:v>
      </x:c>
      <x:c r="F44" s="13" t="n">
        <x:f>SLOPE(C44:E44,'Source Data'!C$7:E$7)</x:f>
        <x:v>0.054935536439118415</x:v>
      </x:c>
      <x:c r="G44" s="14" t="n">
        <x:f>EXP(F44)-1</x:f>
        <x:v>0.05647250850046315</x:v>
      </x:c>
      <x:c r="H44" s="8" t="n">
        <x:f>'Source Data'!F44</x:f>
        <x:v>892</x:v>
      </x:c>
      <x:c r="I44" s="8" t="n">
        <x:f>'Source Data'!H44</x:f>
        <x:v>874</x:v>
      </x:c>
      <x:c r="J44" s="14" t="n">
        <x:f>I44/H44-1</x:f>
        <x:v>-0.020179372197309364</x:v>
      </x:c>
      <x:c r="K44" s="8" t="n">
        <x:f>H44*('Source Data'!H$8/'Source Data'!F$8)*EXP(F44*('Source Data'!H$7-'Source Data'!F$7))</x:f>
        <x:v>1130.930793195666</x:v>
      </x:c>
      <x:c r="L44" s="14" t="n">
        <x:f>I44/K44-1</x:f>
        <x:v>-0.2271852484179494</x:v>
      </x:c>
      <x:c r="M44" s="8" t="n">
        <x:f>'Source Data'!G44</x:f>
        <x:v>1030</x:v>
      </x:c>
      <x:c r="N44" s="8" t="n">
        <x:f>M44*('Source Data'!H$8/'Source Data'!G$8)*EXP(F44*('Source Data'!H$7-'Source Data'!G$7))</x:f>
        <x:v>1233.533424771721</x:v>
      </x:c>
      <x:c r="O44" s="14" t="n">
        <x:f>I44/N44-1</x:f>
        <x:v>-0.2914663012380525</x:v>
      </x:c>
      <x:c r="P44" s="2" t="str"/>
    </x:row>
    <x:row r="45">
      <x:c r="A45" s="2" t="str">
        <x:f>'Source Data'!A45</x:f>
        <x:v>113110</x:v>
      </x:c>
      <x:c r="B45" s="2" t="str">
        <x:f>'Source Data'!B45</x:f>
        <x:v>Timber Tract Operations</x:v>
      </x:c>
      <x:c r="C45" s="13" t="n">
        <x:f>LN('Source Data'!C45/'Source Data'!C$8)</x:f>
        <x:v>-13.910211111424774</x:v>
      </x:c>
      <x:c r="D45" s="13" t="n">
        <x:f>LN('Source Data'!D45/'Source Data'!D$8)</x:f>
        <x:v>-13.664616051438182</x:v>
      </x:c>
      <x:c r="E45" s="13" t="n">
        <x:f>LN('Source Data'!E45/'Source Data'!E$8)</x:f>
        <x:v>-13.625234447428445</x:v>
      </x:c>
      <x:c r="F45" s="13" t="n">
        <x:f>SLOPE(C45:E45,'Source Data'!C$7:E$7)</x:f>
        <x:v>0.14248833199816424</x:v>
      </x:c>
      <x:c r="G45" s="14" t="n">
        <x:f>EXP(F45)-1</x:f>
        <x:v>0.1531396260436002</x:v>
      </x:c>
      <x:c r="H45" s="8" t="n">
        <x:f>'Source Data'!F45</x:f>
        <x:v>44</x:v>
      </x:c>
      <x:c r="I45" s="8" t="n">
        <x:f>'Source Data'!H45</x:f>
        <x:v>54</x:v>
      </x:c>
      <x:c r="J45" s="14" t="n">
        <x:f>I45/H45-1</x:f>
        <x:v>0.2272727272727273</x:v>
      </x:c>
      <x:c r="K45" s="8" t="n">
        <x:f>H45*('Source Data'!H$8/'Source Data'!F$8)*EXP(F45*('Source Data'!H$7-'Source Data'!F$7))</x:f>
        <x:v>79.18057210384725</x:v>
      </x:c>
      <x:c r="L45" s="14" t="n">
        <x:f>I45/K45-1</x:f>
        <x:v>-0.3180145259726378</x:v>
      </x:c>
      <x:c r="M45" s="8" t="n">
        <x:f>'Source Data'!G45</x:f>
        <x:v>41</x:v>
      </x:c>
      <x:c r="N45" s="8" t="n">
        <x:f>M45*('Source Data'!H$8/'Source Data'!G$8)*EXP(F45*('Source Data'!H$7-'Source Data'!G$7))</x:f>
        <x:v>63.85113799502283</x:v>
      </x:c>
      <x:c r="O45" s="14" t="n">
        <x:f>I45/N45-1</x:f>
        <x:v>-0.15428288836121795</x:v>
      </x:c>
      <x:c r="P45" s="2" t="str"/>
    </x:row>
    <x:row r="46">
      <x:c r="A46" s="2" t="str">
        <x:f>'Source Data'!A46</x:f>
        <x:v>113210</x:v>
      </x:c>
      <x:c r="B46" s="2" t="str">
        <x:f>'Source Data'!B46</x:f>
        <x:v>Forest Nurseries and Gathering of Forest Products</x:v>
      </x:c>
      <x:c r="C46" s="13" t="n">
        <x:f>LN('Source Data'!C46/'Source Data'!C$8)</x:f>
        <x:v>-10.468807309284578</x:v>
      </x:c>
      <x:c r="D46" s="13" t="n">
        <x:f>LN('Source Data'!D46/'Source Data'!D$8)</x:f>
        <x:v>-10.597932041911907</x:v>
      </x:c>
      <x:c r="E46" s="13" t="n">
        <x:f>LN('Source Data'!E46/'Source Data'!E$8)</x:f>
        <x:v>-11.328220399483856</x:v>
      </x:c>
      <x:c r="F46" s="13" t="n">
        <x:f>SLOPE(C46:E46,'Source Data'!C$7:E$7)</x:f>
        <x:v>-0.4297065450996387</x:v>
      </x:c>
      <x:c r="G46" s="14" t="n">
        <x:f>EXP(F46)-1</x:f>
        <x:v>-0.34929998218281866</x:v>
      </x:c>
      <x:c r="H46" s="8" t="n">
        <x:f>'Source Data'!F46</x:f>
        <x:v>282</x:v>
      </x:c>
      <x:c r="I46" s="8" t="n">
        <x:f>'Source Data'!H46</x:f>
        <x:v>120</x:v>
      </x:c>
      <x:c r="J46" s="14" t="n">
        <x:f>I46/H46-1</x:f>
        <x:v>-0.574468085106383</x:v>
      </x:c>
      <x:c r="K46" s="8" t="n">
        <x:f>H46*('Source Data'!H$8/'Source Data'!F$8)*EXP(F46*('Source Data'!H$7-'Source Data'!F$7))</x:f>
        <x:v>51.45300648413212</x:v>
      </x:c>
      <x:c r="L46" s="14" t="n">
        <x:f>I46/K46-1</x:f>
        <x:v>1.3322252323002246</x:v>
      </x:c>
      <x:c r="M46" s="8" t="n">
        <x:f>'Source Data'!G46</x:f>
        <x:v>233</x:v>
      </x:c>
      <x:c r="N46" s="8" t="n">
        <x:f>M46*('Source Data'!H$8/'Source Data'!G$8)*EXP(F46*('Source Data'!H$7-'Source Data'!G$7))</x:f>
        <x:v>65.19848032958103</x:v>
      </x:c>
      <x:c r="O46" s="14" t="n">
        <x:f>I46/N46-1</x:f>
        <x:v>0.8405336963897778</x:v>
      </x:c>
      <x:c r="P46" s="2" t="str"/>
    </x:row>
    <x:row r="47">
      <x:c r="A47" s="2" t="str">
        <x:f>'Source Data'!A47</x:f>
        <x:v>113310</x:v>
      </x:c>
      <x:c r="B47" s="2" t="str">
        <x:f>'Source Data'!B47</x:f>
        <x:v>Logging</x:v>
      </x:c>
      <x:c r="C47" s="13" t="n">
        <x:f>LN('Source Data'!C47/'Source Data'!C$8)</x:f>
        <x:v>-9.350682206392886</x:v>
      </x:c>
      <x:c r="D47" s="13" t="n">
        <x:f>LN('Source Data'!D47/'Source Data'!D$8)</x:f>
        <x:v>-9.265096259316785</x:v>
      </x:c>
      <x:c r="E47" s="13" t="n">
        <x:f>LN('Source Data'!E47/'Source Data'!E$8)</x:f>
        <x:v>-9.313689887792984</x:v>
      </x:c>
      <x:c r="F47" s="13" t="n">
        <x:f>SLOPE(C47:E47,'Source Data'!C$7:E$7)</x:f>
        <x:v>0.018496159299950854</x:v>
      </x:c>
      <x:c r="G47" s="14" t="n">
        <x:f>EXP(F47)-1</x:f>
        <x:v>0.018668272762776716</x:v>
      </x:c>
      <x:c r="H47" s="8" t="n">
        <x:f>'Source Data'!F47</x:f>
        <x:v>1628</x:v>
      </x:c>
      <x:c r="I47" s="8" t="n">
        <x:f>'Source Data'!H47</x:f>
        <x:v>1415</x:v>
      </x:c>
      <x:c r="J47" s="14" t="n">
        <x:f>I47/H47-1</x:f>
        <x:v>-0.13083538083538082</x:v>
      </x:c>
      <x:c r="K47" s="8" t="n">
        <x:f>H47*('Source Data'!H$8/'Source Data'!F$8)*EXP(F47*('Source Data'!H$7-'Source Data'!F$7))</x:f>
        <x:v>1784.11931027625</x:v>
      </x:c>
      <x:c r="L47" s="14" t="n">
        <x:f>I47/K47-1</x:f>
        <x:v>-0.20689160649188654</x:v>
      </x:c>
      <x:c r="M47" s="8" t="n">
        <x:f>'Source Data'!G47</x:f>
        <x:v>1236</x:v>
      </x:c>
      <x:c r="N47" s="8" t="n">
        <x:f>M47*('Source Data'!H$8/'Source Data'!G$8)*EXP(F47*('Source Data'!H$7-'Source Data'!G$7))</x:f>
        <x:v>1326.9541186415224</x:v>
      </x:c>
      <x:c r="O47" s="14" t="n">
        <x:f>I47/N47-1</x:f>
        <x:v>0.0663518656158324</x:v>
      </x:c>
      <x:c r="P47" s="2" t="str"/>
    </x:row>
    <x:row r="48">
      <x:c r="A48" s="2" t="str">
        <x:f>'Source Data'!A48</x:f>
        <x:v>114111</x:v>
      </x:c>
      <x:c r="B48" s="2" t="str">
        <x:f>'Source Data'!B48</x:f>
        <x:v>Finfish Fishing</x:v>
      </x:c>
      <x:c r="C48" s="13" t="n">
        <x:f>LN('Source Data'!C48/'Source Data'!C$8)</x:f>
        <x:v>-10.78142833008361</x:v>
      </x:c>
      <x:c r="D48" s="13" t="n">
        <x:f>LN('Source Data'!D48/'Source Data'!D$8)</x:f>
        <x:v>-10.665946918210881</x:v>
      </x:c>
      <x:c r="E48" s="13" t="n">
        <x:f>LN('Source Data'!E48/'Source Data'!E$8)</x:f>
        <x:v>-10.66628142537775</x:v>
      </x:c>
      <x:c r="F48" s="13" t="n">
        <x:f>SLOPE(C48:E48,'Source Data'!C$7:E$7)</x:f>
        <x:v>0.05757345235292988</x:v>
      </x:c>
      <x:c r="G48" s="14" t="n">
        <x:f>EXP(F48)-1</x:f>
        <x:v>0.0592630731624042</x:v>
      </x:c>
      <x:c r="H48" s="8" t="n">
        <x:f>'Source Data'!F48</x:f>
        <x:v>330</x:v>
      </x:c>
      <x:c r="I48" s="8" t="n">
        <x:f>'Source Data'!H48</x:f>
        <x:v>295</x:v>
      </x:c>
      <x:c r="J48" s="14" t="n">
        <x:f>I48/H48-1</x:f>
        <x:v>-0.10606060606060608</x:v>
      </x:c>
      <x:c r="K48" s="8" t="n">
        <x:f>H48*('Source Data'!H$8/'Source Data'!F$8)*EXP(F48*('Source Data'!H$7-'Source Data'!F$7))</x:f>
        <x:v>422.8318020874694</x:v>
      </x:c>
      <x:c r="L48" s="14" t="n">
        <x:f>I48/K48-1</x:f>
        <x:v>-0.3023230548326291</x:v>
      </x:c>
      <x:c r="M48" s="8" t="n">
        <x:f>'Source Data'!G48</x:f>
        <x:v>287</x:v>
      </x:c>
      <x:c r="N48" s="8" t="n">
        <x:f>M48*('Source Data'!H$8/'Source Data'!G$8)*EXP(F48*('Source Data'!H$7-'Source Data'!G$7))</x:f>
        <x:v>346.44355862267344</x:v>
      </x:c>
      <x:c r="O48" s="14" t="n">
        <x:f>I48/N48-1</x:f>
        <x:v>-0.14849044625679653</x:v>
      </x:c>
      <x:c r="P48" s="2" t="str"/>
    </x:row>
    <x:row r="49">
      <x:c r="A49" s="2" t="str">
        <x:f>'Source Data'!A49</x:f>
        <x:v>114210</x:v>
      </x:c>
      <x:c r="B49" s="2" t="str">
        <x:f>'Source Data'!B49</x:f>
        <x:v>Hunting and Trapping</x:v>
      </x:c>
      <x:c r="C49" s="13" t="n">
        <x:f>LN('Source Data'!C49/'Source Data'!C$8)</x:f>
        <x:v>-12.270467849495345</x:v>
      </x:c>
      <x:c r="D49" s="13" t="n">
        <x:f>LN('Source Data'!D49/'Source Data'!D$8)</x:f>
        <x:v>-12.508845348930125</x:v>
      </x:c>
      <x:c r="E49" s="13" t="n">
        <x:f>LN('Source Data'!E49/'Source Data'!E$8)</x:f>
        <x:v>-12.490254514589461</x:v>
      </x:c>
      <x:c r="F49" s="13" t="n">
        <x:f>SLOPE(C49:E49,'Source Data'!C$7:E$7)</x:f>
        <x:v>-0.10989333254705791</x:v>
      </x:c>
      <x:c r="G49" s="14" t="n">
        <x:f>EXP(F49)-1</x:f>
        <x:v>-0.10407030326144384</x:v>
      </x:c>
      <x:c r="H49" s="8" t="n">
        <x:f>'Source Data'!F49</x:f>
        <x:v>60</x:v>
      </x:c>
      <x:c r="I49" s="8" t="n">
        <x:f>'Source Data'!H49</x:f>
        <x:v>64</x:v>
      </x:c>
      <x:c r="J49" s="14" t="n">
        <x:f>I49/H49-1</x:f>
        <x:v>0.06666666666666665</x:v>
      </x:c>
      <x:c r="K49" s="8" t="n">
        <x:f>H49*('Source Data'!H$8/'Source Data'!F$8)*EXP(F49*('Source Data'!H$7-'Source Data'!F$7))</x:f>
        <x:v>39.34461973815287</x:v>
      </x:c>
      <x:c r="L49" s="14" t="n">
        <x:f>I49/K49-1</x:f>
        <x:v>0.6266518885157393</x:v>
      </x:c>
      <x:c r="M49" s="8" t="n">
        <x:f>'Source Data'!G49</x:f>
        <x:v>62</x:v>
      </x:c>
      <x:c r="N49" s="8" t="n">
        <x:f>M49*('Source Data'!H$8/'Source Data'!G$8)*EXP(F49*('Source Data'!H$7-'Source Data'!G$7))</x:f>
        <x:v>45.2848133420762</x:v>
      </x:c>
      <x:c r="O49" s="14" t="n">
        <x:f>I49/N49-1</x:f>
        <x:v>0.4132773280205764</x:v>
      </x:c>
      <x:c r="P49" s="2" t="str"/>
    </x:row>
    <x:row r="50">
      <x:c r="A50" s="2" t="str">
        <x:f>'Source Data'!A50</x:f>
        <x:v>115111</x:v>
      </x:c>
      <x:c r="B50" s="2" t="str">
        <x:f>'Source Data'!B50</x:f>
        <x:v>Cotton Ginning</x:v>
      </x:c>
      <x:c r="C50" s="13" t="n">
        <x:f>LN('Source Data'!C50/'Source Data'!C$8)</x:f>
        <x:v>-11.137622389184992</x:v>
      </x:c>
      <x:c r="D50" s="13" t="n">
        <x:f>LN('Source Data'!D50/'Source Data'!D$8)</x:f>
        <x:v>-11.179709401650182</x:v>
      </x:c>
      <x:c r="E50" s="13" t="n">
        <x:f>LN('Source Data'!E50/'Source Data'!E$8)</x:f>
        <x:v>-10.958778143625073</x:v>
      </x:c>
      <x:c r="F50" s="13" t="n">
        <x:f>SLOPE(C50:E50,'Source Data'!C$7:E$7)</x:f>
        <x:v>0.08942212277995942</x:v>
      </x:c>
      <x:c r="G50" s="14" t="n">
        <x:f>EXP(F50)-1</x:f>
        <x:v>0.0935421679721351</x:v>
      </x:c>
      <x:c r="H50" s="8" t="n">
        <x:f>'Source Data'!F50</x:f>
        <x:v>142</x:v>
      </x:c>
      <x:c r="I50" s="8" t="n">
        <x:f>'Source Data'!H50</x:f>
        <x:v>123</x:v>
      </x:c>
      <x:c r="J50" s="14" t="n">
        <x:f>I50/H50-1</x:f>
        <x:v>-0.1338028169014085</x:v>
      </x:c>
      <x:c r="K50" s="8" t="n">
        <x:f>H50*('Source Data'!H$8/'Source Data'!F$8)*EXP(F50*('Source Data'!H$7-'Source Data'!F$7))</x:f>
        <x:v>206.665915320835</x:v>
      </x:c>
      <x:c r="L50" s="14" t="n">
        <x:f>I50/K50-1</x:f>
        <x:v>-0.4048365459342885</x:v>
      </x:c>
      <x:c r="M50" s="8" t="n">
        <x:f>'Source Data'!G50</x:f>
        <x:v>148</x:v>
      </x:c>
      <x:c r="N50" s="8" t="n">
        <x:f>M50*('Source Data'!H$8/'Source Data'!G$8)*EXP(F50*('Source Data'!H$7-'Source Data'!G$7))</x:f>
        <x:v>196.56555416760875</x:v>
      </x:c>
      <x:c r="O50" s="14" t="n">
        <x:f>I50/N50-1</x:f>
        <x:v>-0.3742545558357616</x:v>
      </x:c>
      <x:c r="P50" s="2" t="str"/>
    </x:row>
    <x:row r="51">
      <x:c r="A51" s="2" t="str">
        <x:f>'Source Data'!A51</x:f>
        <x:v>115112</x:v>
      </x:c>
      <x:c r="B51" s="2" t="str">
        <x:f>'Source Data'!B51</x:f>
        <x:v>Soil Preparation, Planting, and Cultivating</x:v>
      </x:c>
      <x:c r="C51" s="13" t="n">
        <x:f>LN('Source Data'!C51/'Source Data'!C$8)</x:f>
        <x:v>-7.008009688125434</x:v>
      </x:c>
      <x:c r="D51" s="13" t="n">
        <x:f>LN('Source Data'!D51/'Source Data'!D$8)</x:f>
        <x:v>-7.2360357419293</x:v>
      </x:c>
      <x:c r="E51" s="13" t="n">
        <x:f>LN('Source Data'!E51/'Source Data'!E$8)</x:f>
        <x:v>-7.101835313344238</x:v>
      </x:c>
      <x:c r="F51" s="13" t="n">
        <x:f>SLOPE(C51:E51,'Source Data'!C$7:E$7)</x:f>
        <x:v>-0.04691281260940183</x:v>
      </x:c>
      <x:c r="G51" s="14" t="n">
        <x:f>EXP(F51)-1</x:f>
        <x:v>-0.04582941439261001</x:v>
      </x:c>
      <x:c r="H51" s="8" t="n">
        <x:f>'Source Data'!F51</x:f>
        <x:v>11358</x:v>
      </x:c>
      <x:c r="I51" s="8" t="n">
        <x:f>'Source Data'!H51</x:f>
        <x:v>9825</x:v>
      </x:c>
      <x:c r="J51" s="14" t="n">
        <x:f>I51/H51-1</x:f>
        <x:v>-0.13497094558901213</x:v>
      </x:c>
      <x:c r="K51" s="8" t="n">
        <x:f>H51*('Source Data'!H$8/'Source Data'!F$8)*EXP(F51*('Source Data'!H$7-'Source Data'!F$7))</x:f>
        <x:v>9581.738967412282</x:v>
      </x:c>
      <x:c r="L51" s="14" t="n">
        <x:f>I51/K51-1</x:f>
        <x:v>0.02538798368595252</x:v>
      </x:c>
      <x:c r="M51" s="8" t="n">
        <x:f>'Source Data'!G51</x:f>
        <x:v>9998</x:v>
      </x:c>
      <x:c r="N51" s="8" t="n">
        <x:f>M51*('Source Data'!H$8/'Source Data'!G$8)*EXP(F51*('Source Data'!H$7-'Source Data'!G$7))</x:f>
        <x:v>8821.253479065956</x:v>
      </x:c>
      <x:c r="O51" s="14" t="n">
        <x:f>I51/N51-1</x:f>
        <x:v>0.1137872892232461</x:v>
      </x:c>
      <x:c r="P51" s="2" t="str"/>
    </x:row>
    <x:row r="52">
      <x:c r="A52" s="2" t="str">
        <x:f>'Source Data'!A52</x:f>
        <x:v>115113</x:v>
      </x:c>
      <x:c r="B52" s="2" t="str">
        <x:f>'Source Data'!B52</x:f>
        <x:v>Crop Harvesting, Primarily by Machine</x:v>
      </x:c>
      <x:c r="C52" s="13" t="n">
        <x:f>LN('Source Data'!C52/'Source Data'!C$8)</x:f>
        <x:v>-7.883602195514766</x:v>
      </x:c>
      <x:c r="D52" s="13" t="n">
        <x:f>LN('Source Data'!D52/'Source Data'!D$8)</x:f>
        <x:v>-7.938151592472006</x:v>
      </x:c>
      <x:c r="E52" s="13" t="n">
        <x:f>LN('Source Data'!E52/'Source Data'!E$8)</x:f>
        <x:v>-7.884905773114778</x:v>
      </x:c>
      <x:c r="F52" s="13" t="n">
        <x:f>SLOPE(C52:E52,'Source Data'!C$7:E$7)</x:f>
        <x:v>-0.0006517888000061589</x:v>
      </x:c>
      <x:c r="G52" s="14" t="n">
        <x:f>EXP(F52)-1</x:f>
        <x:v>-0.0006515764318284489</x:v>
      </x:c>
      <x:c r="H52" s="8" t="n">
        <x:f>'Source Data'!F52</x:f>
        <x:v>5134</x:v>
      </x:c>
      <x:c r="I52" s="8" t="n">
        <x:f>'Source Data'!H52</x:f>
        <x:v>4427</x:v>
      </x:c>
      <x:c r="J52" s="14" t="n">
        <x:f>I52/H52-1</x:f>
        <x:v>-0.13770938839111801</x:v>
      </x:c>
      <x:c r="K52" s="8" t="n">
        <x:f>H52*('Source Data'!H$8/'Source Data'!F$8)*EXP(F52*('Source Data'!H$7-'Source Data'!F$7))</x:f>
        <x:v>5211.4906722085025</x:v>
      </x:c>
      <x:c r="L52" s="14" t="n">
        <x:f>I52/K52-1</x:f>
        <x:v>-0.1505309558341883</x:v>
      </x:c>
      <x:c r="M52" s="8" t="n">
        <x:f>'Source Data'!G52</x:f>
        <x:v>4498</x:v>
      </x:c>
      <x:c r="N52" s="8" t="n">
        <x:f>M52*('Source Data'!H$8/'Source Data'!G$8)*EXP(F52*('Source Data'!H$7-'Source Data'!G$7))</x:f>
        <x:v>4559.417297398484</x:v>
      </x:c>
      <x:c r="O52" s="14" t="n">
        <x:f>I52/N52-1</x:f>
        <x:v>-0.02904259223520489</x:v>
      </x:c>
      <x:c r="P52" s="2" t="str"/>
    </x:row>
    <x:row r="53">
      <x:c r="A53" s="2" t="str">
        <x:f>'Source Data'!A53</x:f>
        <x:v>115114</x:v>
      </x:c>
      <x:c r="B53" s="2" t="str">
        <x:f>'Source Data'!B53</x:f>
        <x:v>Postharvest Crop Activities (except Cotton Ginning)</x:v>
      </x:c>
      <x:c r="C53" s="13" t="n">
        <x:f>LN('Source Data'!C53/'Source Data'!C$8)</x:f>
        <x:v>-6.088567985184792</x:v>
      </x:c>
      <x:c r="D53" s="13" t="n">
        <x:f>LN('Source Data'!D53/'Source Data'!D$8)</x:f>
        <x:v>-6.0354691882207945</x:v>
      </x:c>
      <x:c r="E53" s="13" t="n">
        <x:f>LN('Source Data'!E53/'Source Data'!E$8)</x:f>
        <x:v>-6.107653212175174</x:v>
      </x:c>
      <x:c r="F53" s="13" t="n">
        <x:f>SLOPE(C53:E53,'Source Data'!C$7:E$7)</x:f>
        <x:v>-0.009542613495191254</x:v>
      </x:c>
      <x:c r="G53" s="14" t="n">
        <x:f>EXP(F53)-1</x:f>
        <x:v>-0.00949722724158808</x:v>
      </x:c>
      <x:c r="H53" s="8" t="n">
        <x:f>'Source Data'!F53</x:f>
        <x:v>32182</x:v>
      </x:c>
      <x:c r="I53" s="8" t="n">
        <x:f>'Source Data'!H53</x:f>
        <x:v>30044</x:v>
      </x:c>
      <x:c r="J53" s="14" t="n">
        <x:f>I53/H53-1</x:f>
        <x:v>-0.06643465291156547</x:v>
      </x:c>
      <x:c r="K53" s="8" t="n">
        <x:f>H53*('Source Data'!H$8/'Source Data'!F$8)*EXP(F53*('Source Data'!H$7-'Source Data'!F$7))</x:f>
        <x:v>31526.385847524623</x:v>
      </x:c>
      <x:c r="L53" s="14" t="n">
        <x:f>I53/K53-1</x:f>
        <x:v>-0.04702048165920725</x:v>
      </x:c>
      <x:c r="M53" s="8" t="n">
        <x:f>'Source Data'!G53</x:f>
        <x:v>30295</x:v>
      </x:c>
      <x:c r="N53" s="8" t="n">
        <x:f>M53*('Source Data'!H$8/'Source Data'!G$8)*EXP(F53*('Source Data'!H$7-'Source Data'!G$7))</x:f>
        <x:v>29900.409754812124</x:v>
      </x:c>
      <x:c r="O53" s="14" t="n">
        <x:f>I53/N53-1</x:f>
        <x:v>0.0048022835260566055</x:v>
      </x:c>
      <x:c r="P53" s="2" t="str"/>
    </x:row>
    <x:row r="54">
      <x:c r="A54" s="2" t="str">
        <x:f>'Source Data'!A54</x:f>
        <x:v>115115</x:v>
      </x:c>
      <x:c r="B54" s="2" t="str">
        <x:f>'Source Data'!B54</x:f>
        <x:v>Farm Labor Contractors and Crew Leaders</x:v>
      </x:c>
      <x:c r="C54" s="13" t="n">
        <x:f>LN('Source Data'!C54/'Source Data'!C$8)</x:f>
        <x:v>-4.822099218385507</x:v>
      </x:c>
      <x:c r="D54" s="13" t="n">
        <x:f>LN('Source Data'!D54/'Source Data'!D$8)</x:f>
        <x:v>-4.905944886725369</x:v>
      </x:c>
      <x:c r="E54" s="13" t="n">
        <x:f>LN('Source Data'!E54/'Source Data'!E$8)</x:f>
        <x:v>-4.868656968968179</x:v>
      </x:c>
      <x:c r="F54" s="13" t="n">
        <x:f>SLOPE(C54:E54,'Source Data'!C$7:E$7)</x:f>
        <x:v>-0.02327887529133621</x:v>
      </x:c>
      <x:c r="G54" s="14" t="n">
        <x:f>EXP(F54)-1</x:f>
        <x:v>-0.02301001258857993</x:v>
      </x:c>
      <x:c r="H54" s="8" t="n">
        <x:f>'Source Data'!F54</x:f>
        <x:v>115472</x:v>
      </x:c>
      <x:c r="I54" s="8" t="n">
        <x:f>'Source Data'!H54</x:f>
        <x:v>121757</x:v>
      </x:c>
      <x:c r="J54" s="14" t="n">
        <x:f>I54/H54-1</x:f>
        <x:v>0.054428779271165295</x:v>
      </x:c>
      <x:c r="K54" s="8" t="n">
        <x:f>H54*('Source Data'!H$8/'Source Data'!F$8)*EXP(F54*('Source Data'!H$7-'Source Data'!F$7))</x:f>
        <x:v>107071.90094765165</x:v>
      </x:c>
      <x:c r="L54" s="14" t="n">
        <x:f>I54/K54-1</x:f>
        <x:v>0.13715175431066662</x:v>
      </x:c>
      <x:c r="M54" s="8" t="n">
        <x:f>'Source Data'!G54</x:f>
        <x:v>107299</x:v>
      </x:c>
      <x:c r="N54" s="8" t="n">
        <x:f>M54*('Source Data'!H$8/'Source Data'!G$8)*EXP(F54*('Source Data'!H$7-'Source Data'!G$7))</x:f>
        <x:v>101626.064908795</x:v>
      </x:c>
      <x:c r="O54" s="14" t="n">
        <x:f>I54/N54-1</x:f>
        <x:v>0.1980883064720811</x:v>
      </x:c>
      <x:c r="P54" s="2" t="str"/>
    </x:row>
    <x:row r="55">
      <x:c r="A55" s="2" t="str">
        <x:f>'Source Data'!A55</x:f>
        <x:v>115116</x:v>
      </x:c>
      <x:c r="B55" s="2" t="str">
        <x:f>'Source Data'!B55</x:f>
        <x:v>Farm Management Services</x:v>
      </x:c>
      <x:c r="C55" s="13" t="n">
        <x:f>LN('Source Data'!C55/'Source Data'!C$8)</x:f>
        <x:v>-7.2438416905249365</x:v>
      </x:c>
      <x:c r="D55" s="13" t="n">
        <x:f>LN('Source Data'!D55/'Source Data'!D$8)</x:f>
        <x:v>-7.270238670111689</x:v>
      </x:c>
      <x:c r="E55" s="13" t="n">
        <x:f>LN('Source Data'!E55/'Source Data'!E$8)</x:f>
        <x:v>-7.200095335742888</x:v>
      </x:c>
      <x:c r="F55" s="13" t="n">
        <x:f>SLOPE(C55:E55,'Source Data'!C$7:E$7)</x:f>
        <x:v>0.021873177391024345</x:v>
      </x:c>
      <x:c r="G55" s="14" t="n">
        <x:f>EXP(F55)-1</x:f>
        <x:v>0.022114149067206323</x:v>
      </x:c>
      <x:c r="H55" s="8" t="n">
        <x:f>'Source Data'!F55</x:f>
        <x:v>11344</x:v>
      </x:c>
      <x:c r="I55" s="8" t="n">
        <x:f>'Source Data'!H55</x:f>
        <x:v>11599</x:v>
      </x:c>
      <x:c r="J55" s="14" t="n">
        <x:f>I55/H55-1</x:f>
        <x:v>0.02247884344146689</x:v>
      </x:c>
      <x:c r="K55" s="8" t="n">
        <x:f>H55*('Source Data'!H$8/'Source Data'!F$8)*EXP(F55*('Source Data'!H$7-'Source Data'!F$7))</x:f>
        <x:v>12600.918201696675</x:v>
      </x:c>
      <x:c r="L55" s="14" t="n">
        <x:f>I55/K55-1</x:f>
        <x:v>-0.07951152333976508</x:v>
      </x:c>
      <x:c r="M55" s="8" t="n">
        <x:f>'Source Data'!G55</x:f>
        <x:v>11128</x:v>
      </x:c>
      <x:c r="N55" s="8" t="n">
        <x:f>M55*('Source Data'!H$8/'Source Data'!G$8)*EXP(F55*('Source Data'!H$7-'Source Data'!G$7))</x:f>
        <x:v>12068.531100991522</x:v>
      </x:c>
      <x:c r="O55" s="14" t="n">
        <x:f>I55/N55-1</x:f>
        <x:v>-0.03890540589094116</x:v>
      </x:c>
      <x:c r="P55" s="2" t="str"/>
    </x:row>
    <x:row r="56">
      <x:c r="A56" s="2" t="str">
        <x:f>'Source Data'!A56</x:f>
        <x:v>115210</x:v>
      </x:c>
      <x:c r="B56" s="2" t="str">
        <x:f>'Source Data'!B56</x:f>
        <x:v>Support Activities for Animal Production</x:v>
      </x:c>
      <x:c r="C56" s="13" t="n">
        <x:f>LN('Source Data'!C56/'Source Data'!C$8)</x:f>
        <x:v>-8.51135251565486</x:v>
      </x:c>
      <x:c r="D56" s="13" t="n">
        <x:f>LN('Source Data'!D56/'Source Data'!D$8)</x:f>
        <x:v>-8.510304915645632</x:v>
      </x:c>
      <x:c r="E56" s="13" t="n">
        <x:f>LN('Source Data'!E56/'Source Data'!E$8)</x:f>
        <x:v>-8.496651522168893</x:v>
      </x:c>
      <x:c r="F56" s="13" t="n">
        <x:f>SLOPE(C56:E56,'Source Data'!C$7:E$7)</x:f>
        <x:v>0.007350496742983381</x:v>
      </x:c>
      <x:c r="G56" s="14" t="n">
        <x:f>EXP(F56)-1</x:f>
        <x:v>0.007377577956961812</x:v>
      </x:c>
      <x:c r="H56" s="8" t="n">
        <x:f>'Source Data'!F56</x:f>
        <x:v>2912</x:v>
      </x:c>
      <x:c r="I56" s="8" t="n">
        <x:f>'Source Data'!H56</x:f>
        <x:v>2752</x:v>
      </x:c>
      <x:c r="J56" s="14" t="n">
        <x:f>I56/H56-1</x:f>
        <x:v>-0.05494505494505497</x:v>
      </x:c>
      <x:c r="K56" s="8" t="n">
        <x:f>H56*('Source Data'!H$8/'Source Data'!F$8)*EXP(F56*('Source Data'!H$7-'Source Data'!F$7))</x:f>
        <x:v>3052.1007450792695</x:v>
      </x:c>
      <x:c r="L56" s="14" t="n">
        <x:f>I56/K56-1</x:f>
        <x:v>-0.09832596304794494</x:v>
      </x:c>
      <x:c r="M56" s="8" t="n">
        <x:f>'Source Data'!G56</x:f>
        <x:v>2810</x:v>
      </x:c>
      <x:c r="N56" s="8" t="n">
        <x:f>M56*('Source Data'!H$8/'Source Data'!G$8)*EXP(F56*('Source Data'!H$7-'Source Data'!G$7))</x:f>
        <x:v>2917.5765298345095</x:v>
      </x:c>
      <x:c r="O56" s="14" t="n">
        <x:f>I56/N56-1</x:f>
        <x:v>-0.05675139217133107</x:v>
      </x:c>
      <x:c r="P56" s="2" t="str"/>
    </x:row>
    <x:row r="57">
      <x:c r="A57" s="2" t="str">
        <x:f>'Source Data'!A57</x:f>
        <x:v>115310</x:v>
      </x:c>
      <x:c r="B57" s="2" t="str">
        <x:f>'Source Data'!B57</x:f>
        <x:v>Support Activities for Forestry</x:v>
      </x:c>
      <x:c r="C57" s="13" t="n">
        <x:f>LN('Source Data'!C57/'Source Data'!C$8)</x:f>
        <x:v>-9.340269617320427</x:v>
      </x:c>
      <x:c r="D57" s="13" t="n">
        <x:f>LN('Source Data'!D57/'Source Data'!D$8)</x:f>
        <x:v>-9.17664083875492</x:v>
      </x:c>
      <x:c r="E57" s="13" t="n">
        <x:f>LN('Source Data'!E57/'Source Data'!E$8)</x:f>
        <x:v>-9.158687962968589</x:v>
      </x:c>
      <x:c r="F57" s="13" t="n">
        <x:f>SLOPE(C57:E57,'Source Data'!C$7:E$7)</x:f>
        <x:v>0.09079082717591902</x:v>
      </x:c>
      <x:c r="G57" s="14" t="n">
        <x:f>EXP(F57)-1</x:f>
        <x:v>0.09503992870663702</x:v>
      </x:c>
      <x:c r="H57" s="8" t="n">
        <x:f>'Source Data'!F57</x:f>
        <x:v>2367</x:v>
      </x:c>
      <x:c r="I57" s="8" t="n">
        <x:f>'Source Data'!H57</x:f>
        <x:v>2225</x:v>
      </x:c>
      <x:c r="J57" s="14" t="n">
        <x:f>I57/H57-1</x:f>
        <x:v>-0.059991550485847034</x:v>
      </x:c>
      <x:c r="K57" s="8" t="n">
        <x:f>H57*('Source Data'!H$8/'Source Data'!F$8)*EXP(F57*('Source Data'!H$7-'Source Data'!F$7))</x:f>
        <x:v>3463.829068406704</x:v>
      </x:c>
      <x:c r="L57" s="14" t="n">
        <x:f>I57/K57-1</x:f>
        <x:v>-0.3576472868439037</x:v>
      </x:c>
      <x:c r="M57" s="8" t="n">
        <x:f>'Source Data'!G57</x:f>
        <x:v>2053</x:v>
      </x:c>
      <x:c r="N57" s="8" t="n">
        <x:f>M57*('Source Data'!H$8/'Source Data'!G$8)*EXP(F57*('Source Data'!H$7-'Source Data'!G$7))</x:f>
        <x:v>2737.902077903855</x:v>
      </x:c>
      <x:c r="O57" s="14" t="n">
        <x:f>I57/N57-1</x:f>
        <x:v>-0.1873339744482514</x:v>
      </x:c>
      <x:c r="P57" s="2" t="str"/>
    </x:row>
    <x:row r="58">
      <x:c r="A58" s="2" t="str">
        <x:f>'Source Data'!A58</x:f>
        <x:v>211120</x:v>
      </x:c>
      <x:c r="B58" s="2" t="str">
        <x:f>'Source Data'!B58</x:f>
        <x:v>Crude Petroleum Extraction</x:v>
      </x:c>
      <x:c r="C58" s="13" t="n">
        <x:f>LN('Source Data'!C58/'Source Data'!C$8)</x:f>
        <x:v>-8.287305025190687</x:v>
      </x:c>
      <x:c r="D58" s="13" t="n">
        <x:f>LN('Source Data'!D58/'Source Data'!D$8)</x:f>
        <x:v>-8.314152812873742</x:v>
      </x:c>
      <x:c r="E58" s="13" t="n">
        <x:f>LN('Source Data'!E58/'Source Data'!E$8)</x:f>
        <x:v>-8.337248039718775</x:v>
      </x:c>
      <x:c r="F58" s="13" t="n">
        <x:f>SLOPE(C58:E58,'Source Data'!C$7:E$7)</x:f>
        <x:v>-0.024971507264043957</x:v>
      </x:c>
      <x:c r="G58" s="14" t="n">
        <x:f>EXP(F58)-1</x:f>
        <x:v>-0.024662298327968957</x:v>
      </x:c>
      <x:c r="H58" s="8" t="n">
        <x:f>'Source Data'!F58</x:f>
        <x:v>2585</x:v>
      </x:c>
      <x:c r="I58" s="8" t="n">
        <x:f>'Source Data'!H58</x:f>
        <x:v>1870</x:v>
      </x:c>
      <x:c r="J58" s="14" t="n">
        <x:f>I58/H58-1</x:f>
        <x:v>-0.276595744680851</x:v>
      </x:c>
      <x:c r="K58" s="8" t="n">
        <x:f>H58*('Source Data'!H$8/'Source Data'!F$8)*EXP(F58*('Source Data'!H$7-'Source Data'!F$7))</x:f>
        <x:v>2380.7783784976577</x:v>
      </x:c>
      <x:c r="L58" s="14" t="n">
        <x:f>I58/K58-1</x:f>
        <x:v>-0.21454259796326536</x:v>
      </x:c>
      <x:c r="M58" s="8" t="n">
        <x:f>'Source Data'!G58</x:f>
        <x:v>2594</x:v>
      </x:c>
      <x:c r="N58" s="8" t="n">
        <x:f>M58*('Source Data'!H$8/'Source Data'!G$8)*EXP(F58*('Source Data'!H$7-'Source Data'!G$7))</x:f>
        <x:v>2444.410297372448</x:v>
      </x:c>
      <x:c r="O58" s="14" t="n">
        <x:f>I58/N58-1</x:f>
        <x:v>-0.2349893133693205</x:v>
      </x:c>
      <x:c r="P58" s="2" t="str"/>
    </x:row>
    <x:row r="59">
      <x:c r="A59" s="2" t="str">
        <x:f>'Source Data'!A59</x:f>
        <x:v>211130</x:v>
      </x:c>
      <x:c r="B59" s="2" t="str">
        <x:f>'Source Data'!B59</x:f>
        <x:v>Natural Gas Extraction</x:v>
      </x:c>
      <x:c r="C59" s="13" t="n">
        <x:f>LN('Source Data'!C59/'Source Data'!C$8)</x:f>
        <x:v>-9.328388289433674</x:v>
      </x:c>
      <x:c r="D59" s="13" t="n">
        <x:f>LN('Source Data'!D59/'Source Data'!D$8)</x:f>
        <x:v>-9.361346186904152</x:v>
      </x:c>
      <x:c r="E59" s="13" t="n">
        <x:f>LN('Source Data'!E59/'Source Data'!E$8)</x:f>
        <x:v>-9.365689369192502</x:v>
      </x:c>
      <x:c r="F59" s="13" t="n">
        <x:f>SLOPE(C59:E59,'Source Data'!C$7:E$7)</x:f>
        <x:v>-0.01865053987941412</x:v>
      </x:c>
      <x:c r="G59" s="14" t="n">
        <x:f>EXP(F59)-1</x:f>
        <x:v>-0.018477694779991283</x:v>
      </x:c>
      <x:c r="H59" s="8" t="n">
        <x:f>'Source Data'!F59</x:f>
        <x:v>759</x:v>
      </x:c>
      <x:c r="I59" s="8" t="n">
        <x:f>'Source Data'!H59</x:f>
        <x:v>738</x:v>
      </x:c>
      <x:c r="J59" s="14" t="n">
        <x:f>I59/H59-1</x:f>
        <x:v>-0.02766798418972327</x:v>
      </x:c>
      <x:c r="K59" s="8" t="n">
        <x:f>H59*('Source Data'!H$8/'Source Data'!F$8)*EXP(F59*('Source Data'!H$7-'Source Data'!F$7))</x:f>
        <x:v>716.9367507544334</x:v>
      </x:c>
      <x:c r="L59" s="14" t="n">
        <x:f>I59/K59-1</x:f>
        <x:v>0.029379508336546678</x:v>
      </x:c>
      <x:c r="M59" s="8" t="n">
        <x:f>'Source Data'!G59</x:f>
        <x:v>827</x:v>
      </x:c>
      <x:c r="N59" s="8" t="n">
        <x:f>M59*('Source Data'!H$8/'Source Data'!G$8)*EXP(F59*('Source Data'!H$7-'Source Data'!G$7))</x:f>
        <x:v>794.2278763167249</x:v>
      </x:c>
      <x:c r="O59" s="14" t="n">
        <x:f>I59/N59-1</x:f>
        <x:v>-0.07079564693383056</x:v>
      </x:c>
      <x:c r="P59" s="2" t="str"/>
    </x:row>
    <x:row r="60">
      <x:c r="A60" s="2" t="str">
        <x:f>'Source Data'!A60</x:f>
        <x:v>212319</x:v>
      </x:c>
      <x:c r="B60" s="2" t="str">
        <x:f>'Source Data'!B60</x:f>
        <x:v>Other Crushed and Broken Stone Mining and Quarrying</x:v>
      </x:c>
      <x:c r="C60" s="13" t="n">
        <x:f>LN('Source Data'!C60/'Source Data'!C$8)</x:f>
        <x:v>-10.189162374377446</x:v>
      </x:c>
      <x:c r="D60" s="13" t="n">
        <x:f>LN('Source Data'!D60/'Source Data'!D$8)</x:f>
        <x:v>-10.161003664347959</x:v>
      </x:c>
      <x:c r="E60" s="13" t="n">
        <x:f>LN('Source Data'!E60/'Source Data'!E$8)</x:f>
        <x:v>-10.058836549752447</x:v>
      </x:c>
      <x:c r="F60" s="13" t="n">
        <x:f>SLOPE(C60:E60,'Source Data'!C$7:E$7)</x:f>
        <x:v>0.06516291231249927</x:v>
      </x:c>
      <x:c r="G60" s="14" t="n">
        <x:f>EXP(F60)-1</x:f>
        <x:v>0.06733289189085379</x:v>
      </x:c>
      <x:c r="H60" s="8" t="n">
        <x:f>'Source Data'!F60</x:f>
        <x:v>645</x:v>
      </x:c>
      <x:c r="I60" s="8" t="n">
        <x:f>'Source Data'!H60</x:f>
        <x:v>534</x:v>
      </x:c>
      <x:c r="J60" s="14" t="n">
        <x:f>I60/H60-1</x:f>
        <x:v>-0.172093023255814</x:v>
      </x:c>
      <x:c r="K60" s="8" t="n">
        <x:f>H60*('Source Data'!H$8/'Source Data'!F$8)*EXP(F60*('Source Data'!H$7-'Source Data'!F$7))</x:f>
        <x:v>851.9177385282148</x:v>
      </x:c>
      <x:c r="L60" s="14" t="n">
        <x:f>I60/K60-1</x:f>
        <x:v>-0.37317891640271983</x:v>
      </x:c>
      <x:c r="M60" s="8" t="n">
        <x:f>'Source Data'!G60</x:f>
        <x:v>616</x:v>
      </x:c>
      <x:c r="N60" s="8" t="n">
        <x:f>M60*('Source Data'!H$8/'Source Data'!G$8)*EXP(F60*('Source Data'!H$7-'Source Data'!G$7))</x:f>
        <x:v>760.710635446486</x:v>
      </x:c>
      <x:c r="O60" s="14" t="n">
        <x:f>I60/N60-1</x:f>
        <x:v>-0.2980248006042693</x:v>
      </x:c>
      <x:c r="P60" s="2" t="str"/>
    </x:row>
    <x:row r="61">
      <x:c r="A61" s="2" t="str">
        <x:f>'Source Data'!A61</x:f>
        <x:v>212321</x:v>
      </x:c>
      <x:c r="B61" s="2" t="str">
        <x:f>'Source Data'!B61</x:f>
        <x:v>Construction Sand and Gravel Mining</x:v>
      </x:c>
      <x:c r="C61" s="13" t="n">
        <x:f>LN('Source Data'!C61/'Source Data'!C$8)</x:f>
        <x:v>-8.660760835081824</x:v>
      </x:c>
      <x:c r="D61" s="13" t="n">
        <x:f>LN('Source Data'!D61/'Source Data'!D$8)</x:f>
        <x:v>-8.710447369009698</x:v>
      </x:c>
      <x:c r="E61" s="13" t="n">
        <x:f>LN('Source Data'!E61/'Source Data'!E$8)</x:f>
        <x:v>-8.70565911884782</x:v>
      </x:c>
      <x:c r="F61" s="13" t="n">
        <x:f>SLOPE(C61:E61,'Source Data'!C$7:E$7)</x:f>
        <x:v>-0.022449141882997736</x:v>
      </x:c>
      <x:c r="G61" s="14" t="n">
        <x:f>EXP(F61)-1</x:f>
        <x:v>-0.022199034955321606</x:v>
      </x:c>
      <x:c r="H61" s="8" t="n">
        <x:f>'Source Data'!F61</x:f>
        <x:v>2279</x:v>
      </x:c>
      <x:c r="I61" s="8" t="n">
        <x:f>'Source Data'!H61</x:f>
        <x:v>2074</x:v>
      </x:c>
      <x:c r="J61" s="14" t="n">
        <x:f>I61/H61-1</x:f>
        <x:v>-0.089951733216323</x:v>
      </x:c>
      <x:c r="K61" s="8" t="n">
        <x:f>H61*('Source Data'!H$8/'Source Data'!F$8)*EXP(F61*('Source Data'!H$7-'Source Data'!F$7))</x:f>
        <x:v>2120.2376635115006</x:v>
      </x:c>
      <x:c r="L61" s="14" t="n">
        <x:f>I61/K61-1</x:f>
        <x:v>-0.02180777386763455</x:v>
      </x:c>
      <x:c r="M61" s="8" t="n">
        <x:f>'Source Data'!G61</x:f>
        <x:v>1946</x:v>
      </x:c>
      <x:c r="N61" s="8" t="n">
        <x:f>M61*('Source Data'!H$8/'Source Data'!G$8)*EXP(F61*('Source Data'!H$7-'Source Data'!G$7))</x:f>
        <x:v>1847.7079050346456</x:v>
      </x:c>
      <x:c r="O61" s="14" t="n">
        <x:f>I61/N61-1</x:f>
        <x:v>0.1224717902373813</x:v>
      </x:c>
      <x:c r="P61" s="2" t="str"/>
    </x:row>
    <x:row r="62">
      <x:c r="A62" s="2" t="str">
        <x:f>'Source Data'!A62</x:f>
        <x:v>213111</x:v>
      </x:c>
      <x:c r="B62" s="2" t="str">
        <x:f>'Source Data'!B62</x:f>
        <x:v>Drilling Oil and Gas Wells</x:v>
      </x:c>
      <x:c r="C62" s="13" t="n">
        <x:f>LN('Source Data'!C62/'Source Data'!C$8)</x:f>
        <x:v>-8.560542759845632</x:v>
      </x:c>
      <x:c r="D62" s="13" t="n">
        <x:f>LN('Source Data'!D62/'Source Data'!D$8)</x:f>
        <x:v>-8.583577116751957</x:v>
      </x:c>
      <x:c r="E62" s="13" t="n">
        <x:f>LN('Source Data'!E62/'Source Data'!E$8)</x:f>
        <x:v>-8.500609310976309</x:v>
      </x:c>
      <x:c r="F62" s="13" t="n">
        <x:f>SLOPE(C62:E62,'Source Data'!C$7:E$7)</x:f>
        <x:v>0.02996672443466153</x:v>
      </x:c>
      <x:c r="G62" s="14" t="n">
        <x:f>EXP(F62)-1</x:f>
        <x:v>0.030420245566829873</x:v>
      </x:c>
      <x:c r="H62" s="8" t="n">
        <x:f>'Source Data'!F62</x:f>
        <x:v>1899</x:v>
      </x:c>
      <x:c r="I62" s="8" t="n">
        <x:f>'Source Data'!H62</x:f>
        <x:v>1453</x:v>
      </x:c>
      <x:c r="J62" s="14" t="n">
        <x:f>I62/H62-1</x:f>
        <x:v>-0.2348604528699315</x:v>
      </x:c>
      <x:c r="K62" s="8" t="n">
        <x:f>H62*('Source Data'!H$8/'Source Data'!F$8)*EXP(F62*('Source Data'!H$7-'Source Data'!F$7))</x:f>
        <x:v>2178.8175789351885</x:v>
      </x:c>
      <x:c r="L62" s="14" t="n">
        <x:f>I62/K62-1</x:f>
        <x:v>-0.33312452862157615</x:v>
      </x:c>
      <x:c r="M62" s="8" t="n">
        <x:f>'Source Data'!G62</x:f>
        <x:v>2231</x:v>
      </x:c>
      <x:c r="N62" s="8" t="n">
        <x:f>M62*('Source Data'!H$8/'Source Data'!G$8)*EXP(F62*('Source Data'!H$7-'Source Data'!G$7))</x:f>
        <x:v>2479.030190107739</x:v>
      </x:c>
      <x:c r="O62" s="14" t="n">
        <x:f>I62/N62-1</x:f>
        <x:v>-0.4138837010545433</x:v>
      </x:c>
      <x:c r="P62" s="2" t="str"/>
    </x:row>
    <x:row r="63">
      <x:c r="A63" s="2" t="str">
        <x:f>'Source Data'!A63</x:f>
        <x:v>213112</x:v>
      </x:c>
      <x:c r="B63" s="2" t="str">
        <x:f>'Source Data'!B63</x:f>
        <x:v>Support Activities for Oil and Gas Operations</x:v>
      </x:c>
      <x:c r="C63" s="13" t="n">
        <x:f>LN('Source Data'!C63/'Source Data'!C$8)</x:f>
        <x:v>-7.82238798322825</x:v>
      </x:c>
      <x:c r="D63" s="13" t="n">
        <x:f>LN('Source Data'!D63/'Source Data'!D$8)</x:f>
        <x:v>-7.699676677387208</x:v>
      </x:c>
      <x:c r="E63" s="13" t="n">
        <x:f>LN('Source Data'!E63/'Source Data'!E$8)</x:f>
        <x:v>-7.698456580581204</x:v>
      </x:c>
      <x:c r="F63" s="13" t="n">
        <x:f>SLOPE(C63:E63,'Source Data'!C$7:E$7)</x:f>
        <x:v>0.06196570132352308</x:v>
      </x:c>
      <x:c r="G63" s="14" t="n">
        <x:f>EXP(F63)-1</x:f>
        <x:v>0.0639258528536033</x:v>
      </x:c>
      <x:c r="H63" s="8" t="n">
        <x:f>'Source Data'!F63</x:f>
        <x:v>5418</x:v>
      </x:c>
      <x:c r="I63" s="8" t="n">
        <x:f>'Source Data'!H63</x:f>
        <x:v>5325</x:v>
      </x:c>
      <x:c r="J63" s="14" t="n">
        <x:f>I63/H63-1</x:f>
        <x:v>-0.017165005537098543</x:v>
      </x:c>
      <x:c r="K63" s="8" t="n">
        <x:f>H63*('Source Data'!H$8/'Source Data'!F$8)*EXP(F63*('Source Data'!H$7-'Source Data'!F$7))</x:f>
        <x:v>7065.173362528088</x:v>
      </x:c>
      <x:c r="L63" s="14" t="n">
        <x:f>I63/K63-1</x:f>
        <x:v>-0.24630299544488632</x:v>
      </x:c>
      <x:c r="M63" s="8" t="n">
        <x:f>'Source Data'!G63</x:f>
        <x:v>5789</x:v>
      </x:c>
      <x:c r="N63" s="8" t="n">
        <x:f>M63*('Source Data'!H$8/'Source Data'!G$8)*EXP(F63*('Source Data'!H$7-'Source Data'!G$7))</x:f>
        <x:v>7080.7087712814155</x:v>
      </x:c>
      <x:c r="O63" s="14" t="n">
        <x:f>I63/N63-1</x:f>
        <x:v>-0.24795664219412317</x:v>
      </x:c>
      <x:c r="P63" s="2" t="str"/>
    </x:row>
    <x:row r="64">
      <x:c r="A64" s="2" t="str">
        <x:f>'Source Data'!A64</x:f>
        <x:v>213115</x:v>
      </x:c>
      <x:c r="B64" s="2" t="str">
        <x:f>'Source Data'!B64</x:f>
        <x:v>Support Activities for Nonmetallic Minerals (except Fuels) Mining</x:v>
      </x:c>
      <x:c r="C64" s="13" t="n">
        <x:f>LN('Source Data'!C64/'Source Data'!C$8)</x:f>
        <x:v>-11.721570277779946</x:v>
      </x:c>
      <x:c r="D64" s="13" t="n">
        <x:f>LN('Source Data'!D64/'Source Data'!D$8)</x:f>
        <x:v>-11.622632072293248</x:v>
      </x:c>
      <x:c r="E64" s="13" t="n">
        <x:f>LN('Source Data'!E64/'Source Data'!E$8)</x:f>
        <x:v>-11.317109174058785</x:v>
      </x:c>
      <x:c r="F64" s="13" t="n">
        <x:f>SLOPE(C64:E64,'Source Data'!C$7:E$7)</x:f>
        <x:v>0.20223055186058048</x:v>
      </x:c>
      <x:c r="G64" s="14" t="n">
        <x:f>EXP(F64)-1</x:f>
        <x:v>0.2241302010755024</x:v>
      </x:c>
      <x:c r="H64" s="8" t="n">
        <x:f>'Source Data'!F64</x:f>
        <x:v>140</x:v>
      </x:c>
      <x:c r="I64" s="8" t="n">
        <x:f>'Source Data'!H64</x:f>
        <x:v>142</x:v>
      </x:c>
      <x:c r="J64" s="14" t="n">
        <x:f>I64/H64-1</x:f>
        <x:v>0.014285714285714235</x:v>
      </x:c>
      <x:c r="K64" s="8" t="n">
        <x:f>H64*('Source Data'!H$8/'Source Data'!F$8)*EXP(F64*('Source Data'!H$7-'Source Data'!F$7))</x:f>
        <x:v>319.94612912917944</x:v>
      </x:c>
      <x:c r="L64" s="14" t="n">
        <x:f>I64/K64-1</x:f>
        <x:v>-0.5561752836751246</x:v>
      </x:c>
      <x:c r="M64" s="8" t="n">
        <x:f>'Source Data'!G64</x:f>
        <x:v>128</x:v>
      </x:c>
      <x:c r="N64" s="8" t="n">
        <x:f>M64*('Source Data'!H$8/'Source Data'!G$8)*EXP(F64*('Source Data'!H$7-'Source Data'!G$7))</x:f>
        <x:v>238.46898550640032</x:v>
      </x:c>
      <x:c r="O64" s="14" t="n">
        <x:f>I64/N64-1</x:f>
        <x:v>-0.4045347251406459</x:v>
      </x:c>
      <x:c r="P64" s="2" t="str"/>
    </x:row>
    <x:row r="65">
      <x:c r="A65" s="2" t="str">
        <x:f>'Source Data'!A65</x:f>
        <x:v>221114</x:v>
      </x:c>
      <x:c r="B65" s="2" t="str">
        <x:f>'Source Data'!B65</x:f>
        <x:v>Solar Electric Power Generation</x:v>
      </x:c>
      <x:c r="C65" s="13" t="n">
        <x:f>LN('Source Data'!C65/'Source Data'!C$8)</x:f>
        <x:v>-10.043829386952831</x:v>
      </x:c>
      <x:c r="D65" s="13" t="n">
        <x:f>LN('Source Data'!D65/'Source Data'!D$8)</x:f>
        <x:v>-9.989060258522718</x:v>
      </x:c>
      <x:c r="E65" s="13" t="n">
        <x:f>LN('Source Data'!E65/'Source Data'!E$8)</x:f>
        <x:v>-10.054138028970893</x:v>
      </x:c>
      <x:c r="F65" s="13" t="n">
        <x:f>SLOPE(C65:E65,'Source Data'!C$7:E$7)</x:f>
        <x:v>-0.005154321009031015</x:v>
      </x:c>
      <x:c r="G65" s="14" t="n">
        <x:f>EXP(F65)-1</x:f>
        <x:v>-0.0051410602896164725</x:v>
      </x:c>
      <x:c r="H65" s="8" t="n">
        <x:f>'Source Data'!F65</x:f>
        <x:v>2025</x:v>
      </x:c>
      <x:c r="I65" s="8" t="n">
        <x:f>'Source Data'!H65</x:f>
        <x:v>3352</x:v>
      </x:c>
      <x:c r="J65" s="14" t="n">
        <x:f>I65/H65-1</x:f>
        <x:v>0.6553086419753087</x:v>
      </x:c>
      <x:c r="K65" s="8" t="n">
        <x:f>H65*('Source Data'!H$8/'Source Data'!F$8)*EXP(F65*('Source Data'!H$7-'Source Data'!F$7))</x:f>
        <x:v>2018.8749920149698</x:v>
      </x:c>
      <x:c r="L65" s="14" t="n">
        <x:f>I65/K65-1</x:f>
        <x:v>0.6603306362492924</x:v>
      </x:c>
      <x:c r="M65" s="8" t="n">
        <x:f>'Source Data'!G65</x:f>
        <x:v>2704</x:v>
      </x:c>
      <x:c r="N65" s="8" t="n">
        <x:f>M65*('Source Data'!H$8/'Source Data'!G$8)*EXP(F65*('Source Data'!H$7-'Source Data'!G$7))</x:f>
        <x:v>2704.147046270455</x:v>
      </x:c>
      <x:c r="O65" s="14" t="n">
        <x:f>I65/N65-1</x:f>
        <x:v>0.23957756092556437</x:v>
      </x:c>
      <x:c r="P65" s="2" t="str"/>
    </x:row>
    <x:row r="66">
      <x:c r="A66" s="2" t="str">
        <x:f>'Source Data'!A66</x:f>
        <x:v>221115</x:v>
      </x:c>
      <x:c r="B66" s="2" t="str">
        <x:f>'Source Data'!B66</x:f>
        <x:v>Wind Electric Power Generation</x:v>
      </x:c>
      <x:c r="C66" s="13" t="n">
        <x:f>LN('Source Data'!C66/'Source Data'!C$8)</x:f>
        <x:v>-9.893135329993484</x:v>
      </x:c>
      <x:c r="D66" s="13" t="n">
        <x:f>LN('Source Data'!D66/'Source Data'!D$8)</x:f>
        <x:v>-9.992045335366171</x:v>
      </x:c>
      <x:c r="E66" s="13" t="n">
        <x:f>LN('Source Data'!E66/'Source Data'!E$8)</x:f>
        <x:v>-9.960249313513945</x:v>
      </x:c>
      <x:c r="F66" s="13" t="n">
        <x:f>SLOPE(C66:E66,'Source Data'!C$7:E$7)</x:f>
        <x:v>-0.033556991760230304</x:v>
      </x:c>
      <x:c r="G66" s="14" t="n">
        <x:f>EXP(F66)-1</x:f>
        <x:v>-0.03300020135973081</x:v>
      </x:c>
      <x:c r="H66" s="8" t="n">
        <x:f>'Source Data'!F66</x:f>
        <x:v>646</x:v>
      </x:c>
      <x:c r="I66" s="8" t="n">
        <x:f>'Source Data'!H66</x:f>
        <x:v>866</x:v>
      </x:c>
      <x:c r="J66" s="14" t="n">
        <x:f>I66/H66-1</x:f>
        <x:v>0.3405572755417956</x:v>
      </x:c>
      <x:c r="K66" s="8" t="n">
        <x:f>H66*('Source Data'!H$8/'Source Data'!F$8)*EXP(F66*('Source Data'!H$7-'Source Data'!F$7))</x:f>
        <x:v>574.8789758380766</x:v>
      </x:c>
      <x:c r="L66" s="14" t="n">
        <x:f>I66/K66-1</x:f>
        <x:v>0.5064040196243358</x:v>
      </x:c>
      <x:c r="M66" s="8" t="n">
        <x:f>'Source Data'!G66</x:f>
        <x:v>786</x:v>
      </x:c>
      <x:c r="N66" s="8" t="n">
        <x:f>M66*('Source Data'!H$8/'Source Data'!G$8)*EXP(F66*('Source Data'!H$7-'Source Data'!G$7))</x:f>
        <x:v>721.839748819899</x:v>
      </x:c>
      <x:c r="O66" s="14" t="n">
        <x:f>I66/N66-1</x:f>
        <x:v>0.19971226496709504</x:v>
      </x:c>
      <x:c r="P66" s="2" t="str"/>
    </x:row>
    <x:row r="67">
      <x:c r="A67" s="2" t="str">
        <x:f>'Source Data'!A67</x:f>
        <x:v>221116</x:v>
      </x:c>
      <x:c r="B67" s="2" t="str">
        <x:f>'Source Data'!B67</x:f>
        <x:v>Geothermal Electric Power Generation</x:v>
      </x:c>
      <x:c r="C67" s="13" t="n">
        <x:f>LN('Source Data'!C67/'Source Data'!C$8)</x:f>
        <x:v>-9.784318191467747</x:v>
      </x:c>
      <x:c r="D67" s="13" t="n">
        <x:f>LN('Source Data'!D67/'Source Data'!D$8)</x:f>
        <x:v>-9.823268003679974</x:v>
      </x:c>
      <x:c r="E67" s="13" t="n">
        <x:f>LN('Source Data'!E67/'Source Data'!E$8)</x:f>
        <x:v>-9.864034331734883</x:v>
      </x:c>
      <x:c r="F67" s="13" t="n">
        <x:f>SLOPE(C67:E67,'Source Data'!C$7:E$7)</x:f>
        <x:v>-0.03985807013356801</x:v>
      </x:c>
      <x:c r="G67" s="14" t="n">
        <x:f>EXP(F67)-1</x:f>
        <x:v>-0.03907418645333782</x:v>
      </x:c>
      <x:c r="H67" s="8" t="n">
        <x:f>'Source Data'!F67</x:f>
        <x:v>822</x:v>
      </x:c>
      <x:c r="I67" s="8" t="n">
        <x:f>'Source Data'!H67</x:f>
        <x:v>655</x:v>
      </x:c>
      <x:c r="J67" s="14" t="n">
        <x:f>I67/H67-1</x:f>
        <x:v>-0.2031630170316302</x:v>
      </x:c>
      <x:c r="K67" s="8" t="n">
        <x:f>H67*('Source Data'!H$8/'Source Data'!F$8)*EXP(F67*('Source Data'!H$7-'Source Data'!F$7))</x:f>
        <x:v>713.2957418520131</x:v>
      </x:c>
      <x:c r="L67" s="14" t="n">
        <x:f>I67/K67-1</x:f>
        <x:v>-0.08172730948968376</x:v>
      </x:c>
      <x:c r="M67" s="8" t="n">
        <x:f>'Source Data'!G67</x:f>
        <x:v>829</x:v>
      </x:c>
      <x:c r="N67" s="8" t="n">
        <x:f>M67*('Source Data'!H$8/'Source Data'!G$8)*EXP(F67*('Source Data'!H$7-'Source Data'!G$7))</x:f>
        <x:v>747.0732859137821</x:v>
      </x:c>
      <x:c r="O67" s="14" t="n">
        <x:f>I67/N67-1</x:f>
        <x:v>-0.12324531963576069</x:v>
      </x:c>
      <x:c r="P67" s="2" t="str"/>
    </x:row>
    <x:row r="68">
      <x:c r="A68" s="2" t="str">
        <x:f>'Source Data'!A68</x:f>
        <x:v>221117</x:v>
      </x:c>
      <x:c r="B68" s="2" t="str">
        <x:f>'Source Data'!B68</x:f>
        <x:v>Biomass Electric Power Generation</x:v>
      </x:c>
      <x:c r="C68" s="13" t="n">
        <x:f>LN('Source Data'!C68/'Source Data'!C$8)</x:f>
        <x:v>-10.628721693828586</x:v>
      </x:c>
      <x:c r="D68" s="13" t="n">
        <x:f>LN('Source Data'!D68/'Source Data'!D$8)</x:f>
        <x:v>-10.720177072271742</x:v>
      </x:c>
      <x:c r="E68" s="13" t="n">
        <x:f>LN('Source Data'!E68/'Source Data'!E$8)</x:f>
        <x:v>-10.578070000242183</x:v>
      </x:c>
      <x:c r="F68" s="13" t="n">
        <x:f>SLOPE(C68:E68,'Source Data'!C$7:E$7)</x:f>
        <x:v>0.02532584679320138</x:v>
      </x:c>
      <x:c r="G68" s="14" t="n">
        <x:f>EXP(F68)-1</x:f>
        <x:v>0.025649270606382446</x:v>
      </x:c>
      <x:c r="H68" s="8" t="n">
        <x:f>'Source Data'!F68</x:f>
        <x:v>487</x:v>
      </x:c>
      <x:c r="I68" s="8" t="n">
        <x:f>'Source Data'!H68</x:f>
        <x:v>390</x:v>
      </x:c>
      <x:c r="J68" s="14" t="n">
        <x:f>I68/H68-1</x:f>
        <x:v>-0.19917864476386038</x:v>
      </x:c>
      <x:c r="K68" s="8" t="n">
        <x:f>H68*('Source Data'!H$8/'Source Data'!F$8)*EXP(F68*('Source Data'!H$7-'Source Data'!F$7))</x:f>
        <x:v>548.482577524746</x:v>
      </x:c>
      <x:c r="L68" s="14" t="n">
        <x:f>I68/K68-1</x:f>
        <x:v>-0.28894733218321</x:v>
      </x:c>
      <x:c r="M68" s="8" t="n">
        <x:f>'Source Data'!G68</x:f>
        <x:v>557</x:v>
      </x:c>
      <x:c r="N68" s="8" t="n">
        <x:f>M68*('Source Data'!H$8/'Source Data'!G$8)*EXP(F68*('Source Data'!H$7-'Source Data'!G$7))</x:f>
        <x:v>610.3668213293325</x:v>
      </x:c>
      <x:c r="O68" s="14" t="n">
        <x:f>I68/N68-1</x:f>
        <x:v>-0.3610399740428065</x:v>
      </x:c>
      <x:c r="P68" s="2" t="str"/>
    </x:row>
    <x:row r="69">
      <x:c r="A69" s="2" t="str">
        <x:f>'Source Data'!A69</x:f>
        <x:v>221118</x:v>
      </x:c>
      <x:c r="B69" s="2" t="str">
        <x:f>'Source Data'!B69</x:f>
        <x:v>Other Electric Power Generation</x:v>
      </x:c>
      <x:c r="C69" s="13" t="n">
        <x:f>LN('Source Data'!C69/'Source Data'!C$8)</x:f>
        <x:v>-9.897299111165264</x:v>
      </x:c>
      <x:c r="D69" s="13" t="n">
        <x:f>LN('Source Data'!D69/'Source Data'!D$8)</x:f>
        <x:v>-9.932564425459038</x:v>
      </x:c>
      <x:c r="E69" s="13" t="n">
        <x:f>LN('Source Data'!E69/'Source Data'!E$8)</x:f>
        <x:v>-10.26756333081618</x:v>
      </x:c>
      <x:c r="F69" s="13" t="n">
        <x:f>SLOPE(C69:E69,'Source Data'!C$7:E$7)</x:f>
        <x:v>-0.18513210982545836</x:v>
      </x:c>
      <x:c r="G69" s="14" t="n">
        <x:f>EXP(F69)-1</x:f>
        <x:v>-0.16900550593743713</x:v>
      </x:c>
      <x:c r="H69" s="8" t="n">
        <x:f>'Source Data'!F69</x:f>
        <x:v>889</x:v>
      </x:c>
      <x:c r="I69" s="8" t="n">
        <x:f>'Source Data'!H69</x:f>
        <x:v>1234</x:v>
      </x:c>
      <x:c r="J69" s="14" t="n">
        <x:f>I69/H69-1</x:f>
        <x:v>0.3880764904386951</x:v>
      </x:c>
      <x:c r="K69" s="8" t="n">
        <x:f>H69*('Source Data'!H$8/'Source Data'!F$8)*EXP(F69*('Source Data'!H$7-'Source Data'!F$7))</x:f>
        <x:v>431.4522316190819</x:v>
      </x:c>
      <x:c r="L69" s="14" t="n">
        <x:f>I69/K69-1</x:f>
        <x:v>1.860108048043351</x:v>
      </x:c>
      <x:c r="M69" s="8" t="n">
        <x:f>'Source Data'!G69</x:f>
        <x:v>953</x:v>
      </x:c>
      <x:c r="N69" s="8" t="n">
        <x:f>M69*('Source Data'!H$8/'Source Data'!G$8)*EXP(F69*('Source Data'!H$7-'Source Data'!G$7))</x:f>
        <x:v>555.426294297452</x:v>
      </x:c>
      <x:c r="O69" s="14" t="n">
        <x:f>I69/N69-1</x:f>
        <x:v>1.2217169274653492</x:v>
      </x:c>
      <x:c r="P69" s="2" t="str"/>
    </x:row>
    <x:row r="70">
      <x:c r="A70" s="2" t="str">
        <x:f>'Source Data'!A70</x:f>
        <x:v>221121</x:v>
      </x:c>
      <x:c r="B70" s="2" t="str">
        <x:f>'Source Data'!B70</x:f>
        <x:v>Electric Bulk Power Transmission and Control</x:v>
      </x:c>
      <x:c r="C70" s="13" t="n">
        <x:f>LN('Source Data'!C70/'Source Data'!C$8)</x:f>
        <x:v>-9.447845954846533</x:v>
      </x:c>
      <x:c r="D70" s="13" t="n">
        <x:f>LN('Source Data'!D70/'Source Data'!D$8)</x:f>
        <x:v>-9.079048512743606</x:v>
      </x:c>
      <x:c r="E70" s="13" t="n">
        <x:f>LN('Source Data'!E70/'Source Data'!E$8)</x:f>
        <x:v>-8.422449507601973</x:v>
      </x:c>
      <x:c r="F70" s="13" t="n">
        <x:f>SLOPE(C70:E70,'Source Data'!C$7:E$7)</x:f>
        <x:v>0.5126982236222801</x:v>
      </x:c>
      <x:c r="G70" s="14" t="n">
        <x:f>EXP(F70)-1</x:f>
        <x:v>0.6697905904438868</x:v>
      </x:c>
      <x:c r="H70" s="8" t="n">
        <x:f>'Source Data'!F70</x:f>
        <x:v>2385</x:v>
      </x:c>
      <x:c r="I70" s="8" t="n">
        <x:f>'Source Data'!H70</x:f>
        <x:v>2615</x:v>
      </x:c>
      <x:c r="J70" s="14" t="n">
        <x:f>I70/H70-1</x:f>
        <x:v>0.09643605870020955</x:v>
      </x:c>
      <x:c r="K70" s="8" t="n">
        <x:f>H70*('Source Data'!H$8/'Source Data'!F$8)*EXP(F70*('Source Data'!H$7-'Source Data'!F$7))</x:f>
        <x:v>18870.125760438696</x:v>
      </x:c>
      <x:c r="L70" s="14" t="n">
        <x:f>I70/K70-1</x:f>
        <x:v>-0.8614211673415363</x:v>
      </x:c>
      <x:c r="M70" s="8" t="n">
        <x:f>'Source Data'!G70</x:f>
        <x:v>2513</x:v>
      </x:c>
      <x:c r="N70" s="8" t="n">
        <x:f>M70*('Source Data'!H$8/'Source Data'!G$8)*EXP(F70*('Source Data'!H$7-'Source Data'!G$7))</x:f>
        <x:v>11882.767864132185</x:v>
      </x:c>
      <x:c r="O70" s="14" t="n">
        <x:f>I70/N70-1</x:f>
        <x:v>-0.7799334271358354</x:v>
      </x:c>
      <x:c r="P70" s="2" t="str"/>
    </x:row>
    <x:row r="71">
      <x:c r="A71" s="2" t="str">
        <x:f>'Source Data'!A71</x:f>
        <x:v>221122</x:v>
      </x:c>
      <x:c r="B71" s="2" t="str">
        <x:f>'Source Data'!B71</x:f>
        <x:v>Electric Power Distribution</x:v>
      </x:c>
      <x:c r="C71" s="13" t="n">
        <x:f>LN('Source Data'!C71/'Source Data'!C$8)</x:f>
        <x:v>-8.980174234935777</x:v>
      </x:c>
      <x:c r="D71" s="13" t="n">
        <x:f>LN('Source Data'!D71/'Source Data'!D$8)</x:f>
        <x:v>-9.032174085360342</x:v>
      </x:c>
      <x:c r="E71" s="13" t="n">
        <x:f>LN('Source Data'!E71/'Source Data'!E$8)</x:f>
        <x:v>-9.374361082974119</x:v>
      </x:c>
      <x:c r="F71" s="13" t="n">
        <x:f>SLOPE(C71:E71,'Source Data'!C$7:E$7)</x:f>
        <x:v>-0.19709342401917063</x:v>
      </x:c>
      <x:c r="G71" s="14" t="n">
        <x:f>EXP(F71)-1</x:f>
        <x:v>-0.17888608203322764</x:v>
      </x:c>
      <x:c r="H71" s="8" t="n">
        <x:f>'Source Data'!F71</x:f>
        <x:v>1429</x:v>
      </x:c>
      <x:c r="I71" s="8" t="n">
        <x:f>'Source Data'!H71</x:f>
        <x:v>1498</x:v>
      </x:c>
      <x:c r="J71" s="14" t="n">
        <x:f>I71/H71-1</x:f>
        <x:v>0.04828551434569639</x:v>
      </x:c>
      <x:c r="K71" s="8" t="n">
        <x:f>H71*('Source Data'!H$8/'Source Data'!F$8)*EXP(F71*('Source Data'!H$7-'Source Data'!F$7))</x:f>
        <x:v>661.1260297466335</x:v>
      </x:c>
      <x:c r="L71" s="14" t="n">
        <x:f>I71/K71-1</x:f>
        <x:v>1.2658312221863137</x:v>
      </x:c>
      <x:c r="M71" s="8" t="n">
        <x:f>'Source Data'!G71</x:f>
        <x:v>1307</x:v>
      </x:c>
      <x:c r="N71" s="8" t="n">
        <x:f>M71*('Source Data'!H$8/'Source Data'!G$8)*EXP(F71*('Source Data'!H$7-'Source Data'!G$7))</x:f>
        <x:v>734.8943770058617</x:v>
      </x:c>
      <x:c r="O71" s="14" t="n">
        <x:f>I71/N71-1</x:f>
        <x:v>1.0383881641647825</x:v>
      </x:c>
      <x:c r="P71" s="2" t="str"/>
    </x:row>
    <x:row r="72">
      <x:c r="A72" s="2" t="str">
        <x:f>'Source Data'!A72</x:f>
        <x:v>221310</x:v>
      </x:c>
      <x:c r="B72" s="2" t="str">
        <x:f>'Source Data'!B72</x:f>
        <x:v>Water Supply and Irrigation Systems</x:v>
      </x:c>
      <x:c r="C72" s="13" t="n">
        <x:f>LN('Source Data'!C72/'Source Data'!C$8)</x:f>
        <x:v>-8.001292402208447</x:v>
      </x:c>
      <x:c r="D72" s="13" t="n">
        <x:f>LN('Source Data'!D72/'Source Data'!D$8)</x:f>
        <x:v>-8.026052067608644</x:v>
      </x:c>
      <x:c r="E72" s="13" t="n">
        <x:f>LN('Source Data'!E72/'Source Data'!E$8)</x:f>
        <x:v>-8.014135974373609</x:v>
      </x:c>
      <x:c r="F72" s="13" t="n">
        <x:f>SLOPE(C72:E72,'Source Data'!C$7:E$7)</x:f>
        <x:v>-0.006421786082580816</x:v>
      </x:c>
      <x:c r="G72" s="14" t="n">
        <x:f>EXP(F72)-1</x:f>
        <x:v>-0.006401210481930875</x:v>
      </x:c>
      <x:c r="H72" s="8" t="n">
        <x:f>'Source Data'!F72</x:f>
        <x:v>5152</x:v>
      </x:c>
      <x:c r="I72" s="8" t="n">
        <x:f>'Source Data'!H72</x:f>
        <x:v>5467</x:v>
      </x:c>
      <x:c r="J72" s="14" t="n">
        <x:f>I72/H72-1</x:f>
        <x:v>0.061141304347826164</x:v>
      </x:c>
      <x:c r="K72" s="8" t="n">
        <x:f>H72*('Source Data'!H$8/'Source Data'!F$8)*EXP(F72*('Source Data'!H$7-'Source Data'!F$7))</x:f>
        <x:v>5110.441754858063</x:v>
      </x:c>
      <x:c r="L72" s="14" t="n">
        <x:f>I72/K72-1</x:f>
        <x:v>0.06977053300783376</x:v>
      </x:c>
      <x:c r="M72" s="8" t="n">
        <x:f>'Source Data'!G72</x:f>
        <x:v>5147</x:v>
      </x:c>
      <x:c r="N72" s="8" t="n">
        <x:f>M72*('Source Data'!H$8/'Source Data'!G$8)*EXP(F72*('Source Data'!H$7-'Source Data'!G$7))</x:f>
        <x:v>5127.745069715246</x:v>
      </x:c>
      <x:c r="O72" s="14" t="n">
        <x:f>I72/N72-1</x:f>
        <x:v>0.06616064677013922</x:v>
      </x:c>
      <x:c r="P72" s="2" t="str"/>
    </x:row>
    <x:row r="73">
      <x:c r="A73" s="2" t="str">
        <x:f>'Source Data'!A73</x:f>
        <x:v>221320</x:v>
      </x:c>
      <x:c r="B73" s="2" t="str">
        <x:f>'Source Data'!B73</x:f>
        <x:v>Sewage Treatment Facilities</x:v>
      </x:c>
      <x:c r="C73" s="13" t="n">
        <x:f>LN('Source Data'!C73/'Source Data'!C$8)</x:f>
        <x:v>-11.555179543058186</x:v>
      </x:c>
      <x:c r="D73" s="13" t="n">
        <x:f>LN('Source Data'!D73/'Source Data'!D$8)</x:f>
        <x:v>-11.534984765234492</x:v>
      </x:c>
      <x:c r="E73" s="13" t="n">
        <x:f>LN('Source Data'!E73/'Source Data'!E$8)</x:f>
        <x:v>-11.531999583616274</x:v>
      </x:c>
      <x:c r="F73" s="13" t="n">
        <x:f>SLOPE(C73:E73,'Source Data'!C$7:E$7)</x:f>
        <x:v>0.011589979720955768</x:v>
      </x:c>
      <x:c r="G73" s="14" t="n">
        <x:f>EXP(F73)-1</x:f>
        <x:v>0.01165740376524882</x:v>
      </x:c>
      <x:c r="H73" s="8" t="n">
        <x:f>'Source Data'!F73</x:f>
        <x:v>196</x:v>
      </x:c>
      <x:c r="I73" s="8" t="n">
        <x:f>'Source Data'!H73</x:f>
        <x:v>326</x:v>
      </x:c>
      <x:c r="J73" s="14" t="n">
        <x:f>I73/H73-1</x:f>
        <x:v>0.6632653061224489</x:v>
      </x:c>
      <x:c r="K73" s="8" t="n">
        <x:f>H73*('Source Data'!H$8/'Source Data'!F$8)*EXP(F73*('Source Data'!H$7-'Source Data'!F$7))</x:f>
        <x:v>208.94322894274745</x:v>
      </x:c>
      <x:c r="L73" s="14" t="n">
        <x:f>I73/K73-1</x:f>
        <x:v>0.5602324212637073</x:v>
      </x:c>
      <x:c r="M73" s="8" t="n">
        <x:f>'Source Data'!G73</x:f>
        <x:v>209</x:v>
      </x:c>
      <x:c r="N73" s="8" t="n">
        <x:f>M73*('Source Data'!H$8/'Source Data'!G$8)*EXP(F73*('Source Data'!H$7-'Source Data'!G$7))</x:f>
        <x:v>219.77878850445822</x:v>
      </x:c>
      <x:c r="O73" s="14" t="n">
        <x:f>I73/N73-1</x:f>
        <x:v>0.48330965976449125</x:v>
      </x:c>
      <x:c r="P73" s="2" t="str"/>
    </x:row>
    <x:row r="74">
      <x:c r="A74" s="2" t="str">
        <x:f>'Source Data'!A74</x:f>
        <x:v>236115</x:v>
      </x:c>
      <x:c r="B74" s="2" t="str">
        <x:f>'Source Data'!B74</x:f>
        <x:v>New Single-Family Housing Construction (except For-Sale Builders)</x:v>
      </x:c>
      <x:c r="C74" s="13" t="n">
        <x:f>LN('Source Data'!C74/'Source Data'!C$8)</x:f>
        <x:v>-5.64329552334088</x:v>
      </x:c>
      <x:c r="D74" s="13" t="n">
        <x:f>LN('Source Data'!D74/'Source Data'!D$8)</x:f>
        <x:v>-5.619763335213609</x:v>
      </x:c>
      <x:c r="E74" s="13" t="n">
        <x:f>LN('Source Data'!E74/'Source Data'!E$8)</x:f>
        <x:v>-5.609228295349348</x:v>
      </x:c>
      <x:c r="F74" s="13" t="n">
        <x:f>SLOPE(C74:E74,'Source Data'!C$7:E$7)</x:f>
        <x:v>0.01703361399576586</x:v>
      </x:c>
      <x:c r="G74" s="14" t="n">
        <x:f>EXP(F74)-1</x:f>
        <x:v>0.0171795132184418</x:v>
      </x:c>
      <x:c r="H74" s="8" t="n">
        <x:f>'Source Data'!F74</x:f>
        <x:v>54684</x:v>
      </x:c>
      <x:c r="I74" s="8" t="n">
        <x:f>'Source Data'!H74</x:f>
        <x:v>41916</x:v>
      </x:c>
      <x:c r="J74" s="14" t="n">
        <x:f>I74/H74-1</x:f>
        <x:v>-0.23348694316436247</x:v>
      </x:c>
      <x:c r="K74" s="8" t="n">
        <x:f>H74*('Source Data'!H$8/'Source Data'!F$8)*EXP(F74*('Source Data'!H$7-'Source Data'!F$7))</x:f>
        <x:v>59578.431628777915</x:v>
      </x:c>
      <x:c r="L74" s="14" t="n">
        <x:f>I74/K74-1</x:f>
        <x:v>-0.29645680736997626</x:v>
      </x:c>
      <x:c r="M74" s="8" t="n">
        <x:f>'Source Data'!G74</x:f>
        <x:v>51446</x:v>
      </x:c>
      <x:c r="N74" s="8" t="n">
        <x:f>M74*('Source Data'!H$8/'Source Data'!G$8)*EXP(F74*('Source Data'!H$7-'Source Data'!G$7))</x:f>
        <x:v>54989.9751394179</x:v>
      </x:c>
      <x:c r="O74" s="14" t="n">
        <x:f>I74/N74-1</x:f>
        <x:v>-0.23775197399655146</x:v>
      </x:c>
      <x:c r="P74" s="2" t="str"/>
    </x:row>
    <x:row r="75">
      <x:c r="A75" s="2" t="str">
        <x:f>'Source Data'!A75</x:f>
        <x:v>236116</x:v>
      </x:c>
      <x:c r="B75" s="2" t="str">
        <x:f>'Source Data'!B75</x:f>
        <x:v>New Multifamily Housing Construction (except For-Sale Builders)</x:v>
      </x:c>
      <x:c r="C75" s="13" t="n">
        <x:f>LN('Source Data'!C75/'Source Data'!C$8)</x:f>
        <x:v>-8.062661348584738</x:v>
      </x:c>
      <x:c r="D75" s="13" t="n">
        <x:f>LN('Source Data'!D75/'Source Data'!D$8)</x:f>
        <x:v>-7.9762458557768685</x:v>
      </x:c>
      <x:c r="E75" s="13" t="n">
        <x:f>LN('Source Data'!E75/'Source Data'!E$8)</x:f>
        <x:v>-7.879031256888292</x:v>
      </x:c>
      <x:c r="F75" s="13" t="n">
        <x:f>SLOPE(C75:E75,'Source Data'!C$7:E$7)</x:f>
        <x:v>0.09181504584822298</x:v>
      </x:c>
      <x:c r="G75" s="14" t="n">
        <x:f>EXP(F75)-1</x:f>
        <x:v>0.09616206360619972</x:v>
      </x:c>
      <x:c r="H75" s="8" t="n">
        <x:f>'Source Data'!F75</x:f>
        <x:v>5867</x:v>
      </x:c>
      <x:c r="I75" s="8" t="n">
        <x:f>'Source Data'!H75</x:f>
        <x:v>5898</x:v>
      </x:c>
      <x:c r="J75" s="14" t="n">
        <x:f>I75/H75-1</x:f>
        <x:v>0.005283790693710655</x:v>
      </x:c>
      <x:c r="K75" s="8" t="n">
        <x:f>H75*('Source Data'!H$8/'Source Data'!F$8)*EXP(F75*('Source Data'!H$7-'Source Data'!F$7))</x:f>
        <x:v>8620.918369928919</x:v>
      </x:c>
      <x:c r="L75" s="14" t="n">
        <x:f>I75/K75-1</x:f>
        <x:v>-0.3158501511192675</x:v>
      </x:c>
      <x:c r="M75" s="8" t="n">
        <x:f>'Source Data'!G75</x:f>
        <x:v>6102</x:v>
      </x:c>
      <x:c r="N75" s="8" t="n">
        <x:f>M75*('Source Data'!H$8/'Source Data'!G$8)*EXP(F75*('Source Data'!H$7-'Source Data'!G$7))</x:f>
        <x:v>8162.733220667835</x:v>
      </x:c>
      <x:c r="O75" s="14" t="n">
        <x:f>I75/N75-1</x:f>
        <x:v>-0.2774479037160724</x:v>
      </x:c>
      <x:c r="P75" s="2" t="str"/>
    </x:row>
    <x:row r="76">
      <x:c r="A76" s="2" t="str">
        <x:f>'Source Data'!A76</x:f>
        <x:v>236117</x:v>
      </x:c>
      <x:c r="B76" s="2" t="str">
        <x:f>'Source Data'!B76</x:f>
        <x:v>New Housing For-Sale Builders</x:v>
      </x:c>
      <x:c r="C76" s="13" t="n">
        <x:f>LN('Source Data'!C76/'Source Data'!C$8)</x:f>
        <x:v>-8.874258009344228</x:v>
      </x:c>
      <x:c r="D76" s="13" t="n">
        <x:f>LN('Source Data'!D76/'Source Data'!D$8)</x:f>
        <x:v>-8.610620809680468</x:v>
      </x:c>
      <x:c r="E76" s="13" t="n">
        <x:f>LN('Source Data'!E76/'Source Data'!E$8)</x:f>
        <x:v>-8.513916227225474</x:v>
      </x:c>
      <x:c r="F76" s="13" t="n">
        <x:f>SLOPE(C76:E76,'Source Data'!C$7:E$7)</x:f>
        <x:v>0.1801708910593769</x:v>
      </x:c>
      <x:c r="G76" s="14" t="n">
        <x:f>EXP(F76)-1</x:f>
        <x:v>0.19742197434791509</x:v>
      </x:c>
      <x:c r="H76" s="8" t="n">
        <x:f>'Source Data'!F76</x:f>
        <x:v>3550</x:v>
      </x:c>
      <x:c r="I76" s="8" t="n">
        <x:f>'Source Data'!H76</x:f>
        <x:v>3827</x:v>
      </x:c>
      <x:c r="J76" s="14" t="n">
        <x:f>I76/H76-1</x:f>
        <x:v>0.07802816901408449</x:v>
      </x:c>
      <x:c r="K76" s="8" t="n">
        <x:f>H76*('Source Data'!H$8/'Source Data'!F$8)*EXP(F76*('Source Data'!H$7-'Source Data'!F$7))</x:f>
        <x:v>7427.721673102677</x:v>
      </x:c>
      <x:c r="L76" s="14" t="n">
        <x:f>I76/K76-1</x:f>
        <x:v>-0.4847679856047431</x:v>
      </x:c>
      <x:c r="M76" s="8" t="n">
        <x:f>'Source Data'!G76</x:f>
        <x:v>3456</x:v>
      </x:c>
      <x:c r="N76" s="8" t="n">
        <x:f>M76*('Source Data'!H$8/'Source Data'!G$8)*EXP(F76*('Source Data'!H$7-'Source Data'!G$7))</x:f>
        <x:v>6026.352085225836</x:v>
      </x:c>
      <x:c r="O76" s="14" t="n">
        <x:f>I76/N76-1</x:f>
        <x:v>-0.3649557898579727</x:v>
      </x:c>
      <x:c r="P76" s="2" t="str"/>
    </x:row>
    <x:row r="77">
      <x:c r="A77" s="2" t="str">
        <x:f>'Source Data'!A77</x:f>
        <x:v>236118</x:v>
      </x:c>
      <x:c r="B77" s="2" t="str">
        <x:f>'Source Data'!B77</x:f>
        <x:v>Residential Remodelers</x:v>
      </x:c>
      <x:c r="C77" s="13" t="n">
        <x:f>LN('Source Data'!C77/'Source Data'!C$8)</x:f>
        <x:v>-5.772050841283232</x:v>
      </x:c>
      <x:c r="D77" s="13" t="n">
        <x:f>LN('Source Data'!D77/'Source Data'!D$8)</x:f>
        <x:v>-5.668774274303907</x:v>
      </x:c>
      <x:c r="E77" s="13" t="n">
        <x:f>LN('Source Data'!E77/'Source Data'!E$8)</x:f>
        <x:v>-5.622949275501755</x:v>
      </x:c>
      <x:c r="F77" s="13" t="n">
        <x:f>SLOPE(C77:E77,'Source Data'!C$7:E$7)</x:f>
        <x:v>0.07455078289073835</x:v>
      </x:c>
      <x:c r="G77" s="14" t="n">
        <x:f>EXP(F77)-1</x:f>
        <x:v>0.07740005562232999</x:v>
      </x:c>
      <x:c r="H77" s="8" t="n">
        <x:f>'Source Data'!F77</x:f>
        <x:v>59926</x:v>
      </x:c>
      <x:c r="I77" s="8" t="n">
        <x:f>'Source Data'!H77</x:f>
        <x:v>66226</x:v>
      </x:c>
      <x:c r="J77" s="14" t="n">
        <x:f>I77/H77-1</x:f>
        <x:v>0.10512965991389378</x:v>
      </x:c>
      <x:c r="K77" s="8" t="n">
        <x:f>H77*('Source Data'!H$8/'Source Data'!F$8)*EXP(F77*('Source Data'!H$7-'Source Data'!F$7))</x:f>
        <x:v>82179.14869471785</x:v>
      </x:c>
      <x:c r="L77" s="14" t="n">
        <x:f>I77/K77-1</x:f>
        <x:v>-0.1941264779218047</x:v>
      </x:c>
      <x:c r="M77" s="8" t="n">
        <x:f>'Source Data'!G77</x:f>
        <x:v>62277</x:v>
      </x:c>
      <x:c r="N77" s="8" t="n">
        <x:f>M77*('Source Data'!H$8/'Source Data'!G$8)*EXP(F77*('Source Data'!H$7-'Source Data'!G$7))</x:f>
        <x:v>79103.87541853539</x:v>
      </x:c>
      <x:c r="O77" s="14" t="n">
        <x:f>I77/N77-1</x:f>
        <x:v>-0.1627970229068939</x:v>
      </x:c>
      <x:c r="P77" s="2" t="str"/>
    </x:row>
    <x:row r="78">
      <x:c r="A78" s="2" t="str">
        <x:f>'Source Data'!A78</x:f>
        <x:v>236210</x:v>
      </x:c>
      <x:c r="B78" s="2" t="str">
        <x:f>'Source Data'!B78</x:f>
        <x:v>Industrial Building Construction</x:v>
      </x:c>
      <x:c r="C78" s="13" t="n">
        <x:f>LN('Source Data'!C78/'Source Data'!C$8)</x:f>
        <x:v>-7.992351704331904</x:v>
      </x:c>
      <x:c r="D78" s="13" t="n">
        <x:f>LN('Source Data'!D78/'Source Data'!D$8)</x:f>
        <x:v>-7.861254447058081</x:v>
      </x:c>
      <x:c r="E78" s="13" t="n">
        <x:f>LN('Source Data'!E78/'Source Data'!E$8)</x:f>
        <x:v>-7.933562041588757</x:v>
      </x:c>
      <x:c r="F78" s="13" t="n">
        <x:f>SLOPE(C78:E78,'Source Data'!C$7:E$7)</x:f>
        <x:v>0.029394831371573726</x:v>
      </x:c>
      <x:c r="G78" s="14" t="n">
        <x:f>EXP(F78)-1</x:f>
        <x:v>0.02983112384969333</x:v>
      </x:c>
      <x:c r="H78" s="8" t="n">
        <x:f>'Source Data'!F78</x:f>
        <x:v>4456</x:v>
      </x:c>
      <x:c r="I78" s="8" t="n">
        <x:f>'Source Data'!H78</x:f>
        <x:v>3841</x:v>
      </x:c>
      <x:c r="J78" s="14" t="n">
        <x:f>I78/H78-1</x:f>
        <x:v>-0.13801615798922806</x:v>
      </x:c>
      <x:c r="K78" s="8" t="n">
        <x:f>H78*('Source Data'!H$8/'Source Data'!F$8)*EXP(F78*('Source Data'!H$7-'Source Data'!F$7))</x:f>
        <x:v>5100.909377813513</x:v>
      </x:c>
      <x:c r="L78" s="14" t="n">
        <x:f>I78/K78-1</x:f>
        <x:v>-0.24699701259024698</x:v>
      </x:c>
      <x:c r="M78" s="8" t="n">
        <x:f>'Source Data'!G78</x:f>
        <x:v>4434</x:v>
      </x:c>
      <x:c r="N78" s="8" t="n">
        <x:f>M78*('Source Data'!H$8/'Source Data'!G$8)*EXP(F78*('Source Data'!H$7-'Source Data'!G$7))</x:f>
        <x:v>4918.5016816543475</x:v>
      </x:c>
      <x:c r="O78" s="14" t="n">
        <x:f>I78/N78-1</x:f>
        <x:v>-0.21907112193807932</x:v>
      </x:c>
      <x:c r="P78" s="2" t="str"/>
    </x:row>
    <x:row r="79">
      <x:c r="A79" s="2" t="str">
        <x:f>'Source Data'!A79</x:f>
        <x:v>236220</x:v>
      </x:c>
      <x:c r="B79" s="2" t="str">
        <x:f>'Source Data'!B79</x:f>
        <x:v>Commercial and Institutional Building Construction</x:v>
      </x:c>
      <x:c r="C79" s="13" t="n">
        <x:f>LN('Source Data'!C79/'Source Data'!C$8)</x:f>
        <x:v>-5.334284678484843</x:v>
      </x:c>
      <x:c r="D79" s="13" t="n">
        <x:f>LN('Source Data'!D79/'Source Data'!D$8)</x:f>
        <x:v>-5.278899222810332</x:v>
      </x:c>
      <x:c r="E79" s="13" t="n">
        <x:f>LN('Source Data'!E79/'Source Data'!E$8)</x:f>
        <x:v>-5.25970429185237</x:v>
      </x:c>
      <x:c r="F79" s="13" t="n">
        <x:f>SLOPE(C79:E79,'Source Data'!C$7:E$7)</x:f>
        <x:v>0.0372901933162364</x:v>
      </x:c>
      <x:c r="G79" s="14" t="n">
        <x:f>EXP(F79)-1</x:f>
        <x:v>0.03799419611452204</x:v>
      </x:c>
      <x:c r="H79" s="8" t="n">
        <x:f>'Source Data'!F79</x:f>
        <x:v>79091</x:v>
      </x:c>
      <x:c r="I79" s="8" t="n">
        <x:f>'Source Data'!H79</x:f>
        <x:v>78279</x:v>
      </x:c>
      <x:c r="J79" s="14" t="n">
        <x:f>I79/H79-1</x:f>
        <x:v>-0.010266654865913938</x:v>
      </x:c>
      <x:c r="K79" s="8" t="n">
        <x:f>H79*('Source Data'!H$8/'Source Data'!F$8)*EXP(F79*('Source Data'!H$7-'Source Data'!F$7))</x:f>
        <x:v>93442.64883344632</x:v>
      </x:c>
      <x:c r="L79" s="14" t="n">
        <x:f>I79/K79-1</x:f>
        <x:v>-0.1622776004613723</x:v>
      </x:c>
      <x:c r="M79" s="8" t="n">
        <x:f>'Source Data'!G79</x:f>
        <x:v>80623</x:v>
      </x:c>
      <x:c r="N79" s="8" t="n">
        <x:f>M79*('Source Data'!H$8/'Source Data'!G$8)*EXP(F79*('Source Data'!H$7-'Source Data'!G$7))</x:f>
        <x:v>91576.24382187519</x:v>
      </x:c>
      <x:c r="O79" s="14" t="n">
        <x:f>I79/N79-1</x:f>
        <x:v>-0.14520407549953285</x:v>
      </x:c>
      <x:c r="P79" s="2" t="str"/>
    </x:row>
    <x:row r="80">
      <x:c r="A80" s="2" t="str">
        <x:f>'Source Data'!A80</x:f>
        <x:v>237110</x:v>
      </x:c>
      <x:c r="B80" s="2" t="str">
        <x:f>'Source Data'!B80</x:f>
        <x:v>Water and Sewer Line and Related Structures Construction</x:v>
      </x:c>
      <x:c r="C80" s="13" t="n">
        <x:f>LN('Source Data'!C80/'Source Data'!C$8)</x:f>
        <x:v>-6.618031040328332</x:v>
      </x:c>
      <x:c r="D80" s="13" t="n">
        <x:f>LN('Source Data'!D80/'Source Data'!D$8)</x:f>
        <x:v>-6.589802162916239</x:v>
      </x:c>
      <x:c r="E80" s="13" t="n">
        <x:f>LN('Source Data'!E80/'Source Data'!E$8)</x:f>
        <x:v>-6.590503942816074</x:v>
      </x:c>
      <x:c r="F80" s="13" t="n">
        <x:f>SLOPE(C80:E80,'Source Data'!C$7:E$7)</x:f>
        <x:v>0.013763548756128952</x:v>
      </x:c>
      <x:c r="G80" s="14" t="n">
        <x:f>EXP(F80)-1</x:f>
        <x:v>0.013858702442946402</x:v>
      </x:c>
      <x:c r="H80" s="8" t="n">
        <x:f>'Source Data'!F80</x:f>
        <x:v>21578</x:v>
      </x:c>
      <x:c r="I80" s="8" t="n">
        <x:f>'Source Data'!H80</x:f>
        <x:v>23031</x:v>
      </x:c>
      <x:c r="J80" s="14" t="n">
        <x:f>I80/H80-1</x:f>
        <x:v>0.06733710260450465</x:v>
      </x:c>
      <x:c r="K80" s="8" t="n">
        <x:f>H80*('Source Data'!H$8/'Source Data'!F$8)*EXP(F80*('Source Data'!H$7-'Source Data'!F$7))</x:f>
        <x:v>23203.809719831406</x:v>
      </x:c>
      <x:c r="L80" s="14" t="n">
        <x:f>I80/K80-1</x:f>
        <x:v>-0.007447471855611343</x:v>
      </x:c>
      <x:c r="M80" s="8" t="n">
        <x:f>'Source Data'!G80</x:f>
        <x:v>21201</x:v>
      </x:c>
      <x:c r="N80" s="8" t="n">
        <x:f>M80*('Source Data'!H$8/'Source Data'!G$8)*EXP(F80*('Source Data'!H$7-'Source Data'!G$7))</x:f>
        <x:v>22440.252643427757</x:v>
      </x:c>
      <x:c r="O80" s="14" t="n">
        <x:f>I80/N80-1</x:f>
        <x:v>0.026325343388915012</x:v>
      </x:c>
      <x:c r="P80" s="2" t="str"/>
    </x:row>
    <x:row r="81">
      <x:c r="A81" s="2" t="str">
        <x:f>'Source Data'!A81</x:f>
        <x:v>237120</x:v>
      </x:c>
      <x:c r="B81" s="2" t="str">
        <x:f>'Source Data'!B81</x:f>
        <x:v>Oil and Gas Pipeline and Related Structures Construction</x:v>
      </x:c>
      <x:c r="C81" s="13" t="n">
        <x:f>LN('Source Data'!C81/'Source Data'!C$8)</x:f>
        <x:v>-7.202220955153607</x:v>
      </x:c>
      <x:c r="D81" s="13" t="n">
        <x:f>LN('Source Data'!D81/'Source Data'!D$8)</x:f>
        <x:v>-7.1535702059524295</x:v>
      </x:c>
      <x:c r="E81" s="13" t="n">
        <x:f>LN('Source Data'!E81/'Source Data'!E$8)</x:f>
        <x:v>-7.3308913809874</x:v>
      </x:c>
      <x:c r="F81" s="13" t="n">
        <x:f>SLOPE(C81:E81,'Source Data'!C$7:E$7)</x:f>
        <x:v>-0.06433521291689637</x:v>
      </x:c>
      <x:c r="G81" s="14" t="n">
        <x:f>EXP(F81)-1</x:f>
        <x:v>-0.062309379166382683</x:v>
      </x:c>
      <x:c r="H81" s="8" t="n">
        <x:f>'Source Data'!F81</x:f>
        <x:v>10364</x:v>
      </x:c>
      <x:c r="I81" s="8" t="n">
        <x:f>'Source Data'!H81</x:f>
        <x:v>6849</x:v>
      </x:c>
      <x:c r="J81" s="14" t="n">
        <x:f>I81/H81-1</x:f>
        <x:v>-0.3391547664994211</x:v>
      </x:c>
      <x:c r="K81" s="8" t="n">
        <x:f>H81*('Source Data'!H$8/'Source Data'!F$8)*EXP(F81*('Source Data'!H$7-'Source Data'!F$7))</x:f>
        <x:v>8154.626346935677</x:v>
      </x:c>
      <x:c r="L81" s="14" t="n">
        <x:f>I81/K81-1</x:f>
        <x:v>-0.16010866609802443</x:v>
      </x:c>
      <x:c r="M81" s="8" t="n">
        <x:f>'Source Data'!G81</x:f>
        <x:v>10152</x:v>
      </x:c>
      <x:c r="N81" s="8" t="n">
        <x:f>M81*('Source Data'!H$8/'Source Data'!G$8)*EXP(F81*('Source Data'!H$7-'Source Data'!G$7))</x:f>
        <x:v>8500.98835866933</x:v>
      </x:c>
      <x:c r="O81" s="14" t="n">
        <x:f>I81/N81-1</x:f>
        <x:v>-0.19432897552254946</x:v>
      </x:c>
      <x:c r="P81" s="2" t="str"/>
    </x:row>
    <x:row r="82">
      <x:c r="A82" s="2" t="str">
        <x:f>'Source Data'!A82</x:f>
        <x:v>237130</x:v>
      </x:c>
      <x:c r="B82" s="2" t="str">
        <x:f>'Source Data'!B82</x:f>
        <x:v>Power and Communication Line and Related Structures Construction</x:v>
      </x:c>
      <x:c r="C82" s="13" t="n">
        <x:f>LN('Source Data'!C82/'Source Data'!C$8)</x:f>
        <x:v>-6.977463077282293</x:v>
      </x:c>
      <x:c r="D82" s="13" t="n">
        <x:f>LN('Source Data'!D82/'Source Data'!D$8)</x:f>
        <x:v>-6.867595178757931</x:v>
      </x:c>
      <x:c r="E82" s="13" t="n">
        <x:f>LN('Source Data'!E82/'Source Data'!E$8)</x:f>
        <x:v>-6.744165433708814</x:v>
      </x:c>
      <x:c r="F82" s="13" t="n">
        <x:f>SLOPE(C82:E82,'Source Data'!C$7:E$7)</x:f>
        <x:v>0.11664882178673919</x:v>
      </x:c>
      <x:c r="G82" s="14" t="n">
        <x:f>EXP(F82)-1</x:f>
        <x:v>0.1237247327462665</x:v>
      </x:c>
      <x:c r="H82" s="8" t="n">
        <x:f>'Source Data'!F82</x:f>
        <x:v>18458</x:v>
      </x:c>
      <x:c r="I82" s="8" t="n">
        <x:f>'Source Data'!H82</x:f>
        <x:v>21123</x:v>
      </x:c>
      <x:c r="J82" s="14" t="n">
        <x:f>I82/H82-1</x:f>
        <x:v>0.14438183985263842</x:v>
      </x:c>
      <x:c r="K82" s="8" t="n">
        <x:f>H82*('Source Data'!H$8/'Source Data'!F$8)*EXP(F82*('Source Data'!H$7-'Source Data'!F$7))</x:f>
        <x:v>29954.54820871998</x:v>
      </x:c>
      <x:c r="L82" s="14" t="n">
        <x:f>I82/K82-1</x:f>
        <x:v>-0.2948316278109998</x:v>
      </x:c>
      <x:c r="M82" s="8" t="n">
        <x:f>'Source Data'!G82</x:f>
        <x:v>19575</x:v>
      </x:c>
      <x:c r="N82" s="8" t="n">
        <x:f>M82*('Source Data'!H$8/'Source Data'!G$8)*EXP(F82*('Source Data'!H$7-'Source Data'!G$7))</x:f>
        <x:v>28211.143227458077</x:v>
      </x:c>
      <x:c r="O82" s="14" t="n">
        <x:f>I82/N82-1</x:f>
        <x:v>-0.25125331399399453</x:v>
      </x:c>
      <x:c r="P82" s="2" t="str"/>
    </x:row>
    <x:row r="83">
      <x:c r="A83" s="2" t="str">
        <x:f>'Source Data'!A83</x:f>
        <x:v>237210</x:v>
      </x:c>
      <x:c r="B83" s="2" t="str">
        <x:f>'Source Data'!B83</x:f>
        <x:v>Land Subdivision</x:v>
      </x:c>
      <x:c r="C83" s="13" t="n">
        <x:f>LN('Source Data'!C83/'Source Data'!C$8)</x:f>
        <x:v>-7.5437406636933355</x:v>
      </x:c>
      <x:c r="D83" s="13" t="n">
        <x:f>LN('Source Data'!D83/'Source Data'!D$8)</x:f>
        <x:v>-7.591435988436032</x:v>
      </x:c>
      <x:c r="E83" s="13" t="n">
        <x:f>LN('Source Data'!E83/'Source Data'!E$8)</x:f>
        <x:v>-7.664515517659629</x:v>
      </x:c>
      <x:c r="F83" s="13" t="n">
        <x:f>SLOPE(C83:E83,'Source Data'!C$7:E$7)</x:f>
        <x:v>-0.060387426983146586</x:v>
      </x:c>
      <x:c r="G83" s="14" t="n">
        <x:f>EXP(F83)-1</x:f>
        <x:v>-0.05860026073768754</x:v>
      </x:c>
      <x:c r="H83" s="8" t="n">
        <x:f>'Source Data'!F83</x:f>
        <x:v>5404</x:v>
      </x:c>
      <x:c r="I83" s="8" t="n">
        <x:f>'Source Data'!H83</x:f>
        <x:v>4229</x:v>
      </x:c>
      <x:c r="J83" s="14" t="n">
        <x:f>I83/H83-1</x:f>
        <x:v>-0.21743153219837152</x:v>
      </x:c>
      <x:c r="K83" s="8" t="n">
        <x:f>H83*('Source Data'!H$8/'Source Data'!F$8)*EXP(F83*('Source Data'!H$7-'Source Data'!F$7))</x:f>
        <x:v>4319.664413871119</x:v>
      </x:c>
      <x:c r="L83" s="14" t="n">
        <x:f>I83/K83-1</x:f>
        <x:v>-0.020988763289106704</x:v>
      </x:c>
      <x:c r="M83" s="8" t="n">
        <x:f>'Source Data'!G83</x:f>
        <x:v>5222</x:v>
      </x:c>
      <x:c r="N83" s="8" t="n">
        <x:f>M83*('Source Data'!H$8/'Source Data'!G$8)*EXP(F83*('Source Data'!H$7-'Source Data'!G$7))</x:f>
        <x:v>4424.846249113455</x:v>
      </x:c>
      <x:c r="O83" s="14" t="n">
        <x:f>I83/N83-1</x:f>
        <x:v>-0.04426057722405474</x:v>
      </x:c>
      <x:c r="P83" s="2" t="str"/>
    </x:row>
    <x:row r="84">
      <x:c r="A84" s="2" t="str">
        <x:f>'Source Data'!A84</x:f>
        <x:v>237310</x:v>
      </x:c>
      <x:c r="B84" s="2" t="str">
        <x:f>'Source Data'!B84</x:f>
        <x:v>Highway, Street, and Bridge Construction</x:v>
      </x:c>
      <x:c r="C84" s="13" t="n">
        <x:f>LN('Source Data'!C84/'Source Data'!C$8)</x:f>
        <x:v>-6.474591578699619</x:v>
      </x:c>
      <x:c r="D84" s="13" t="n">
        <x:f>LN('Source Data'!D84/'Source Data'!D$8)</x:f>
        <x:v>-6.48849644487493</x:v>
      </x:c>
      <x:c r="E84" s="13" t="n">
        <x:f>LN('Source Data'!E84/'Source Data'!E$8)</x:f>
        <x:v>-6.432718024422192</x:v>
      </x:c>
      <x:c r="F84" s="13" t="n">
        <x:f>SLOPE(C84:E84,'Source Data'!C$7:E$7)</x:f>
        <x:v>0.02093677713871367</x:v>
      </x:c>
      <x:c r="G84" s="14" t="n">
        <x:f>EXP(F84)-1</x:f>
        <x:v>0.021157489098351245</x:v>
      </x:c>
      <x:c r="H84" s="8" t="n">
        <x:f>'Source Data'!F84</x:f>
        <x:v>27404</x:v>
      </x:c>
      <x:c r="I84" s="8" t="n">
        <x:f>'Source Data'!H84</x:f>
        <x:v>26579</x:v>
      </x:c>
      <x:c r="J84" s="14" t="n">
        <x:f>I84/H84-1</x:f>
        <x:v>-0.030105094146839928</x:v>
      </x:c>
      <x:c r="K84" s="8" t="n">
        <x:f>H84*('Source Data'!H$8/'Source Data'!F$8)*EXP(F84*('Source Data'!H$7-'Source Data'!F$7))</x:f>
        <x:v>30326.566234639722</x:v>
      </x:c>
      <x:c r="L84" s="14" t="n">
        <x:f>I84/K84-1</x:f>
        <x:v>-0.1235737078060345</x:v>
      </x:c>
      <x:c r="M84" s="8" t="n">
        <x:f>'Source Data'!G84</x:f>
        <x:v>24610</x:v>
      </x:c>
      <x:c r="N84" s="8" t="n">
        <x:f>M84*('Source Data'!H$8/'Source Data'!G$8)*EXP(F84*('Source Data'!H$7-'Source Data'!G$7))</x:f>
        <x:v>26615.14829280723</x:v>
      </x:c>
      <x:c r="O84" s="14" t="n">
        <x:f>I84/N84-1</x:f>
        <x:v>-0.0013581849106960586</x:v>
      </x:c>
      <x:c r="P84" s="2" t="str"/>
    </x:row>
    <x:row r="85">
      <x:c r="A85" s="2" t="str">
        <x:f>'Source Data'!A85</x:f>
        <x:v>237990</x:v>
      </x:c>
      <x:c r="B85" s="2" t="str">
        <x:f>'Source Data'!B85</x:f>
        <x:v>Other Heavy and Civil Engineering Construction</x:v>
      </x:c>
      <x:c r="C85" s="13" t="n">
        <x:f>LN('Source Data'!C85/'Source Data'!C$8)</x:f>
        <x:v>-7.539783396954134</x:v>
      </x:c>
      <x:c r="D85" s="13" t="n">
        <x:f>LN('Source Data'!D85/'Source Data'!D$8)</x:f>
        <x:v>-7.327582117084661</x:v>
      </x:c>
      <x:c r="E85" s="13" t="n">
        <x:f>LN('Source Data'!E85/'Source Data'!E$8)</x:f>
        <x:v>-7.283993698072888</x:v>
      </x:c>
      <x:c r="F85" s="13" t="n">
        <x:f>SLOPE(C85:E85,'Source Data'!C$7:E$7)</x:f>
        <x:v>0.12789484944062313</x:v>
      </x:c>
      <x:c r="G85" s="14" t="n">
        <x:f>EXP(F85)-1</x:f>
        <x:v>0.1364334997960739</x:v>
      </x:c>
      <x:c r="H85" s="8" t="n">
        <x:f>'Source Data'!F85</x:f>
        <x:v>11469</x:v>
      </x:c>
      <x:c r="I85" s="8" t="n">
        <x:f>'Source Data'!H85</x:f>
        <x:v>11791</x:v>
      </x:c>
      <x:c r="J85" s="14" t="n">
        <x:f>I85/H85-1</x:f>
        <x:v>0.02807568227395585</x:v>
      </x:c>
      <x:c r="K85" s="8" t="n">
        <x:f>H85*('Source Data'!H$8/'Source Data'!F$8)*EXP(F85*('Source Data'!H$7-'Source Data'!F$7))</x:f>
        <x:v>19468.838198623722</x:v>
      </x:c>
      <x:c r="L85" s="14" t="n">
        <x:f>I85/K85-1</x:f>
        <x:v>-0.39436550452026864</x:v>
      </x:c>
      <x:c r="M85" s="8" t="n">
        <x:f>'Source Data'!G85</x:f>
        <x:v>10721</x:v>
      </x:c>
      <x:c r="N85" s="8" t="n">
        <x:f>M85*('Source Data'!H$8/'Source Data'!G$8)*EXP(F85*('Source Data'!H$7-'Source Data'!G$7))</x:f>
        <x:v>15981.092836434513</x:v>
      </x:c>
      <x:c r="O85" s="14" t="n">
        <x:f>I85/N85-1</x:f>
        <x:v>-0.2621906323503562</x:v>
      </x:c>
      <x:c r="P85" s="2" t="str"/>
    </x:row>
    <x:row r="86">
      <x:c r="A86" s="2" t="str">
        <x:f>'Source Data'!A86</x:f>
        <x:v>311111</x:v>
      </x:c>
      <x:c r="B86" s="2" t="str">
        <x:f>'Source Data'!B86</x:f>
        <x:v>Dog and Cat Food Manufacturing</x:v>
      </x:c>
      <x:c r="C86" s="13" t="n">
        <x:f>LN('Source Data'!C86/'Source Data'!C$8)</x:f>
        <x:v>-9.22879238878385</x:v>
      </x:c>
      <x:c r="D86" s="13" t="n">
        <x:f>LN('Source Data'!D86/'Source Data'!D$8)</x:f>
        <x:v>-9.127598753687318</x:v>
      </x:c>
      <x:c r="E86" s="13" t="n">
        <x:f>LN('Source Data'!E86/'Source Data'!E$8)</x:f>
        <x:v>-9.044812431129548</x:v>
      </x:c>
      <x:c r="F86" s="13" t="n">
        <x:f>SLOPE(C86:E86,'Source Data'!C$7:E$7)</x:f>
        <x:v>0.09198997882715076</x:v>
      </x:c>
      <x:c r="G86" s="14" t="n">
        <x:f>EXP(F86)-1</x:f>
        <x:v>0.0963538352744795</x:v>
      </x:c>
      <x:c r="H86" s="8" t="n">
        <x:f>'Source Data'!F86</x:f>
        <x:v>2109</x:v>
      </x:c>
      <x:c r="I86" s="8" t="n">
        <x:f>'Source Data'!H86</x:f>
        <x:v>1886</x:v>
      </x:c>
      <x:c r="J86" s="14" t="n">
        <x:f>I86/H86-1</x:f>
        <x:v>-0.10573731626363203</x:v>
      </x:c>
      <x:c r="K86" s="8" t="n">
        <x:f>H86*('Source Data'!H$8/'Source Data'!F$8)*EXP(F86*('Source Data'!H$7-'Source Data'!F$7))</x:f>
        <x:v>3101.1153028616536</x:v>
      </x:c>
      <x:c r="L86" s="14" t="n">
        <x:f>I86/K86-1</x:f>
        <x:v>-0.391831707044355</x:v>
      </x:c>
      <x:c r="M86" s="8" t="n">
        <x:f>'Source Data'!G86</x:f>
        <x:v>1917</x:v>
      </x:c>
      <x:c r="N86" s="8" t="n">
        <x:f>M86*('Source Data'!H$8/'Source Data'!G$8)*EXP(F86*('Source Data'!H$7-'Source Data'!G$7))</x:f>
        <x:v>2565.7446364770144</x:v>
      </x:c>
      <x:c r="O86" s="14" t="n">
        <x:f>I86/N86-1</x:f>
        <x:v>-0.26493074439799336</x:v>
      </x:c>
      <x:c r="P86" s="2" t="str"/>
    </x:row>
    <x:row r="87">
      <x:c r="A87" s="2" t="str">
        <x:f>'Source Data'!A87</x:f>
        <x:v>311119</x:v>
      </x:c>
      <x:c r="B87" s="2" t="str">
        <x:f>'Source Data'!B87</x:f>
        <x:v>Other Animal Food Manufacturing</x:v>
      </x:c>
      <x:c r="C87" s="13" t="n">
        <x:f>LN('Source Data'!C87/'Source Data'!C$8)</x:f>
        <x:v>-8.65592601502724</x:v>
      </x:c>
      <x:c r="D87" s="13" t="n">
        <x:f>LN('Source Data'!D87/'Source Data'!D$8)</x:f>
        <x:v>-8.635332198263855</x:v>
      </x:c>
      <x:c r="E87" s="13" t="n">
        <x:f>LN('Source Data'!E87/'Source Data'!E$8)</x:f>
        <x:v>-8.660837021825477</x:v>
      </x:c>
      <x:c r="F87" s="13" t="n">
        <x:f>SLOPE(C87:E87,'Source Data'!C$7:E$7)</x:f>
        <x:v>-0.002455503399118264</x:v>
      </x:c>
      <x:c r="G87" s="14" t="n">
        <x:f>EXP(F87)-1</x:f>
        <x:v>-0.0024524911167077557</x:v>
      </x:c>
      <x:c r="H87" s="8" t="n">
        <x:f>'Source Data'!F87</x:f>
        <x:v>2419</x:v>
      </x:c>
      <x:c r="I87" s="8" t="n">
        <x:f>'Source Data'!H87</x:f>
        <x:v>2536</x:v>
      </x:c>
      <x:c r="J87" s="14" t="n">
        <x:f>I87/H87-1</x:f>
        <x:v>0.04836709384042992</x:v>
      </x:c>
      <x:c r="K87" s="8" t="n">
        <x:f>H87*('Source Data'!H$8/'Source Data'!F$8)*EXP(F87*('Source Data'!H$7-'Source Data'!F$7))</x:f>
        <x:v>2437.8590683433795</x:v>
      </x:c>
      <x:c r="L87" s="14" t="n">
        <x:f>I87/K87-1</x:f>
        <x:v>0.04025701605602294</x:v>
      </x:c>
      <x:c r="M87" s="8" t="n">
        <x:f>'Source Data'!G87</x:f>
        <x:v>2465</x:v>
      </x:c>
      <x:c r="N87" s="8" t="n">
        <x:f>M87*('Source Data'!H$8/'Source Data'!G$8)*EXP(F87*('Source Data'!H$7-'Source Data'!G$7))</x:f>
        <x:v>2485.173907166217</x:v>
      </x:c>
      <x:c r="O87" s="14" t="n">
        <x:f>I87/N87-1</x:f>
        <x:v>0.02045172480172175</x:v>
      </x:c>
      <x:c r="P87" s="2" t="str"/>
    </x:row>
    <x:row r="88">
      <x:c r="A88" s="2" t="str">
        <x:f>'Source Data'!A88</x:f>
        <x:v>311212</x:v>
      </x:c>
      <x:c r="B88" s="2" t="str">
        <x:f>'Source Data'!B88</x:f>
        <x:v>Rice Milling</x:v>
      </x:c>
      <x:c r="C88" s="13" t="n">
        <x:f>LN('Source Data'!C88/'Source Data'!C$8)</x:f>
        <x:v>-9.380925622961556</x:v>
      </x:c>
      <x:c r="D88" s="13" t="n">
        <x:f>LN('Source Data'!D88/'Source Data'!D$8)</x:f>
        <x:v>-9.35184492778001</x:v>
      </x:c>
      <x:c r="E88" s="13" t="n">
        <x:f>LN('Source Data'!E88/'Source Data'!E$8)</x:f>
        <x:v>-9.358649840708974</x:v>
      </x:c>
      <x:c r="F88" s="13" t="n">
        <x:f>SLOPE(C88:E88,'Source Data'!C$7:E$7)</x:f>
        <x:v>0.011137891126290711</x:v>
      </x:c>
      <x:c r="G88" s="14" t="n">
        <x:f>EXP(F88)-1</x:f>
        <x:v>0.011200148359062911</x:v>
      </x:c>
      <x:c r="H88" s="8" t="n">
        <x:f>'Source Data'!F88</x:f>
        <x:v>1228</x:v>
      </x:c>
      <x:c r="I88" s="8" t="n">
        <x:f>'Source Data'!H88</x:f>
        <x:v>1225</x:v>
      </x:c>
      <x:c r="J88" s="14" t="n">
        <x:f>I88/H88-1</x:f>
        <x:v>-0.002442996742671011</x:v>
      </x:c>
      <x:c r="K88" s="8" t="n">
        <x:f>H88*('Source Data'!H$8/'Source Data'!F$8)*EXP(F88*('Source Data'!H$7-'Source Data'!F$7))</x:f>
        <x:v>1306.7281261265762</x:v>
      </x:c>
      <x:c r="L88" s="14" t="n">
        <x:f>I88/K88-1</x:f>
        <x:v>-0.06254409352068968</x:v>
      </x:c>
      <x:c r="M88" s="8" t="n">
        <x:f>'Source Data'!G88</x:f>
        <x:v>1123</x:v>
      </x:c>
      <x:c r="N88" s="8" t="n">
        <x:f>M88*('Source Data'!H$8/'Source Data'!G$8)*EXP(F88*('Source Data'!H$7-'Source Data'!G$7))</x:f>
        <x:v>1179.316097067891</x:v>
      </x:c>
      <x:c r="O88" s="14" t="n">
        <x:f>I88/N88-1</x:f>
        <x:v>0.038737623479991434</x:v>
      </x:c>
      <x:c r="P88" s="2" t="str"/>
    </x:row>
    <x:row r="89">
      <x:c r="A89" s="2" t="str">
        <x:f>'Source Data'!A89</x:f>
        <x:v>311225</x:v>
      </x:c>
      <x:c r="B89" s="2" t="str">
        <x:f>'Source Data'!B89</x:f>
        <x:v>Fats and Oils Refining and Blending</x:v>
      </x:c>
      <x:c r="C89" s="13" t="n">
        <x:f>LN('Source Data'!C89/'Source Data'!C$8)</x:f>
        <x:v>-9.86043486868255</x:v>
      </x:c>
      <x:c r="D89" s="13" t="n">
        <x:f>LN('Source Data'!D89/'Source Data'!D$8)</x:f>
        <x:v>-9.856647225753807</x:v>
      </x:c>
      <x:c r="E89" s="13" t="n">
        <x:f>LN('Source Data'!E89/'Source Data'!E$8)</x:f>
        <x:v>-9.773905510672556</x:v>
      </x:c>
      <x:c r="F89" s="13" t="n">
        <x:f>SLOPE(C89:E89,'Source Data'!C$7:E$7)</x:f>
        <x:v>0.043264679004996864</x:v>
      </x:c>
      <x:c r="G89" s="14" t="n">
        <x:f>EXP(F89)-1</x:f>
        <x:v>0.044214239863648475</x:v>
      </x:c>
      <x:c r="H89" s="8" t="n">
        <x:f>'Source Data'!F89</x:f>
        <x:v>938</x:v>
      </x:c>
      <x:c r="I89" s="8" t="n">
        <x:f>'Source Data'!H89</x:f>
        <x:v>1150</x:v>
      </x:c>
      <x:c r="J89" s="14" t="n">
        <x:f>I89/H89-1</x:f>
        <x:v>0.2260127931769722</x:v>
      </x:c>
      <x:c r="K89" s="8" t="n">
        <x:f>H89*('Source Data'!H$8/'Source Data'!F$8)*EXP(F89*('Source Data'!H$7-'Source Data'!F$7))</x:f>
        <x:v>1135.0099201813425</x:v>
      </x:c>
      <x:c r="L89" s="14" t="n">
        <x:f>I89/K89-1</x:f>
        <x:v>0.0132070033504752</x:v>
      </x:c>
      <x:c r="M89" s="8" t="n">
        <x:f>'Source Data'!G89</x:f>
        <x:v>928</x:v>
      </x:c>
      <x:c r="N89" s="8" t="n">
        <x:f>M89*('Source Data'!H$8/'Source Data'!G$8)*EXP(F89*('Source Data'!H$7-'Source Data'!G$7))</x:f>
        <x:v>1073.1388227064476</x:v>
      </x:c>
      <x:c r="O89" s="14" t="n">
        <x:f>I89/N89-1</x:f>
        <x:v>0.07162277206569523</x:v>
      </x:c>
      <x:c r="P89" s="2" t="str"/>
    </x:row>
    <x:row r="90">
      <x:c r="A90" s="2" t="str">
        <x:f>'Source Data'!A90</x:f>
        <x:v>311230</x:v>
      </x:c>
      <x:c r="B90" s="2" t="str">
        <x:f>'Source Data'!B90</x:f>
        <x:v>Breakfast Cereal Manufacturing</x:v>
      </x:c>
      <x:c r="C90" s="13" t="n">
        <x:f>LN('Source Data'!C90/'Source Data'!C$8)</x:f>
        <x:v>-11.260224711277324</x:v>
      </x:c>
      <x:c r="D90" s="13" t="n">
        <x:f>LN('Source Data'!D90/'Source Data'!D$8)</x:f>
        <x:v>-11.410233060262016</x:v>
      </x:c>
      <x:c r="E90" s="13" t="n">
        <x:f>LN('Source Data'!E90/'Source Data'!E$8)</x:f>
        <x:v>-11.518393931560496</x:v>
      </x:c>
      <x:c r="F90" s="13" t="n">
        <x:f>SLOPE(C90:E90,'Source Data'!C$7:E$7)</x:f>
        <x:v>-0.1290846101415859</x:v>
      </x:c>
      <x:c r="G90" s="14" t="n">
        <x:f>EXP(F90)-1</x:f>
        <x:v>-0.12110040141994782</x:v>
      </x:c>
      <x:c r="H90" s="8" t="n">
        <x:f>'Source Data'!F90</x:f>
        <x:v>184</x:v>
      </x:c>
      <x:c r="I90" s="8" t="n">
        <x:f>'Source Data'!H90</x:f>
        <x:v>175</x:v>
      </x:c>
      <x:c r="J90" s="14" t="n">
        <x:f>I90/H90-1</x:f>
        <x:v>-0.048913043478260865</x:v>
      </x:c>
      <x:c r="K90" s="8" t="n">
        <x:f>H90*('Source Data'!H$8/'Source Data'!F$8)*EXP(F90*('Source Data'!H$7-'Source Data'!F$7))</x:f>
        <x:v>111.74118200433159</x:v>
      </x:c>
      <x:c r="L90" s="14" t="n">
        <x:f>I90/K90-1</x:f>
        <x:v>0.5661191054271846</x:v>
      </x:c>
      <x:c r="M90" s="8" t="n">
        <x:f>'Source Data'!G90</x:f>
        <x:v>198</x:v>
      </x:c>
      <x:c r="N90" s="8" t="n">
        <x:f>M90*('Source Data'!H$8/'Source Data'!G$8)*EXP(F90*('Source Data'!H$7-'Source Data'!G$7))</x:f>
        <x:v>136.52811209516278</x:v>
      </x:c>
      <x:c r="O90" s="14" t="n">
        <x:f>I90/N90-1</x:f>
        <x:v>0.2817872987068155</x:v>
      </x:c>
      <x:c r="P90" s="2" t="str"/>
    </x:row>
    <x:row r="91">
      <x:c r="A91" s="2" t="str">
        <x:f>'Source Data'!A91</x:f>
        <x:v>311340</x:v>
      </x:c>
      <x:c r="B91" s="2" t="str">
        <x:f>'Source Data'!B91</x:f>
        <x:v>Nonchocolate Confectionery Manufacturing</x:v>
      </x:c>
      <x:c r="C91" s="13" t="n">
        <x:f>LN('Source Data'!C91/'Source Data'!C$8)</x:f>
        <x:v>-8.599281309390001</x:v>
      </x:c>
      <x:c r="D91" s="13" t="n">
        <x:f>LN('Source Data'!D91/'Source Data'!D$8)</x:f>
        <x:v>-8.64539031013689</x:v>
      </x:c>
      <x:c r="E91" s="13" t="n">
        <x:f>LN('Source Data'!E91/'Source Data'!E$8)</x:f>
        <x:v>-8.573954952394056</x:v>
      </x:c>
      <x:c r="F91" s="13" t="n">
        <x:f>SLOPE(C91:E91,'Source Data'!C$7:E$7)</x:f>
        <x:v>0.012663178497972716</x:v>
      </x:c>
      <x:c r="G91" s="14" t="n">
        <x:f>EXP(F91)-1</x:f>
        <x:v>0.012743696053245435</x:v>
      </x:c>
      <x:c r="H91" s="8" t="n">
        <x:f>'Source Data'!F91</x:f>
        <x:v>2184</x:v>
      </x:c>
      <x:c r="I91" s="8" t="n">
        <x:f>'Source Data'!H91</x:f>
        <x:v>1872</x:v>
      </x:c>
      <x:c r="J91" s="14" t="n">
        <x:f>I91/H91-1</x:f>
        <x:v>-0.1428571428571429</x:v>
      </x:c>
      <x:c r="K91" s="8" t="n">
        <x:f>H91*('Source Data'!H$8/'Source Data'!F$8)*EXP(F91*('Source Data'!H$7-'Source Data'!F$7))</x:f>
        <x:v>2338.240625135112</x:v>
      </x:c>
      <x:c r="L91" s="14" t="n">
        <x:f>I91/K91-1</x:f>
        <x:v>-0.19939805173309355</x:v>
      </x:c>
      <x:c r="M91" s="8" t="n">
        <x:f>'Source Data'!G91</x:f>
        <x:v>2044</x:v>
      </x:c>
      <x:c r="N91" s="8" t="n">
        <x:f>M91*('Source Data'!H$8/'Source Data'!G$8)*EXP(F91*('Source Data'!H$7-'Source Data'!G$7))</x:f>
        <x:v>2156.3469226045977</x:v>
      </x:c>
      <x:c r="O91" s="14" t="n">
        <x:f>I91/N91-1</x:f>
        <x:v>-0.1318651092845219</x:v>
      </x:c>
      <x:c r="P91" s="2" t="str"/>
    </x:row>
    <x:row r="92">
      <x:c r="A92" s="2" t="str">
        <x:f>'Source Data'!A92</x:f>
        <x:v>311351</x:v>
      </x:c>
      <x:c r="B92" s="2" t="str">
        <x:f>'Source Data'!B92</x:f>
        <x:v>Chocolate and Confectionery Manufacturing from Cacao Beans</x:v>
      </x:c>
      <x:c r="C92" s="13" t="n">
        <x:f>LN('Source Data'!C92/'Source Data'!C$8)</x:f>
        <x:v>-9.144755257041908</x:v>
      </x:c>
      <x:c r="D92" s="13" t="n">
        <x:f>LN('Source Data'!D92/'Source Data'!D$8)</x:f>
        <x:v>-9.188617029801637</x:v>
      </x:c>
      <x:c r="E92" s="13" t="n">
        <x:f>LN('Source Data'!E92/'Source Data'!E$8)</x:f>
        <x:v>-9.142231895414563</x:v>
      </x:c>
      <x:c r="F92" s="13" t="n">
        <x:f>SLOPE(C92:E92,'Source Data'!C$7:E$7)</x:f>
        <x:v>0.0012616808136725055</x:v>
      </x:c>
      <x:c r="G92" s="14" t="n">
        <x:f>EXP(F92)-1</x:f>
        <x:v>0.001262477067747847</x:v>
      </x:c>
      <x:c r="H92" s="8" t="n">
        <x:f>'Source Data'!F92</x:f>
        <x:v>1665</x:v>
      </x:c>
      <x:c r="I92" s="8" t="n">
        <x:f>'Source Data'!H92</x:f>
        <x:v>1616</x:v>
      </x:c>
      <x:c r="J92" s="14" t="n">
        <x:f>I92/H92-1</x:f>
        <x:v>-0.029429429429429388</x:v>
      </x:c>
      <x:c r="K92" s="8" t="n">
        <x:f>H92*('Source Data'!H$8/'Source Data'!F$8)*EXP(F92*('Source Data'!H$7-'Source Data'!F$7))</x:f>
        <x:v>1703.116574519424</x:v>
      </x:c>
      <x:c r="L92" s="14" t="n">
        <x:f>I92/K92-1</x:f>
        <x:v>-0.051151269280557576</x:v>
      </x:c>
      <x:c r="M92" s="8" t="n">
        <x:f>'Source Data'!G92</x:f>
        <x:v>1612</x:v>
      </x:c>
      <x:c r="N92" s="8" t="n">
        <x:f>M92*('Source Data'!H$8/'Source Data'!G$8)*EXP(F92*('Source Data'!H$7-'Source Data'!G$7))</x:f>
        <x:v>1643.4176873128797</x:v>
      </x:c>
      <x:c r="O92" s="14" t="n">
        <x:f>I92/N92-1</x:f>
        <x:v>-0.01668333468998362</x:v>
      </x:c>
      <x:c r="P92" s="2" t="str"/>
    </x:row>
    <x:row r="93">
      <x:c r="A93" s="2" t="str">
        <x:f>'Source Data'!A93</x:f>
        <x:v>311352</x:v>
      </x:c>
      <x:c r="B93" s="2" t="str">
        <x:f>'Source Data'!B93</x:f>
        <x:v>Confectionery Manufacturing from Purchased Chocolate</x:v>
      </x:c>
      <x:c r="C93" s="13" t="n">
        <x:f>LN('Source Data'!C93/'Source Data'!C$8)</x:f>
        <x:v>-8.842759342284857</x:v>
      </x:c>
      <x:c r="D93" s="13" t="n">
        <x:f>LN('Source Data'!D93/'Source Data'!D$8)</x:f>
        <x:v>-8.84291234764608</x:v>
      </x:c>
      <x:c r="E93" s="13" t="n">
        <x:f>LN('Source Data'!E93/'Source Data'!E$8)</x:f>
        <x:v>-9.005723144169696</x:v>
      </x:c>
      <x:c r="F93" s="13" t="n">
        <x:f>SLOPE(C93:E93,'Source Data'!C$7:E$7)</x:f>
        <x:v>-0.08148190094241947</x:v>
      </x:c>
      <x:c r="G93" s="14" t="n">
        <x:f>EXP(F93)-1</x:f>
        <x:v>-0.07825060750175361</x:v>
      </x:c>
      <x:c r="H93" s="8" t="n">
        <x:f>'Source Data'!F93</x:f>
        <x:v>2205</x:v>
      </x:c>
      <x:c r="I93" s="8" t="n">
        <x:f>'Source Data'!H93</x:f>
        <x:v>2188</x:v>
      </x:c>
      <x:c r="J93" s="14" t="n">
        <x:f>I93/H93-1</x:f>
        <x:v>-0.007709750566893381</x:v>
      </x:c>
      <x:c r="K93" s="8" t="n">
        <x:f>H93*('Source Data'!H$8/'Source Data'!F$8)*EXP(F93*('Source Data'!H$7-'Source Data'!F$7))</x:f>
        <x:v>1619.9380539781616</x:v>
      </x:c>
      <x:c r="L93" s="14" t="n">
        <x:f>I93/K93-1</x:f>
        <x:v>0.350668931214265</x:v>
      </x:c>
      <x:c r="M93" s="8" t="n">
        <x:f>'Source Data'!G93</x:f>
        <x:v>2303</x:v>
      </x:c>
      <x:c r="N93" s="8" t="n">
        <x:f>M93*('Source Data'!H$8/'Source Data'!G$8)*EXP(F93*('Source Data'!H$7-'Source Data'!G$7))</x:f>
        <x:v>1831.7728356885789</x:v>
      </x:c>
      <x:c r="O93" s="14" t="n">
        <x:f>I93/N93-1</x:f>
        <x:v>0.19447125613559635</x:v>
      </x:c>
      <x:c r="P93" s="2" t="str"/>
    </x:row>
    <x:row r="94">
      <x:c r="A94" s="2" t="str">
        <x:f>'Source Data'!A94</x:f>
        <x:v>311411</x:v>
      </x:c>
      <x:c r="B94" s="2" t="str">
        <x:f>'Source Data'!B94</x:f>
        <x:v>Frozen Fruit, Juice, and Vegetable Manufacturing</x:v>
      </x:c>
      <x:c r="C94" s="13" t="n">
        <x:f>LN('Source Data'!C94/'Source Data'!C$8)</x:f>
        <x:v>-8.233193908654508</x:v>
      </x:c>
      <x:c r="D94" s="13" t="n">
        <x:f>LN('Source Data'!D94/'Source Data'!D$8)</x:f>
        <x:v>-8.300566024080064</x:v>
      </x:c>
      <x:c r="E94" s="13" t="n">
        <x:f>LN('Source Data'!E94/'Source Data'!E$8)</x:f>
        <x:v>-8.291174632103452</x:v>
      </x:c>
      <x:c r="F94" s="13" t="n">
        <x:f>SLOPE(C94:E94,'Source Data'!C$7:E$7)</x:f>
        <x:v>-0.028990361724472002</x:v>
      </x:c>
      <x:c r="G94" s="14" t="n">
        <x:f>EXP(F94)-1</x:f>
        <x:v>-0.028574172708737522</x:v>
      </x:c>
      <x:c r="H94" s="8" t="n">
        <x:f>'Source Data'!F94</x:f>
        <x:v>3664</x:v>
      </x:c>
      <x:c r="I94" s="8" t="n">
        <x:f>'Source Data'!H94</x:f>
        <x:v>3040</x:v>
      </x:c>
      <x:c r="J94" s="14" t="n">
        <x:f>I94/H94-1</x:f>
        <x:v>-0.17030567685589515</x:v>
      </x:c>
      <x:c r="K94" s="8" t="n">
        <x:f>H94*('Source Data'!H$8/'Source Data'!F$8)*EXP(F94*('Source Data'!H$7-'Source Data'!F$7))</x:f>
        <x:v>3320.721255654273</x:v>
      </x:c>
      <x:c r="L94" s="14" t="n">
        <x:f>I94/K94-1</x:f>
        <x:v>-0.08453622994591381</x:v>
      </x:c>
      <x:c r="M94" s="8" t="n">
        <x:f>'Source Data'!G94</x:f>
        <x:v>3296</x:v>
      </x:c>
      <x:c r="N94" s="8" t="n">
        <x:f>M94*('Source Data'!H$8/'Source Data'!G$8)*EXP(F94*('Source Data'!H$7-'Source Data'!G$7))</x:f>
        <x:v>3068.705677991877</x:v>
      </x:c>
      <x:c r="O94" s="14" t="n">
        <x:f>I94/N94-1</x:f>
        <x:v>-0.009354327525688877</x:v>
      </x:c>
      <x:c r="P94" s="2" t="str"/>
    </x:row>
    <x:row r="95">
      <x:c r="A95" s="2" t="str">
        <x:f>'Source Data'!A95</x:f>
        <x:v>311412</x:v>
      </x:c>
      <x:c r="B95" s="2" t="str">
        <x:f>'Source Data'!B95</x:f>
        <x:v>Frozen Specialty Food Manufacturing</x:v>
      </x:c>
      <x:c r="C95" s="13" t="n">
        <x:f>LN('Source Data'!C95/'Source Data'!C$8)</x:f>
        <x:v>-7.694834077939705</x:v>
      </x:c>
      <x:c r="D95" s="13" t="n">
        <x:f>LN('Source Data'!D95/'Source Data'!D$8)</x:f>
        <x:v>-7.68245939453374</x:v>
      </x:c>
      <x:c r="E95" s="13" t="n">
        <x:f>LN('Source Data'!E95/'Source Data'!E$8)</x:f>
        <x:v>-7.699939380378393</x:v>
      </x:c>
      <x:c r="F95" s="13" t="n">
        <x:f>SLOPE(C95:E95,'Source Data'!C$7:E$7)</x:f>
        <x:v>-0.0025526512193443374</x:v>
      </x:c>
      <x:c r="G95" s="14" t="n">
        <x:f>EXP(F95)-1</x:f>
        <x:v>-0.0025493959756435203</x:v>
      </x:c>
      <x:c r="H95" s="8" t="n">
        <x:f>'Source Data'!F95</x:f>
        <x:v>8270</x:v>
      </x:c>
      <x:c r="I95" s="8" t="n">
        <x:f>'Source Data'!H95</x:f>
        <x:v>7646</x:v>
      </x:c>
      <x:c r="J95" s="14" t="n">
        <x:f>I95/H95-1</x:f>
        <x:v>-0.07545344619105199</x:v>
      </x:c>
      <x:c r="K95" s="8" t="n">
        <x:f>H95*('Source Data'!H$8/'Source Data'!F$8)*EXP(F95*('Source Data'!H$7-'Source Data'!F$7))</x:f>
        <x:v>8331.23670593758</x:v>
      </x:c>
      <x:c r="L95" s="14" t="n">
        <x:f>I95/K95-1</x:f>
        <x:v>-0.08224909819801651</x:v>
      </x:c>
      <x:c r="M95" s="8" t="n">
        <x:f>'Source Data'!G95</x:f>
        <x:v>7738</x:v>
      </x:c>
      <x:c r="N95" s="8" t="n">
        <x:f>M95*('Source Data'!H$8/'Source Data'!G$8)*EXP(F95*('Source Data'!H$7-'Source Data'!G$7))</x:f>
        <x:v>7799.055566806446</x:v>
      </x:c>
      <x:c r="O95" s="14" t="n">
        <x:f>I95/N95-1</x:f>
        <x:v>-0.019624884769107953</x:v>
      </x:c>
      <x:c r="P95" s="2" t="str"/>
    </x:row>
    <x:row r="96">
      <x:c r="A96" s="2" t="str">
        <x:f>'Source Data'!A96</x:f>
        <x:v>311421</x:v>
      </x:c>
      <x:c r="B96" s="2" t="str">
        <x:f>'Source Data'!B96</x:f>
        <x:v>Fruit and Vegetable Canning</x:v>
      </x:c>
      <x:c r="C96" s="13" t="n">
        <x:f>LN('Source Data'!C96/'Source Data'!C$8)</x:f>
        <x:v>-7.296826893045214</x:v>
      </x:c>
      <x:c r="D96" s="13" t="n">
        <x:f>LN('Source Data'!D96/'Source Data'!D$8)</x:f>
        <x:v>-7.343318908478887</x:v>
      </x:c>
      <x:c r="E96" s="13" t="n">
        <x:f>LN('Source Data'!E96/'Source Data'!E$8)</x:f>
        <x:v>-7.383443614412451</x:v>
      </x:c>
      <x:c r="F96" s="13" t="n">
        <x:f>SLOPE(C96:E96,'Source Data'!C$7:E$7)</x:f>
        <x:v>-0.04330836068361865</x:v>
      </x:c>
      <x:c r="G96" s="14" t="n">
        <x:f>EXP(F96)-1</x:f>
        <x:v>-0.04238394660660705</x:v>
      </x:c>
      <x:c r="H96" s="8" t="n">
        <x:f>'Source Data'!F96</x:f>
        <x:v>8945</x:v>
      </x:c>
      <x:c r="I96" s="8" t="n">
        <x:f>'Source Data'!H96</x:f>
        <x:v>10414</x:v>
      </x:c>
      <x:c r="J96" s="14" t="n">
        <x:f>I96/H96-1</x:f>
        <x:v>0.1642258244829513</x:v>
      </x:c>
      <x:c r="K96" s="8" t="n">
        <x:f>H96*('Source Data'!H$8/'Source Data'!F$8)*EXP(F96*('Source Data'!H$7-'Source Data'!F$7))</x:f>
        <x:v>7655.690896576231</x:v>
      </x:c>
      <x:c r="L96" s="14" t="n">
        <x:f>I96/K96-1</x:f>
        <x:v>0.360295254953062</x:v>
      </x:c>
      <x:c r="M96" s="8" t="n">
        <x:f>'Source Data'!G96</x:f>
        <x:v>9959</x:v>
      </x:c>
      <x:c r="N96" s="8" t="n">
        <x:f>M96*('Source Data'!H$8/'Source Data'!G$8)*EXP(F96*('Source Data'!H$7-'Source Data'!G$7))</x:f>
        <x:v>8882.374549352651</x:v>
      </x:c>
      <x:c r="O96" s="14" t="n">
        <x:f>I96/N96-1</x:f>
        <x:v>0.17243423390189894</x:v>
      </x:c>
      <x:c r="P96" s="2" t="str"/>
    </x:row>
    <x:row r="97">
      <x:c r="A97" s="2" t="str">
        <x:f>'Source Data'!A97</x:f>
        <x:v>311422</x:v>
      </x:c>
      <x:c r="B97" s="2" t="str">
        <x:f>'Source Data'!B97</x:f>
        <x:v>Specialty Canning</x:v>
      </x:c>
      <x:c r="C97" s="13" t="n">
        <x:f>LN('Source Data'!C97/'Source Data'!C$8)</x:f>
        <x:v>-10.284845063033163</x:v>
      </x:c>
      <x:c r="D97" s="13" t="n">
        <x:f>LN('Source Data'!D97/'Source Data'!D$8)</x:f>
        <x:v>-10.267347947915917</x:v>
      </x:c>
      <x:c r="E97" s="13" t="n">
        <x:f>LN('Source Data'!E97/'Source Data'!E$8)</x:f>
        <x:v>-10.24650992161835</x:v>
      </x:c>
      <x:c r="F97" s="13" t="n">
        <x:f>SLOPE(C97:E97,'Source Data'!C$7:E$7)</x:f>
        <x:v>0.019167570707407044</x:v>
      </x:c>
      <x:c r="G97" s="14" t="n">
        <x:f>EXP(F97)-1</x:f>
        <x:v>0.019352447917323268</x:v>
      </x:c>
      <x:c r="H97" s="8" t="n">
        <x:f>'Source Data'!F97</x:f>
        <x:v>472</x:v>
      </x:c>
      <x:c r="I97" s="8" t="n">
        <x:f>'Source Data'!H97</x:f>
        <x:v>522</x:v>
      </x:c>
      <x:c r="J97" s="14" t="n">
        <x:f>I97/H97-1</x:f>
        <x:v>0.10593220338983045</x:v>
      </x:c>
      <x:c r="K97" s="8" t="n">
        <x:f>H97*('Source Data'!H$8/'Source Data'!F$8)*EXP(F97*('Source Data'!H$7-'Source Data'!F$7))</x:f>
        <x:v>518.6541448787398</x:v>
      </x:c>
      <x:c r="L97" s="14" t="n">
        <x:f>I97/K97-1</x:f>
        <x:v>0.006451033225700842</x:v>
      </x:c>
      <x:c r="M97" s="8" t="n">
        <x:f>'Source Data'!G97</x:f>
        <x:v>457</x:v>
      </x:c>
      <x:c r="N97" s="8" t="n">
        <x:f>M97*('Source Data'!H$8/'Source Data'!G$8)*EXP(F97*('Source Data'!H$7-'Source Data'!G$7))</x:f>
        <x:v>491.61871453104396</x:v>
      </x:c>
      <x:c r="O97" s="14" t="n">
        <x:f>I97/N97-1</x:f>
        <x:v>0.06179847221222401</x:v>
      </x:c>
      <x:c r="P97" s="2" t="str"/>
    </x:row>
    <x:row r="98">
      <x:c r="A98" s="2" t="str">
        <x:f>'Source Data'!A98</x:f>
        <x:v>311423</x:v>
      </x:c>
      <x:c r="B98" s="2" t="str">
        <x:f>'Source Data'!B98</x:f>
        <x:v>Dried and Dehydrated Food Manufacturing</x:v>
      </x:c>
      <x:c r="C98" s="13" t="n">
        <x:f>LN('Source Data'!C98/'Source Data'!C$8)</x:f>
        <x:v>-8.443125154487486</x:v>
      </x:c>
      <x:c r="D98" s="13" t="n">
        <x:f>LN('Source Data'!D98/'Source Data'!D$8)</x:f>
        <x:v>-8.376646153415571</x:v>
      </x:c>
      <x:c r="E98" s="13" t="n">
        <x:f>LN('Source Data'!E98/'Source Data'!E$8)</x:f>
        <x:v>-8.305481800160344</x:v>
      </x:c>
      <x:c r="F98" s="13" t="n">
        <x:f>SLOPE(C98:E98,'Source Data'!C$7:E$7)</x:f>
        <x:v>0.06882167716357124</x:v>
      </x:c>
      <x:c r="G98" s="14" t="n">
        <x:f>EXP(F98)-1</x:f>
        <x:v>0.07124516463878416</x:v>
      </x:c>
      <x:c r="H98" s="8" t="n">
        <x:f>'Source Data'!F98</x:f>
        <x:v>3206</x:v>
      </x:c>
      <x:c r="I98" s="8" t="n">
        <x:f>'Source Data'!H98</x:f>
        <x:v>3031</x:v>
      </x:c>
      <x:c r="J98" s="14" t="n">
        <x:f>I98/H98-1</x:f>
        <x:v>-0.05458515283842791</x:v>
      </x:c>
      <x:c r="K98" s="8" t="n">
        <x:f>H98*('Source Data'!H$8/'Source Data'!F$8)*EXP(F98*('Source Data'!H$7-'Source Data'!F$7))</x:f>
        <x:v>4296.92120726834</x:v>
      </x:c>
      <x:c r="L98" s="14" t="n">
        <x:f>I98/K98-1</x:f>
        <x:v>-0.29461122189697264</x:v>
      </x:c>
      <x:c r="M98" s="8" t="n">
        <x:f>'Source Data'!G98</x:f>
        <x:v>3256</x:v>
      </x:c>
      <x:c r="N98" s="8" t="n">
        <x:f>M98*('Source Data'!H$8/'Source Data'!G$8)*EXP(F98*('Source Data'!H$7-'Source Data'!G$7))</x:f>
        <x:v>4065.2767513558497</x:v>
      </x:c>
      <x:c r="O98" s="14" t="n">
        <x:f>I98/N98-1</x:f>
        <x:v>-0.2544173040644522</x:v>
      </x:c>
      <x:c r="P98" s="2" t="str"/>
    </x:row>
    <x:row r="99">
      <x:c r="A99" s="2" t="str">
        <x:f>'Source Data'!A99</x:f>
        <x:v>311511</x:v>
      </x:c>
      <x:c r="B99" s="2" t="str">
        <x:f>'Source Data'!B99</x:f>
        <x:v>Fluid Milk Manufacturing</x:v>
      </x:c>
      <x:c r="C99" s="13" t="n">
        <x:f>LN('Source Data'!C99/'Source Data'!C$8)</x:f>
        <x:v>-7.497130536049155</x:v>
      </x:c>
      <x:c r="D99" s="13" t="n">
        <x:f>LN('Source Data'!D99/'Source Data'!D$8)</x:f>
        <x:v>-7.604531251276484</x:v>
      </x:c>
      <x:c r="E99" s="13" t="n">
        <x:f>LN('Source Data'!E99/'Source Data'!E$8)</x:f>
        <x:v>-7.726860323386475</x:v>
      </x:c>
      <x:c r="F99" s="13" t="n">
        <x:f>SLOPE(C99:E99,'Source Data'!C$7:E$7)</x:f>
        <x:v>-0.11486489366866026</x:v>
      </x:c>
      <x:c r="G99" s="14" t="n">
        <x:f>EXP(F99)-1</x:f>
        <x:v>-0.10851341874784415</x:v>
      </x:c>
      <x:c r="H99" s="8" t="n">
        <x:f>'Source Data'!F99</x:f>
        <x:v>6890</x:v>
      </x:c>
      <x:c r="I99" s="8" t="n">
        <x:f>'Source Data'!H99</x:f>
        <x:v>6873</x:v>
      </x:c>
      <x:c r="J99" s="14" t="n">
        <x:f>I99/H99-1</x:f>
        <x:v>-0.002467343976777947</x:v>
      </x:c>
      <x:c r="K99" s="8" t="n">
        <x:f>H99*('Source Data'!H$8/'Source Data'!F$8)*EXP(F99*('Source Data'!H$7-'Source Data'!F$7))</x:f>
        <x:v>4429.113784725235</x:v>
      </x:c>
      <x:c r="L99" s="14" t="n">
        <x:f>I99/K99-1</x:f>
        <x:v>0.5517776995711963</x:v>
      </x:c>
      <x:c r="M99" s="8" t="n">
        <x:f>'Source Data'!G99</x:f>
        <x:v>6954</x:v>
      </x:c>
      <x:c r="N99" s="8" t="n">
        <x:f>M99*('Source Data'!H$8/'Source Data'!G$8)*EXP(F99*('Source Data'!H$7-'Source Data'!G$7))</x:f>
        <x:v>5004.010521124741</x:v>
      </x:c>
      <x:c r="O99" s="14" t="n">
        <x:f>I99/N99-1</x:f>
        <x:v>0.3734983112016259</x:v>
      </x:c>
      <x:c r="P99" s="2" t="str"/>
    </x:row>
    <x:row r="100">
      <x:c r="A100" s="2" t="str">
        <x:f>'Source Data'!A100</x:f>
        <x:v>311513</x:v>
      </x:c>
      <x:c r="B100" s="2" t="str">
        <x:f>'Source Data'!B100</x:f>
        <x:v>Cheese Manufacturing</x:v>
      </x:c>
      <x:c r="C100" s="13" t="n">
        <x:f>LN('Source Data'!C100/'Source Data'!C$8)</x:f>
        <x:v>-7.75046542214582</x:v>
      </x:c>
      <x:c r="D100" s="13" t="n">
        <x:f>LN('Source Data'!D100/'Source Data'!D$8)</x:f>
        <x:v>-7.740832211870845</x:v>
      </x:c>
      <x:c r="E100" s="13" t="n">
        <x:f>LN('Source Data'!E100/'Source Data'!E$8)</x:f>
        <x:v>-7.675894826621135</x:v>
      </x:c>
      <x:c r="F100" s="13" t="n">
        <x:f>SLOPE(C100:E100,'Source Data'!C$7:E$7)</x:f>
        <x:v>0.03728529776234257</x:v>
      </x:c>
      <x:c r="G100" s="14" t="n">
        <x:f>EXP(F100)-1</x:f>
        <x:v>0.03798911457043186</x:v>
      </x:c>
      <x:c r="H100" s="8" t="n">
        <x:f>'Source Data'!F100</x:f>
        <x:v>6848</x:v>
      </x:c>
      <x:c r="I100" s="8" t="n">
        <x:f>'Source Data'!H100</x:f>
        <x:v>6038</x:v>
      </x:c>
      <x:c r="J100" s="14" t="n">
        <x:f>I100/H100-1</x:f>
        <x:v>-0.11828271028037385</x:v>
      </x:c>
      <x:c r="K100" s="8" t="n">
        <x:f>H100*('Source Data'!H$8/'Source Data'!F$8)*EXP(F100*('Source Data'!H$7-'Source Data'!F$7))</x:f>
        <x:v>8090.461983882063</x:v>
      </x:c>
      <x:c r="L100" s="14" t="n">
        <x:f>I100/K100-1</x:f>
        <x:v>-0.2536890956253187</x:v>
      </x:c>
      <x:c r="M100" s="8" t="n">
        <x:f>'Source Data'!G100</x:f>
        <x:v>6901</x:v>
      </x:c>
      <x:c r="N100" s="8" t="n">
        <x:f>M100*('Source Data'!H$8/'Source Data'!G$8)*EXP(F100*('Source Data'!H$7-'Source Data'!G$7))</x:f>
        <x:v>7838.437879857135</x:v>
      </x:c>
      <x:c r="O100" s="14" t="n">
        <x:f>I100/N100-1</x:f>
        <x:v>-0.22969345518241835</x:v>
      </x:c>
      <x:c r="P100" s="2" t="str"/>
    </x:row>
    <x:row r="101">
      <x:c r="A101" s="2" t="str">
        <x:f>'Source Data'!A101</x:f>
        <x:v>311520</x:v>
      </x:c>
      <x:c r="B101" s="2" t="str">
        <x:f>'Source Data'!B101</x:f>
        <x:v>Ice Cream and Frozen Dessert Manufacturing</x:v>
      </x:c>
      <x:c r="C101" s="13" t="n">
        <x:f>LN('Source Data'!C101/'Source Data'!C$8)</x:f>
        <x:v>-8.483568186818218</x:v>
      </x:c>
      <x:c r="D101" s="13" t="n">
        <x:f>LN('Source Data'!D101/'Source Data'!D$8)</x:f>
        <x:v>-8.55085803780081</x:v>
      </x:c>
      <x:c r="E101" s="13" t="n">
        <x:f>LN('Source Data'!E101/'Source Data'!E$8)</x:f>
        <x:v>-8.630653259564797</x:v>
      </x:c>
      <x:c r="F101" s="13" t="n">
        <x:f>SLOPE(C101:E101,'Source Data'!C$7:E$7)</x:f>
        <x:v>-0.07354253637328956</x:v>
      </x:c>
      <x:c r="G101" s="14" t="n">
        <x:f>EXP(F101)-1</x:f>
        <x:v>-0.0709033754498638</x:v>
      </x:c>
      <x:c r="H101" s="8" t="n">
        <x:f>'Source Data'!F101</x:f>
        <x:v>3138</x:v>
      </x:c>
      <x:c r="I101" s="8" t="n">
        <x:f>'Source Data'!H101</x:f>
        <x:v>2926</x:v>
      </x:c>
      <x:c r="J101" s="14" t="n">
        <x:f>I101/H101-1</x:f>
        <x:v>-0.06755895474824725</x:v>
      </x:c>
      <x:c r="K101" s="8" t="n">
        <x:f>H101*('Source Data'!H$8/'Source Data'!F$8)*EXP(F101*('Source Data'!H$7-'Source Data'!F$7))</x:f>
        <x:v>2379.769213625483</x:v>
      </x:c>
      <x:c r="L101" s="14" t="n">
        <x:f>I101/K101-1</x:f>
        <x:v>0.22953099117639053</x:v>
      </x:c>
      <x:c r="M101" s="8" t="n">
        <x:f>'Source Data'!G101</x:f>
        <x:v>3454</x:v>
      </x:c>
      <x:c r="N101" s="8" t="n">
        <x:f>M101*('Source Data'!H$8/'Source Data'!G$8)*EXP(F101*('Source Data'!H$7-'Source Data'!G$7))</x:f>
        <x:v>2813.481580861043</x:v>
      </x:c>
      <x:c r="O101" s="14" t="n">
        <x:f>I101/N101-1</x:f>
        <x:v>0.03999259135171651</x:v>
      </x:c>
      <x:c r="P101" s="2" t="str"/>
    </x:row>
    <x:row r="102">
      <x:c r="A102" s="2" t="str">
        <x:f>'Source Data'!A102</x:f>
        <x:v>311611</x:v>
      </x:c>
      <x:c r="B102" s="2" t="str">
        <x:f>'Source Data'!B102</x:f>
        <x:v>Animal (except Poultry) Slaughtering</x:v>
      </x:c>
      <x:c r="C102" s="13" t="n">
        <x:f>LN('Source Data'!C102/'Source Data'!C$8)</x:f>
        <x:v>-7.977353991270263</x:v>
      </x:c>
      <x:c r="D102" s="13" t="n">
        <x:f>LN('Source Data'!D102/'Source Data'!D$8)</x:f>
        <x:v>-8.049986282212956</x:v>
      </x:c>
      <x:c r="E102" s="13" t="n">
        <x:f>LN('Source Data'!E102/'Source Data'!E$8)</x:f>
        <x:v>-8.005236239256499</x:v>
      </x:c>
      <x:c r="F102" s="13" t="n">
        <x:f>SLOPE(C102:E102,'Source Data'!C$7:E$7)</x:f>
        <x:v>-0.013941123993117976</x:v>
      </x:c>
      <x:c r="G102" s="14" t="n">
        <x:f>EXP(F102)-1</x:f>
        <x:v>-0.013844396542205706</x:v>
      </x:c>
      <x:c r="H102" s="8" t="n">
        <x:f>'Source Data'!F102</x:f>
        <x:v>4804</x:v>
      </x:c>
      <x:c r="I102" s="8" t="n">
        <x:f>'Source Data'!H102</x:f>
        <x:v>3095</x:v>
      </x:c>
      <x:c r="J102" s="14" t="n">
        <x:f>I102/H102-1</x:f>
        <x:v>-0.3557452123230641</x:v>
      </x:c>
      <x:c r="K102" s="8" t="n">
        <x:f>H102*('Source Data'!H$8/'Source Data'!F$8)*EXP(F102*('Source Data'!H$7-'Source Data'!F$7))</x:f>
        <x:v>4624.056792197288</x:v>
      </x:c>
      <x:c r="L102" s="14" t="n">
        <x:f>I102/K102-1</x:f>
        <x:v>-0.33067431065670394</x:v>
      </x:c>
      <x:c r="M102" s="8" t="n">
        <x:f>'Source Data'!G102</x:f>
        <x:v>4055</x:v>
      </x:c>
      <x:c r="N102" s="8" t="n">
        <x:f>M102*('Source Data'!H$8/'Source Data'!G$8)*EXP(F102*('Source Data'!H$7-'Source Data'!G$7))</x:f>
        <x:v>3949.719872934181</x:v>
      </x:c>
      <x:c r="O102" s="14" t="n">
        <x:f>I102/N102-1</x:f>
        <x:v>-0.21640012467497438</x:v>
      </x:c>
      <x:c r="P102" s="2" t="str"/>
    </x:row>
    <x:row r="103">
      <x:c r="A103" s="2" t="str">
        <x:f>'Source Data'!A103</x:f>
        <x:v>311612</x:v>
      </x:c>
      <x:c r="B103" s="2" t="str">
        <x:f>'Source Data'!B103</x:f>
        <x:v>Meat Processed from Carcasses</x:v>
      </x:c>
      <x:c r="C103" s="13" t="n">
        <x:f>LN('Source Data'!C103/'Source Data'!C$8)</x:f>
        <x:v>-7.71267092151473</x:v>
      </x:c>
      <x:c r="D103" s="13" t="n">
        <x:f>LN('Source Data'!D103/'Source Data'!D$8)</x:f>
        <x:v>-7.725064185544614</x:v>
      </x:c>
      <x:c r="E103" s="13" t="n">
        <x:f>LN('Source Data'!E103/'Source Data'!E$8)</x:f>
        <x:v>-7.731290855421953</x:v>
      </x:c>
      <x:c r="F103" s="13" t="n">
        <x:f>SLOPE(C103:E103,'Source Data'!C$7:E$7)</x:f>
        <x:v>-0.009309966953611415</x:v>
      </x:c>
      <x:c r="G103" s="14" t="n">
        <x:f>EXP(F103)-1</x:f>
        <x:v>-0.009266763389811028</x:v>
      </x:c>
      <x:c r="H103" s="8" t="n">
        <x:f>'Source Data'!F103</x:f>
        <x:v>7652</x:v>
      </x:c>
      <x:c r="I103" s="8" t="n">
        <x:f>'Source Data'!H103</x:f>
        <x:v>6478</x:v>
      </x:c>
      <x:c r="J103" s="14" t="n">
        <x:f>I103/H103-1</x:f>
        <x:v>-0.1534239414532148</x:v>
      </x:c>
      <x:c r="K103" s="8" t="n">
        <x:f>H103*('Source Data'!H$8/'Source Data'!F$8)*EXP(F103*('Source Data'!H$7-'Source Data'!F$7))</x:f>
        <x:v>7503.091899549774</x:v>
      </x:c>
      <x:c r="L103" s="14" t="n">
        <x:f>I103/K103-1</x:f>
        <x:v>-0.13662259682722067</x:v>
      </x:c>
      <x:c r="M103" s="8" t="n">
        <x:f>'Source Data'!G103</x:f>
        <x:v>7832</x:v>
      </x:c>
      <x:c r="N103" s="8" t="n">
        <x:f>M103*('Source Data'!H$8/'Source Data'!G$8)*EXP(F103*('Source Data'!H$7-'Source Data'!G$7))</x:f>
        <x:v>7735.385699209535</x:v>
      </x:c>
      <x:c r="O103" s="14" t="n">
        <x:f>I103/N103-1</x:f>
        <x:v>-0.16254983889659502</x:v>
      </x:c>
      <x:c r="P103" s="2" t="str"/>
    </x:row>
    <x:row r="104">
      <x:c r="A104" s="2" t="str">
        <x:f>'Source Data'!A104</x:f>
        <x:v>311613</x:v>
      </x:c>
      <x:c r="B104" s="2" t="str">
        <x:f>'Source Data'!B104</x:f>
        <x:v>Rendering and Meat Byproduct Processing</x:v>
      </x:c>
      <x:c r="C104" s="13" t="n">
        <x:f>LN('Source Data'!C104/'Source Data'!C$8)</x:f>
        <x:v>-9.961930357974003</x:v>
      </x:c>
      <x:c r="D104" s="13" t="n">
        <x:f>LN('Source Data'!D104/'Source Data'!D$8)</x:f>
        <x:v>-9.94817865326059</x:v>
      </x:c>
      <x:c r="E104" s="13" t="n">
        <x:f>LN('Source Data'!E104/'Source Data'!E$8)</x:f>
        <x:v>-9.937744847603563</x:v>
      </x:c>
      <x:c r="F104" s="13" t="n">
        <x:f>SLOPE(C104:E104,'Source Data'!C$7:E$7)</x:f>
        <x:v>0.012092755185220128</x:v>
      </x:c>
      <x:c r="G104" s="14" t="n">
        <x:f>EXP(F104)-1</x:f>
        <x:v>0.0121661681725167</x:v>
      </x:c>
      <x:c r="H104" s="8" t="n">
        <x:f>'Source Data'!F104</x:f>
        <x:v>658</x:v>
      </x:c>
      <x:c r="I104" s="8" t="n">
        <x:f>'Source Data'!H104</x:f>
        <x:v>600</x:v>
      </x:c>
      <x:c r="J104" s="14" t="n">
        <x:f>I104/H104-1</x:f>
        <x:v>-0.08814589665653494</x:v>
      </x:c>
      <x:c r="K104" s="8" t="n">
        <x:f>H104*('Source Data'!H$8/'Source Data'!F$8)*EXP(F104*('Source Data'!H$7-'Source Data'!F$7))</x:f>
        <x:v>702.8643800275346</x:v>
      </x:c>
      <x:c r="L104" s="14" t="n">
        <x:f>I104/K104-1</x:f>
        <x:v>-0.14635025326437068</x:v>
      </x:c>
      <x:c r="M104" s="8" t="n">
        <x:f>'Source Data'!G104</x:f>
        <x:v>656</x:v>
      </x:c>
      <x:c r="N104" s="8" t="n">
        <x:f>M104*('Source Data'!H$8/'Source Data'!G$8)*EXP(F104*('Source Data'!H$7-'Source Data'!G$7))</x:f>
        <x:v>690.8732637725109</x:v>
      </x:c>
      <x:c r="O104" s="14" t="n">
        <x:f>I104/N104-1</x:f>
        <x:v>-0.13153391300207184</x:v>
      </x:c>
      <x:c r="P104" s="2" t="str"/>
    </x:row>
    <x:row r="105">
      <x:c r="A105" s="2" t="str">
        <x:f>'Source Data'!A105</x:f>
        <x:v>311615</x:v>
      </x:c>
      <x:c r="B105" s="2" t="str">
        <x:f>'Source Data'!B105</x:f>
        <x:v>Poultry Processing</x:v>
      </x:c>
      <x:c r="C105" s="13" t="n">
        <x:f>LN('Source Data'!C105/'Source Data'!C$8)</x:f>
        <x:v>-7.295176216925027</x:v>
      </x:c>
      <x:c r="D105" s="13" t="n">
        <x:f>LN('Source Data'!D105/'Source Data'!D$8)</x:f>
        <x:v>-7.281805207049919</x:v>
      </x:c>
      <x:c r="E105" s="13" t="n">
        <x:f>LN('Source Data'!E105/'Source Data'!E$8)</x:f>
        <x:v>-7.351100369692227</x:v>
      </x:c>
      <x:c r="F105" s="13" t="n">
        <x:f>SLOPE(C105:E105,'Source Data'!C$7:E$7)</x:f>
        <x:v>-0.027962076383599932</x:v>
      </x:c>
      <x:c r="G105" s="14" t="n">
        <x:f>EXP(F105)-1</x:f>
        <x:v>-0.027574756016085056</x:v>
      </x:c>
      <x:c r="H105" s="8" t="n">
        <x:f>'Source Data'!F105</x:f>
        <x:v>9403</x:v>
      </x:c>
      <x:c r="I105" s="8" t="n">
        <x:f>'Source Data'!H105</x:f>
        <x:v>9315</x:v>
      </x:c>
      <x:c r="J105" s="14" t="n">
        <x:f>I105/H105-1</x:f>
        <x:v>-0.00935871530362653</x:v>
      </x:c>
      <x:c r="K105" s="8" t="n">
        <x:f>H105*('Source Data'!H$8/'Source Data'!F$8)*EXP(F105*('Source Data'!H$7-'Source Data'!F$7))</x:f>
        <x:v>8557.16109066601</x:v>
      </x:c>
      <x:c r="L105" s="14" t="n">
        <x:f>I105/K105-1</x:f>
        <x:v>0.08856195428652458</x:v>
      </x:c>
      <x:c r="M105" s="8" t="n">
        <x:f>'Source Data'!G105</x:f>
        <x:v>10292</x:v>
      </x:c>
      <x:c r="N105" s="8" t="n">
        <x:f>M105*('Source Data'!H$8/'Source Data'!G$8)*EXP(F105*('Source Data'!H$7-'Source Data'!G$7))</x:f>
        <x:v>9611.862452881163</x:v>
      </x:c>
      <x:c r="O105" s="14" t="n">
        <x:f>I105/N105-1</x:f>
        <x:v>-0.03088500842957642</x:v>
      </x:c>
      <x:c r="P105" s="2" t="str"/>
    </x:row>
    <x:row r="106">
      <x:c r="A106" s="2" t="str">
        <x:f>'Source Data'!A106</x:f>
        <x:v>311710</x:v>
      </x:c>
      <x:c r="B106" s="2" t="str">
        <x:f>'Source Data'!B106</x:f>
        <x:v>Seafood Product Preparation and Packaging</x:v>
      </x:c>
      <x:c r="C106" s="13" t="n">
        <x:f>LN('Source Data'!C106/'Source Data'!C$8)</x:f>
        <x:v>-9.431127571611626</x:v>
      </x:c>
      <x:c r="D106" s="13" t="n">
        <x:f>LN('Source Data'!D106/'Source Data'!D$8)</x:f>
        <x:v>-9.470514881454623</x:v>
      </x:c>
      <x:c r="E106" s="13" t="n">
        <x:f>LN('Source Data'!E106/'Source Data'!E$8)</x:f>
        <x:v>-9.209746172640601</x:v>
      </x:c>
      <x:c r="F106" s="13" t="n">
        <x:f>SLOPE(C106:E106,'Source Data'!C$7:E$7)</x:f>
        <x:v>0.11069069948551213</x:v>
      </x:c>
      <x:c r="G106" s="14" t="n">
        <x:f>EXP(F106)-1</x:f>
        <x:v>0.11704934947817414</x:v>
      </x:c>
      <x:c r="H106" s="8" t="n">
        <x:f>'Source Data'!F106</x:f>
        <x:v>1357</x:v>
      </x:c>
      <x:c r="I106" s="8" t="n">
        <x:f>'Source Data'!H106</x:f>
        <x:v>1103</x:v>
      </x:c>
      <x:c r="J106" s="14" t="n">
        <x:f>I106/H106-1</x:f>
        <x:v>-0.18717759764185704</x:v>
      </x:c>
      <x:c r="K106" s="8" t="n">
        <x:f>H106*('Source Data'!H$8/'Source Data'!F$8)*EXP(F106*('Source Data'!H$7-'Source Data'!F$7))</x:f>
        <x:v>2150.3426120669724</x:v>
      </x:c>
      <x:c r="L106" s="14" t="n">
        <x:f>I106/K106-1</x:f>
        <x:v>-0.48705848369913296</x:v>
      </x:c>
      <x:c r="M106" s="8" t="n">
        <x:f>'Source Data'!G106</x:f>
        <x:v>1459</x:v>
      </x:c>
      <x:c r="N106" s="8" t="n">
        <x:f>M106*('Source Data'!H$8/'Source Data'!G$8)*EXP(F106*('Source Data'!H$7-'Source Data'!G$7))</x:f>
        <x:v>2065.4346955161313</x:v>
      </x:c>
      <x:c r="O106" s="14" t="n">
        <x:f>I106/N106-1</x:f>
        <x:v>-0.4659719804288601</x:v>
      </x:c>
      <x:c r="P106" s="2" t="str"/>
    </x:row>
    <x:row r="107">
      <x:c r="A107" s="2" t="str">
        <x:f>'Source Data'!A107</x:f>
        <x:v>311811</x:v>
      </x:c>
      <x:c r="B107" s="2" t="str">
        <x:f>'Source Data'!B107</x:f>
        <x:v>Retail Bakeries</x:v>
      </x:c>
      <x:c r="C107" s="13" t="n">
        <x:f>LN('Source Data'!C107/'Source Data'!C$8)</x:f>
        <x:v>-6.906516479979576</x:v>
      </x:c>
      <x:c r="D107" s="13" t="n">
        <x:f>LN('Source Data'!D107/'Source Data'!D$8)</x:f>
        <x:v>-6.901410629210242</x:v>
      </x:c>
      <x:c r="E107" s="13" t="n">
        <x:f>LN('Source Data'!E107/'Source Data'!E$8)</x:f>
        <x:v>-6.886555498490242</x:v>
      </x:c>
      <x:c r="F107" s="13" t="n">
        <x:f>SLOPE(C107:E107,'Source Data'!C$7:E$7)</x:f>
        <x:v>0.009980490744666781</x:v>
      </x:c>
      <x:c r="G107" s="14" t="n">
        <x:f>EXP(F107)-1</x:f>
        <x:v>0.01003046194977597</x:v>
      </x:c>
      <x:c r="H107" s="8" t="n">
        <x:f>'Source Data'!F107</x:f>
        <x:v>14934</x:v>
      </x:c>
      <x:c r="I107" s="8" t="n">
        <x:f>'Source Data'!H107</x:f>
        <x:v>16585</x:v>
      </x:c>
      <x:c r="J107" s="14" t="n">
        <x:f>I107/H107-1</x:f>
        <x:v>0.11055310030802201</x:v>
      </x:c>
      <x:c r="K107" s="8" t="n">
        <x:f>H107*('Source Data'!H$8/'Source Data'!F$8)*EXP(F107*('Source Data'!H$7-'Source Data'!F$7))</x:f>
        <x:v>15818.03050652813</x:v>
      </x:c>
      <x:c r="L107" s="14" t="n">
        <x:f>I107/K107-1</x:f>
        <x:v>0.048487040984991125</x:v>
      </x:c>
      <x:c r="M107" s="8" t="n">
        <x:f>'Source Data'!G107</x:f>
        <x:v>15492</x:v>
      </x:c>
      <x:c r="N107" s="8" t="n">
        <x:f>M107*('Source Data'!H$8/'Source Data'!G$8)*EXP(F107*('Source Data'!H$7-'Source Data'!G$7))</x:f>
        <x:v>16212.500434651021</x:v>
      </x:c>
      <x:c r="O107" s="14" t="n">
        <x:f>I107/N107-1</x:f>
        <x:v>0.02297607126367951</x:v>
      </x:c>
      <x:c r="P107" s="2" t="str"/>
    </x:row>
    <x:row r="108">
      <x:c r="A108" s="2" t="str">
        <x:f>'Source Data'!A108</x:f>
        <x:v>311812</x:v>
      </x:c>
      <x:c r="B108" s="2" t="str">
        <x:f>'Source Data'!B108</x:f>
        <x:v>Commercial Bakeries</x:v>
      </x:c>
      <x:c r="C108" s="13" t="n">
        <x:f>LN('Source Data'!C108/'Source Data'!C$8)</x:f>
        <x:v>-6.789828926153353</x:v>
      </x:c>
      <x:c r="D108" s="13" t="n">
        <x:f>LN('Source Data'!D108/'Source Data'!D$8)</x:f>
        <x:v>-6.796335635549746</x:v>
      </x:c>
      <x:c r="E108" s="13" t="n">
        <x:f>LN('Source Data'!E108/'Source Data'!E$8)</x:f>
        <x:v>-6.873613295486615</x:v>
      </x:c>
      <x:c r="F108" s="13" t="n">
        <x:f>SLOPE(C108:E108,'Source Data'!C$7:E$7)</x:f>
        <x:v>-0.04189218466663114</x:v>
      </x:c>
      <x:c r="G108" s="14" t="n">
        <x:f>EXP(F108)-1</x:f>
        <x:v>-0.041026832989244144</x:v>
      </x:c>
      <x:c r="H108" s="8" t="n">
        <x:f>'Source Data'!F108</x:f>
        <x:v>14483</x:v>
      </x:c>
      <x:c r="I108" s="8" t="n">
        <x:f>'Source Data'!H108</x:f>
        <x:v>15936</x:v>
      </x:c>
      <x:c r="J108" s="14" t="n">
        <x:f>I108/H108-1</x:f>
        <x:v>0.10032451840088386</x:v>
      </x:c>
      <x:c r="K108" s="8" t="n">
        <x:f>H108*('Source Data'!H$8/'Source Data'!F$8)*EXP(F108*('Source Data'!H$7-'Source Data'!F$7))</x:f>
        <x:v>12465.873793165849</x:v>
      </x:c>
      <x:c r="L108" s="14" t="n">
        <x:f>I108/K108-1</x:f>
        <x:v>0.2783700737237187</x:v>
      </x:c>
      <x:c r="M108" s="8" t="n">
        <x:f>'Source Data'!G108</x:f>
        <x:v>15593</x:v>
      </x:c>
      <x:c r="N108" s="8" t="n">
        <x:f>M108*('Source Data'!H$8/'Source Data'!G$8)*EXP(F108*('Source Data'!H$7-'Source Data'!G$7))</x:f>
        <x:v>13966.517865315449</x:v>
      </x:c>
      <x:c r="O108" s="14" t="n">
        <x:f>I108/N108-1</x:f>
        <x:v>0.14101454304337202</x:v>
      </x:c>
      <x:c r="P108" s="2" t="str"/>
    </x:row>
    <x:row r="109">
      <x:c r="A109" s="2" t="str">
        <x:f>'Source Data'!A109</x:f>
        <x:v>311813</x:v>
      </x:c>
      <x:c r="B109" s="2" t="str">
        <x:f>'Source Data'!B109</x:f>
        <x:v>Frozen Cakes, Pies, and Other Pastries Manufacturing</x:v>
      </x:c>
      <x:c r="C109" s="13" t="n">
        <x:f>LN('Source Data'!C109/'Source Data'!C$8)</x:f>
        <x:v>-9.015245702645206</x:v>
      </x:c>
      <x:c r="D109" s="13" t="n">
        <x:f>LN('Source Data'!D109/'Source Data'!D$8)</x:f>
        <x:v>-9.086877519910763</x:v>
      </x:c>
      <x:c r="E109" s="13" t="n">
        <x:f>LN('Source Data'!E109/'Source Data'!E$8)</x:f>
        <x:v>-9.194417648585132</x:v>
      </x:c>
      <x:c r="F109" s="13" t="n">
        <x:f>SLOPE(C109:E109,'Source Data'!C$7:E$7)</x:f>
        <x:v>-0.08958597296996285</x:v>
      </x:c>
      <x:c r="G109" s="14" t="n">
        <x:f>EXP(F109)-1</x:f>
        <x:v>-0.08569034417136157</x:v>
      </x:c>
      <x:c r="H109" s="8" t="n">
        <x:f>'Source Data'!F109</x:f>
        <x:v>1381</x:v>
      </x:c>
      <x:c r="I109" s="8" t="n">
        <x:f>'Source Data'!H109</x:f>
        <x:v>1133</x:v>
      </x:c>
      <x:c r="J109" s="14" t="n">
        <x:f>I109/H109-1</x:f>
        <x:v>-0.17958001448225924</x:v>
      </x:c>
      <x:c r="K109" s="8" t="n">
        <x:f>H109*('Source Data'!H$8/'Source Data'!F$8)*EXP(F109*('Source Data'!H$7-'Source Data'!F$7))</x:f>
        <x:v>982.2120939259123</x:v>
      </x:c>
      <x:c r="L109" s="14" t="n">
        <x:f>I109/K109-1</x:f>
        <x:v>0.1535186819695804</x:v>
      </x:c>
      <x:c r="M109" s="8" t="n">
        <x:f>'Source Data'!G109</x:f>
        <x:v>1231</x:v>
      </x:c>
      <x:c r="N109" s="8" t="n">
        <x:f>M109*('Source Data'!H$8/'Source Data'!G$8)*EXP(F109*('Source Data'!H$7-'Source Data'!G$7))</x:f>
        <x:v>955.602039623913</x:v>
      </x:c>
      <x:c r="O109" s="14" t="n">
        <x:f>I109/N109-1</x:f>
        <x:v>0.1856399976353167</x:v>
      </x:c>
      <x:c r="P109" s="2" t="str"/>
    </x:row>
    <x:row r="110">
      <x:c r="A110" s="2" t="str">
        <x:f>'Source Data'!A110</x:f>
        <x:v>311821</x:v>
      </x:c>
      <x:c r="B110" s="2" t="str">
        <x:f>'Source Data'!B110</x:f>
        <x:v>Cookie and Cracker Manufacturing</x:v>
      </x:c>
      <x:c r="C110" s="13" t="n">
        <x:f>LN('Source Data'!C110/'Source Data'!C$8)</x:f>
        <x:v>-8.60270531882233</x:v>
      </x:c>
      <x:c r="D110" s="13" t="n">
        <x:f>LN('Source Data'!D110/'Source Data'!D$8)</x:f>
        <x:v>-8.703006243315011</x:v>
      </x:c>
      <x:c r="E110" s="13" t="n">
        <x:f>LN('Source Data'!E110/'Source Data'!E$8)</x:f>
        <x:v>-8.7369760579988</x:v>
      </x:c>
      <x:c r="F110" s="13" t="n">
        <x:f>SLOPE(C110:E110,'Source Data'!C$7:E$7)</x:f>
        <x:v>-0.06713536958823507</x:v>
      </x:c>
      <x:c r="G110" s="14" t="n">
        <x:f>EXP(F110)-1</x:f>
        <x:v>-0.06493138708424329</x:v>
      </x:c>
      <x:c r="H110" s="8" t="n">
        <x:f>'Source Data'!F110</x:f>
        <x:v>2302</x:v>
      </x:c>
      <x:c r="I110" s="8" t="n">
        <x:f>'Source Data'!H110</x:f>
        <x:v>2026</x:v>
      </x:c>
      <x:c r="J110" s="14" t="n">
        <x:f>I110/H110-1</x:f>
        <x:v>-0.11989574283231974</x:v>
      </x:c>
      <x:c r="K110" s="8" t="n">
        <x:f>H110*('Source Data'!H$8/'Source Data'!F$8)*EXP(F110*('Source Data'!H$7-'Source Data'!F$7))</x:f>
        <x:v>1791.0908310183463</x:v>
      </x:c>
      <x:c r="L110" s="14" t="n">
        <x:f>I110/K110-1</x:f>
        <x:v>0.131154246849722</x:v>
      </x:c>
      <x:c r="M110" s="8" t="n">
        <x:f>'Source Data'!G110</x:f>
        <x:v>2569</x:v>
      </x:c>
      <x:c r="N110" s="8" t="n">
        <x:f>M110*('Source Data'!H$8/'Source Data'!G$8)*EXP(F110*('Source Data'!H$7-'Source Data'!G$7))</x:f>
        <x:v>2133.2101373838723</x:v>
      </x:c>
      <x:c r="O110" s="14" t="n">
        <x:f>I110/N110-1</x:f>
        <x:v>-0.050257654182795486</x:v>
      </x:c>
      <x:c r="P110" s="2" t="str"/>
    </x:row>
    <x:row r="111">
      <x:c r="A111" s="2" t="str">
        <x:f>'Source Data'!A111</x:f>
        <x:v>311824</x:v>
      </x:c>
      <x:c r="B111" s="2" t="str">
        <x:f>'Source Data'!B111</x:f>
        <x:v>Dry Pasta, Dough, and Flour Mixes Manufacturing from Purchased Flour</x:v>
      </x:c>
      <x:c r="C111" s="13" t="n">
        <x:f>LN('Source Data'!C111/'Source Data'!C$8)</x:f>
        <x:v>-8.571933660155578</x:v>
      </x:c>
      <x:c r="D111" s="13" t="n">
        <x:f>LN('Source Data'!D111/'Source Data'!D$8)</x:f>
        <x:v>-8.585406274020695</x:v>
      </x:c>
      <x:c r="E111" s="13" t="n">
        <x:f>LN('Source Data'!E111/'Source Data'!E$8)</x:f>
        <x:v>-8.643151055260631</x:v>
      </x:c>
      <x:c r="F111" s="13" t="n">
        <x:f>SLOPE(C111:E111,'Source Data'!C$7:E$7)</x:f>
        <x:v>-0.035608697552526714</x:v>
      </x:c>
      <x:c r="G111" s="14" t="n">
        <x:f>EXP(F111)-1</x:f>
        <x:v>-0.03498216654776609</x:v>
      </x:c>
      <x:c r="H111" s="8" t="n">
        <x:f>'Source Data'!F111</x:f>
        <x:v>2431</x:v>
      </x:c>
      <x:c r="I111" s="8" t="n">
        <x:f>'Source Data'!H111</x:f>
        <x:v>2580</x:v>
      </x:c>
      <x:c r="J111" s="14" t="n">
        <x:f>I111/H111-1</x:f>
        <x:v>0.06129164952694355</x:v>
      </x:c>
      <x:c r="K111" s="8" t="n">
        <x:f>H111*('Source Data'!H$8/'Source Data'!F$8)*EXP(F111*('Source Data'!H$7-'Source Data'!F$7))</x:f>
        <x:v>2145.678694922533</x:v>
      </x:c>
      <x:c r="L111" s="14" t="n">
        <x:f>I111/K111-1</x:f>
        <x:v>0.20241674865171166</x:v>
      </x:c>
      <x:c r="M111" s="8" t="n">
        <x:f>'Source Data'!G111</x:f>
        <x:v>2485</x:v>
      </x:c>
      <x:c r="N111" s="8" t="n">
        <x:f>M111*('Source Data'!H$8/'Source Data'!G$8)*EXP(F111*('Source Data'!H$7-'Source Data'!G$7))</x:f>
        <x:v>2268.148612373564</x:v>
      </x:c>
      <x:c r="O111" s="14" t="n">
        <x:f>I111/N111-1</x:f>
        <x:v>0.13749160258951942</x:v>
      </x:c>
      <x:c r="P111" s="2" t="str"/>
    </x:row>
    <x:row r="112">
      <x:c r="A112" s="2" t="str">
        <x:f>'Source Data'!A112</x:f>
        <x:v>311830</x:v>
      </x:c>
      <x:c r="B112" s="2" t="str">
        <x:f>'Source Data'!B112</x:f>
        <x:v>Tortilla Manufacturing</x:v>
      </x:c>
      <x:c r="C112" s="13" t="n">
        <x:f>LN('Source Data'!C112/'Source Data'!C$8)</x:f>
        <x:v>-7.728285149316281</x:v>
      </x:c>
      <x:c r="D112" s="13" t="n">
        <x:f>LN('Source Data'!D112/'Source Data'!D$8)</x:f>
        <x:v>-7.790677220154996</x:v>
      </x:c>
      <x:c r="E112" s="13" t="n">
        <x:f>LN('Source Data'!E112/'Source Data'!E$8)</x:f>
        <x:v>-7.776390090262867</x:v>
      </x:c>
      <x:c r="F112" s="13" t="n">
        <x:f>SLOPE(C112:E112,'Source Data'!C$7:E$7)</x:f>
        <x:v>-0.024052470473292953</x:v>
      </x:c>
      <x:c r="G112" s="14" t="n">
        <x:f>EXP(F112)-1</x:f>
        <x:v>-0.023765515071443533</x:v>
      </x:c>
      <x:c r="H112" s="8" t="n">
        <x:f>'Source Data'!F112</x:f>
        <x:v>5776</x:v>
      </x:c>
      <x:c r="I112" s="8" t="n">
        <x:f>'Source Data'!H112</x:f>
        <x:v>5132</x:v>
      </x:c>
      <x:c r="J112" s="14" t="n">
        <x:f>I112/H112-1</x:f>
        <x:v>-0.11149584487534625</x:v>
      </x:c>
      <x:c r="K112" s="8" t="n">
        <x:f>H112*('Source Data'!H$8/'Source Data'!F$8)*EXP(F112*('Source Data'!H$7-'Source Data'!F$7))</x:f>
        <x:v>5339.27312501656</x:v>
      </x:c>
      <x:c r="L112" s="14" t="n">
        <x:f>I112/K112-1</x:f>
        <x:v>-0.03882047615159545</x:v>
      </x:c>
      <x:c r="M112" s="8" t="n">
        <x:f>'Source Data'!G112</x:f>
        <x:v>5872</x:v>
      </x:c>
      <x:c r="N112" s="8" t="n">
        <x:f>M112*('Source Data'!H$8/'Source Data'!G$8)*EXP(F112*('Source Data'!H$7-'Source Data'!G$7))</x:f>
        <x:v>5548.653149033724</x:v>
      </x:c>
      <x:c r="O112" s="14" t="n">
        <x:f>I112/N112-1</x:f>
        <x:v>-0.07509086220433192</x:v>
      </x:c>
      <x:c r="P112" s="2" t="str"/>
    </x:row>
    <x:row r="113">
      <x:c r="A113" s="2" t="str">
        <x:f>'Source Data'!A113</x:f>
        <x:v>311911</x:v>
      </x:c>
      <x:c r="B113" s="2" t="str">
        <x:f>'Source Data'!B113</x:f>
        <x:v>Roasted Nuts and Peanut Butter Manufacturing</x:v>
      </x:c>
      <x:c r="C113" s="13" t="n">
        <x:f>LN('Source Data'!C113/'Source Data'!C$8)</x:f>
        <x:v>-7.77265021169632</x:v>
      </x:c>
      <x:c r="D113" s="13" t="n">
        <x:f>LN('Source Data'!D113/'Source Data'!D$8)</x:f>
        <x:v>-7.828086805617877</x:v>
      </x:c>
      <x:c r="E113" s="13" t="n">
        <x:f>LN('Source Data'!E113/'Source Data'!E$8)</x:f>
        <x:v>-7.8647566290957</x:v>
      </x:c>
      <x:c r="F113" s="13" t="n">
        <x:f>SLOPE(C113:E113,'Source Data'!C$7:E$7)</x:f>
        <x:v>-0.046053208699690096</x:v>
      </x:c>
      <x:c r="G113" s="14" t="n">
        <x:f>EXP(F113)-1</x:f>
        <x:v>-0.04500885299832591</x:v>
      </x:c>
      <x:c r="H113" s="8" t="n">
        <x:f>'Source Data'!F113</x:f>
        <x:v>5975</x:v>
      </x:c>
      <x:c r="I113" s="8" t="n">
        <x:f>'Source Data'!H113</x:f>
        <x:v>5536</x:v>
      </x:c>
      <x:c r="J113" s="14" t="n">
        <x:f>I113/H113-1</x:f>
        <x:v>-0.07347280334728035</x:v>
      </x:c>
      <x:c r="K113" s="8" t="n">
        <x:f>H113*('Source Data'!H$8/'Source Data'!F$8)*EXP(F113*('Source Data'!H$7-'Source Data'!F$7))</x:f>
        <x:v>5057.939910659468</x:v>
      </x:c>
      <x:c r="L113" s="14" t="n">
        <x:f>I113/K113-1</x:f>
        <x:v>0.0945167593495988</x:v>
      </x:c>
      <x:c r="M113" s="8" t="n">
        <x:f>'Source Data'!G113</x:f>
        <x:v>6168</x:v>
      </x:c>
      <x:c r="N113" s="8" t="n">
        <x:f>M113*('Source Data'!H$8/'Source Data'!G$8)*EXP(F113*('Source Data'!H$7-'Source Data'!G$7))</x:f>
        <x:v>5456.089654746025</x:v>
      </x:c>
      <x:c r="O113" s="14" t="n">
        <x:f>I113/N113-1</x:f>
        <x:v>0.014646083607600557</x:v>
      </x:c>
      <x:c r="P113" s="2" t="str"/>
    </x:row>
    <x:row r="114">
      <x:c r="A114" s="2" t="str">
        <x:f>'Source Data'!A114</x:f>
        <x:v>311919</x:v>
      </x:c>
      <x:c r="B114" s="2" t="str">
        <x:f>'Source Data'!B114</x:f>
        <x:v>Other Snack Food Manufacturing</x:v>
      </x:c>
      <x:c r="C114" s="13" t="n">
        <x:f>LN('Source Data'!C114/'Source Data'!C$8)</x:f>
        <x:v>-8.358743396092105</x:v>
      </x:c>
      <x:c r="D114" s="13" t="n">
        <x:f>LN('Source Data'!D114/'Source Data'!D$8)</x:f>
        <x:v>-8.336454372296913</x:v>
      </x:c>
      <x:c r="E114" s="13" t="n">
        <x:f>LN('Source Data'!E114/'Source Data'!E$8)</x:f>
        <x:v>-8.365426935642285</x:v>
      </x:c>
      <x:c r="F114" s="13" t="n">
        <x:f>SLOPE(C114:E114,'Source Data'!C$7:E$7)</x:f>
        <x:v>-0.003341769775089709</x:v>
      </x:c>
      <x:c r="G114" s="14" t="n">
        <x:f>EXP(F114)-1</x:f>
        <x:v>-0.003336192277109351</x:v>
      </x:c>
      <x:c r="H114" s="8" t="n">
        <x:f>'Source Data'!F114</x:f>
        <x:v>4010</x:v>
      </x:c>
      <x:c r="I114" s="8" t="n">
        <x:f>'Source Data'!H114</x:f>
        <x:v>3820</x:v>
      </x:c>
      <x:c r="J114" s="14" t="n">
        <x:f>I114/H114-1</x:f>
        <x:v>-0.04738154613466339</x:v>
      </x:c>
      <x:c r="K114" s="8" t="n">
        <x:f>H114*('Source Data'!H$8/'Source Data'!F$8)*EXP(F114*('Source Data'!H$7-'Source Data'!F$7))</x:f>
        <x:v>4026.9616850804678</x:v>
      </x:c>
      <x:c r="L114" s="14" t="n">
        <x:f>I114/K114-1</x:f>
        <x:v>-0.05139400403218197</x:v>
      </x:c>
      <x:c r="M114" s="8" t="n">
        <x:f>'Source Data'!G114</x:f>
        <x:v>4456</x:v>
      </x:c>
      <x:c r="N114" s="8" t="n">
        <x:f>M114*('Source Data'!H$8/'Source Data'!G$8)*EXP(F114*('Source Data'!H$7-'Source Data'!G$7))</x:f>
        <x:v>4480.539825205442</x:v>
      </x:c>
      <x:c r="O114" s="14" t="n">
        <x:f>I114/N114-1</x:f>
        <x:v>-0.14742416114450108</x:v>
      </x:c>
      <x:c r="P114" s="2" t="str"/>
    </x:row>
    <x:row r="115">
      <x:c r="A115" s="2" t="str">
        <x:f>'Source Data'!A115</x:f>
        <x:v>311920</x:v>
      </x:c>
      <x:c r="B115" s="2" t="str">
        <x:f>'Source Data'!B115</x:f>
        <x:v>Coffee and Tea Manufacturing</x:v>
      </x:c>
      <x:c r="C115" s="13" t="n">
        <x:f>LN('Source Data'!C115/'Source Data'!C$8)</x:f>
        <x:v>-8.488995608553584</x:v>
      </x:c>
      <x:c r="D115" s="13" t="n">
        <x:f>LN('Source Data'!D115/'Source Data'!D$8)</x:f>
        <x:v>-8.38890523951906</x:v>
      </x:c>
      <x:c r="E115" s="13" t="n">
        <x:f>LN('Source Data'!E115/'Source Data'!E$8)</x:f>
        <x:v>-8.264986123149919</x:v>
      </x:c>
      <x:c r="F115" s="13" t="n">
        <x:f>SLOPE(C115:E115,'Source Data'!C$7:E$7)</x:f>
        <x:v>0.11200474270183225</x:v>
      </x:c>
      <x:c r="G115" s="14" t="n">
        <x:f>EXP(F115)-1</x:f>
        <x:v>0.11851816543061822</x:v>
      </x:c>
      <x:c r="H115" s="8" t="n">
        <x:f>'Source Data'!F115</x:f>
        <x:v>3592</x:v>
      </x:c>
      <x:c r="I115" s="8" t="n">
        <x:f>'Source Data'!H115</x:f>
        <x:v>3994</x:v>
      </x:c>
      <x:c r="J115" s="14" t="n">
        <x:f>I115/H115-1</x:f>
        <x:v>0.11191536748329622</x:v>
      </x:c>
      <x:c r="K115" s="8" t="n">
        <x:f>H115*('Source Data'!H$8/'Source Data'!F$8)*EXP(F115*('Source Data'!H$7-'Source Data'!F$7))</x:f>
        <x:v>5721.987020907047</x:v>
      </x:c>
      <x:c r="L115" s="14" t="n">
        <x:f>I115/K115-1</x:f>
        <x:v>-0.30199072710114727</x:v>
      </x:c>
      <x:c r="M115" s="8" t="n">
        <x:f>'Source Data'!G115</x:f>
        <x:v>3718</x:v>
      </x:c>
      <x:c r="N115" s="8" t="n">
        <x:f>M115*('Source Data'!H$8/'Source Data'!G$8)*EXP(F115*('Source Data'!H$7-'Source Data'!G$7))</x:f>
        <x:v>5284.180046439258</x:v>
      </x:c>
      <x:c r="O115" s="14" t="n">
        <x:f>I115/N115-1</x:f>
        <x:v>-0.24415898684388038</x:v>
      </x:c>
      <x:c r="P115" s="2" t="str"/>
    </x:row>
    <x:row r="116">
      <x:c r="A116" s="2" t="str">
        <x:f>'Source Data'!A116</x:f>
        <x:v>311930</x:v>
      </x:c>
      <x:c r="B116" s="2" t="str">
        <x:f>'Source Data'!B116</x:f>
        <x:v>Flavoring Syrup and Concentrate Manufacturing</x:v>
      </x:c>
      <x:c r="C116" s="13" t="n">
        <x:f>LN('Source Data'!C116/'Source Data'!C$8)</x:f>
        <x:v>-9.68731548657673</x:v>
      </x:c>
      <x:c r="D116" s="13" t="n">
        <x:f>LN('Source Data'!D116/'Source Data'!D$8)</x:f>
        <x:v>-9.556639340426024</x:v>
      </x:c>
      <x:c r="E116" s="13" t="n">
        <x:f>LN('Source Data'!E116/'Source Data'!E$8)</x:f>
        <x:v>-9.6058529236798</x:v>
      </x:c>
      <x:c r="F116" s="13" t="n">
        <x:f>SLOPE(C116:E116,'Source Data'!C$7:E$7)</x:f>
        <x:v>0.040731281448465495</x:v>
      </x:c>
      <x:c r="G116" s="14" t="n">
        <x:f>EXP(F116)-1</x:f>
        <x:v>0.041572178169288154</x:v>
      </x:c>
      <x:c r="H116" s="8" t="n">
        <x:f>'Source Data'!F116</x:f>
        <x:v>1027</x:v>
      </x:c>
      <x:c r="I116" s="8" t="n">
        <x:f>'Source Data'!H116</x:f>
        <x:v>1313</x:v>
      </x:c>
      <x:c r="J116" s="14" t="n">
        <x:f>I116/H116-1</x:f>
        <x:v>0.2784810126582278</x:v>
      </x:c>
      <x:c r="K116" s="8" t="n">
        <x:f>H116*('Source Data'!H$8/'Source Data'!F$8)*EXP(F116*('Source Data'!H$7-'Source Data'!F$7))</x:f>
        <x:v>1230.173309928309</x:v>
      </x:c>
      <x:c r="L116" s="14" t="n">
        <x:f>I116/K116-1</x:f>
        <x:v>0.06732928555938011</x:v>
      </x:c>
      <x:c r="M116" s="8" t="n">
        <x:f>'Source Data'!G116</x:f>
        <x:v>1072</x:v>
      </x:c>
      <x:c r="N116" s="8" t="n">
        <x:f>M116*('Source Data'!H$8/'Source Data'!G$8)*EXP(F116*('Source Data'!H$7-'Source Data'!G$7))</x:f>
        <x:v>1230.274419223299</x:v>
      </x:c>
      <x:c r="O116" s="14" t="n">
        <x:f>I116/N116-1</x:f>
        <x:v>0.06724156780316348</x:v>
      </x:c>
      <x:c r="P116" s="2" t="str"/>
    </x:row>
    <x:row r="117">
      <x:c r="A117" s="2" t="str">
        <x:f>'Source Data'!A117</x:f>
        <x:v>311941</x:v>
      </x:c>
      <x:c r="B117" s="2" t="str">
        <x:f>'Source Data'!B117</x:f>
        <x:v>Mayonnaise, Dressing, and Other Prepared Sauce Manufacturing</x:v>
      </x:c>
      <x:c r="C117" s="13" t="n">
        <x:f>LN('Source Data'!C117/'Source Data'!C$8)</x:f>
        <x:v>-8.565303801616908</x:v>
      </x:c>
      <x:c r="D117" s="13" t="n">
        <x:f>LN('Source Data'!D117/'Source Data'!D$8)</x:f>
        <x:v>-8.54697453777441</x:v>
      </x:c>
      <x:c r="E117" s="13" t="n">
        <x:f>LN('Source Data'!E117/'Source Data'!E$8)</x:f>
        <x:v>-8.489109266379199</x:v>
      </x:c>
      <x:c r="F117" s="13" t="n">
        <x:f>SLOPE(C117:E117,'Source Data'!C$7:E$7)</x:f>
        <x:v>0.03809726761885468</x:v>
      </x:c>
      <x:c r="G117" s="14" t="n">
        <x:f>EXP(F117)-1</x:f>
        <x:v>0.038832272706021964</x:v>
      </x:c>
      <x:c r="H117" s="8" t="n">
        <x:f>'Source Data'!F117</x:f>
        <x:v>2691</x:v>
      </x:c>
      <x:c r="I117" s="8" t="n">
        <x:f>'Source Data'!H117</x:f>
        <x:v>3301</x:v>
      </x:c>
      <x:c r="J117" s="14" t="n">
        <x:f>I117/H117-1</x:f>
        <x:v>0.22668153102935706</x:v>
      </x:c>
      <x:c r="K117" s="8" t="n">
        <x:f>H117*('Source Data'!H$8/'Source Data'!F$8)*EXP(F117*('Source Data'!H$7-'Source Data'!F$7))</x:f>
        <x:v>3189.5822347243293</x:v>
      </x:c>
      <x:c r="L117" s="14" t="n">
        <x:f>I117/K117-1</x:f>
        <x:v>0.03493177384257051</x:v>
      </x:c>
      <x:c r="M117" s="8" t="n">
        <x:f>'Source Data'!G117</x:f>
        <x:v>2763</x:v>
      </x:c>
      <x:c r="N117" s="8" t="n">
        <x:f>M117*('Source Data'!H$8/'Source Data'!G$8)*EXP(F117*('Source Data'!H$7-'Source Data'!G$7))</x:f>
        <x:v>3145.98234069408</x:v>
      </x:c>
      <x:c r="O117" s="14" t="n">
        <x:f>I117/N117-1</x:f>
        <x:v>0.04927480275420715</x:v>
      </x:c>
      <x:c r="P117" s="2" t="str"/>
    </x:row>
    <x:row r="118">
      <x:c r="A118" s="2" t="str">
        <x:f>'Source Data'!A118</x:f>
        <x:v>311942</x:v>
      </x:c>
      <x:c r="B118" s="2" t="str">
        <x:f>'Source Data'!B118</x:f>
        <x:v>Spice and Extract Manufacturing</x:v>
      </x:c>
      <x:c r="C118" s="13" t="n">
        <x:f>LN('Source Data'!C118/'Source Data'!C$8)</x:f>
        <x:v>-8.686120067228833</x:v>
      </x:c>
      <x:c r="D118" s="13" t="n">
        <x:f>LN('Source Data'!D118/'Source Data'!D$8)</x:f>
        <x:v>-8.739923187142653</x:v>
      </x:c>
      <x:c r="E118" s="13" t="n">
        <x:f>LN('Source Data'!E118/'Source Data'!E$8)</x:f>
        <x:v>-8.675293222004447</x:v>
      </x:c>
      <x:c r="F118" s="13" t="n">
        <x:f>SLOPE(C118:E118,'Source Data'!C$7:E$7)</x:f>
        <x:v>0.005413422612193131</x:v>
      </x:c>
      <x:c r="G118" s="14" t="n">
        <x:f>EXP(F118)-1</x:f>
        <x:v>0.005428101660392537</x:v>
      </x:c>
      <x:c r="H118" s="8" t="n">
        <x:f>'Source Data'!F118</x:f>
        <x:v>2999</x:v>
      </x:c>
      <x:c r="I118" s="8" t="n">
        <x:f>'Source Data'!H118</x:f>
        <x:v>3196</x:v>
      </x:c>
      <x:c r="J118" s="14" t="n">
        <x:f>I118/H118-1</x:f>
        <x:v>0.0656885628542847</x:v>
      </x:c>
      <x:c r="K118" s="8" t="n">
        <x:f>H118*('Source Data'!H$8/'Source Data'!F$8)*EXP(F118*('Source Data'!H$7-'Source Data'!F$7))</x:f>
        <x:v>3119.0254439356236</x:v>
      </x:c>
      <x:c r="L118" s="14" t="n">
        <x:f>I118/K118-1</x:f>
        <x:v>0.0246790407606452</x:v>
      </x:c>
      <x:c r="M118" s="8" t="n">
        <x:f>'Source Data'!G118</x:f>
        <x:v>2993</x:v>
      </x:c>
      <x:c r="N118" s="8" t="n">
        <x:f>M118*('Source Data'!H$8/'Source Data'!G$8)*EXP(F118*('Source Data'!H$7-'Source Data'!G$7))</x:f>
        <x:v>3089.575921545581</x:v>
      </x:c>
      <x:c r="O118" s="14" t="n">
        <x:f>I118/N118-1</x:f>
        <x:v>0.034446176807715334</x:v>
      </x:c>
      <x:c r="P118" s="2" t="str"/>
    </x:row>
    <x:row r="119">
      <x:c r="A119" s="2" t="str">
        <x:f>'Source Data'!A119</x:f>
        <x:v>311991</x:v>
      </x:c>
      <x:c r="B119" s="2" t="str">
        <x:f>'Source Data'!B119</x:f>
        <x:v>Perishable Prepared Food Manufacturing</x:v>
      </x:c>
      <x:c r="C119" s="13" t="n">
        <x:f>LN('Source Data'!C119/'Source Data'!C$8)</x:f>
        <x:v>-7.101426550001692</x:v>
      </x:c>
      <x:c r="D119" s="13" t="n">
        <x:f>LN('Source Data'!D119/'Source Data'!D$8)</x:f>
        <x:v>-7.194454157551027</x:v>
      </x:c>
      <x:c r="E119" s="13" t="n">
        <x:f>LN('Source Data'!E119/'Source Data'!E$8)</x:f>
        <x:v>-7.171521963298832</x:v>
      </x:c>
      <x:c r="F119" s="13" t="n">
        <x:f>SLOPE(C119:E119,'Source Data'!C$7:E$7)</x:f>
        <x:v>-0.03504770664856993</x:v>
      </x:c>
      <x:c r="G119" s="14" t="n">
        <x:f>EXP(F119)-1</x:f>
        <x:v>-0.03444064844187922</x:v>
      </x:c>
      <x:c r="H119" s="8" t="n">
        <x:f>'Source Data'!F119</x:f>
        <x:v>13336</x:v>
      </x:c>
      <x:c r="I119" s="8" t="n">
        <x:f>'Source Data'!H119</x:f>
        <x:v>13218</x:v>
      </x:c>
      <x:c r="J119" s="14" t="n">
        <x:f>I119/H119-1</x:f>
        <x:v>-0.008848230353929232</x:v>
      </x:c>
      <x:c r="K119" s="8" t="n">
        <x:f>H119*('Source Data'!H$8/'Source Data'!F$8)*EXP(F119*('Source Data'!H$7-'Source Data'!F$7))</x:f>
        <x:v>11797.224877660114</x:v>
      </x:c>
      <x:c r="L119" s="14" t="n">
        <x:f>I119/K119-1</x:f>
        <x:v>0.12043299479950975</x:v>
      </x:c>
      <x:c r="M119" s="8" t="n">
        <x:f>'Source Data'!G119</x:f>
        <x:v>12521</x:v>
      </x:c>
      <x:c r="N119" s="8" t="n">
        <x:f>M119*('Source Data'!H$8/'Source Data'!G$8)*EXP(F119*('Source Data'!H$7-'Source Data'!G$7))</x:f>
        <x:v>11447.61552597882</x:v>
      </x:c>
      <x:c r="O119" s="14" t="n">
        <x:f>I119/N119-1</x:f>
        <x:v>0.15465093756892268</x:v>
      </x:c>
      <x:c r="P119" s="2" t="str"/>
    </x:row>
    <x:row r="120">
      <x:c r="A120" s="2" t="str">
        <x:f>'Source Data'!A120</x:f>
        <x:v>311999</x:v>
      </x:c>
      <x:c r="B120" s="2" t="str">
        <x:f>'Source Data'!B120</x:f>
        <x:v>All Other Miscellaneous Food Manufacturing</x:v>
      </x:c>
      <x:c r="C120" s="13" t="n">
        <x:f>LN('Source Data'!C120/'Source Data'!C$8)</x:f>
        <x:v>-8.307808481830241</x:v>
      </x:c>
      <x:c r="D120" s="13" t="n">
        <x:f>LN('Source Data'!D120/'Source Data'!D$8)</x:f>
        <x:v>-8.472640073603564</x:v>
      </x:c>
      <x:c r="E120" s="13" t="n">
        <x:f>LN('Source Data'!E120/'Source Data'!E$8)</x:f>
        <x:v>-8.286095086360154</x:v>
      </x:c>
      <x:c r="F120" s="13" t="n">
        <x:f>SLOPE(C120:E120,'Source Data'!C$7:E$7)</x:f>
        <x:v>0.010856697735043497</x:v>
      </x:c>
      <x:c r="G120" s="14" t="n">
        <x:f>EXP(F120)-1</x:f>
        <x:v>0.010915845534027246</x:v>
      </x:c>
      <x:c r="H120" s="8" t="n">
        <x:f>'Source Data'!F120</x:f>
        <x:v>3884</x:v>
      </x:c>
      <x:c r="I120" s="8" t="n">
        <x:f>'Source Data'!H120</x:f>
        <x:v>4585</x:v>
      </x:c>
      <x:c r="J120" s="14" t="n">
        <x:f>I120/H120-1</x:f>
        <x:v>0.18048403707518013</x:v>
      </x:c>
      <x:c r="K120" s="8" t="n">
        <x:f>H120*('Source Data'!H$8/'Source Data'!F$8)*EXP(F120*('Source Data'!H$7-'Source Data'!F$7))</x:f>
        <x:v>4128.3604656342395</x:v>
      </x:c>
      <x:c r="L120" s="14" t="n">
        <x:f>I120/K120-1</x:f>
        <x:v>0.11061038350865204</x:v>
      </x:c>
      <x:c r="M120" s="8" t="n">
        <x:f>'Source Data'!G120</x:f>
        <x:v>4200</x:v>
      </x:c>
      <x:c r="N120" s="8" t="n">
        <x:f>M120*('Source Data'!H$8/'Source Data'!G$8)*EXP(F120*('Source Data'!H$7-'Source Data'!G$7))</x:f>
        <x:v>4406.902056396038</x:v>
      </x:c>
      <x:c r="O120" s="14" t="n">
        <x:f>I120/N120-1</x:f>
        <x:v>0.040413410900629554</x:v>
      </x:c>
      <x:c r="P120" s="2" t="str"/>
    </x:row>
    <x:row r="121">
      <x:c r="A121" s="2" t="str">
        <x:f>'Source Data'!A121</x:f>
        <x:v>312111</x:v>
      </x:c>
      <x:c r="B121" s="2" t="str">
        <x:f>'Source Data'!B121</x:f>
        <x:v>Soft Drink Manufacturing</x:v>
      </x:c>
      <x:c r="C121" s="13" t="n">
        <x:f>LN('Source Data'!C121/'Source Data'!C$8)</x:f>
        <x:v>-7.137747014346652</x:v>
      </x:c>
      <x:c r="D121" s="13" t="n">
        <x:f>LN('Source Data'!D121/'Source Data'!D$8)</x:f>
        <x:v>-7.2287485284956166</x:v>
      </x:c>
      <x:c r="E121" s="13" t="n">
        <x:f>LN('Source Data'!E121/'Source Data'!E$8)</x:f>
        <x:v>-7.309374261392971</x:v>
      </x:c>
      <x:c r="F121" s="13" t="n">
        <x:f>SLOPE(C121:E121,'Source Data'!C$7:E$7)</x:f>
        <x:v>-0.08581362352315969</x:v>
      </x:c>
      <x:c r="G121" s="14" t="n">
        <x:f>EXP(F121)-1</x:f>
        <x:v>-0.08223473486201083</x:v>
      </x:c>
      <x:c r="H121" s="8" t="n">
        <x:f>'Source Data'!F121</x:f>
        <x:v>9183</x:v>
      </x:c>
      <x:c r="I121" s="8" t="n">
        <x:f>'Source Data'!H121</x:f>
        <x:v>8339</x:v>
      </x:c>
      <x:c r="J121" s="14" t="n">
        <x:f>I121/H121-1</x:f>
        <x:v>-0.09190896221278444</x:v>
      </x:c>
      <x:c r="K121" s="8" t="n">
        <x:f>H121*('Source Data'!H$8/'Source Data'!F$8)*EXP(F121*('Source Data'!H$7-'Source Data'!F$7))</x:f>
        <x:v>6630.548028215308</x:v>
      </x:c>
      <x:c r="L121" s="14" t="n">
        <x:f>I121/K121-1</x:f>
        <x:v>0.25766376542551694</x:v>
      </x:c>
      <x:c r="M121" s="8" t="n">
        <x:f>'Source Data'!G121</x:f>
        <x:v>9087</x:v>
      </x:c>
      <x:c r="N121" s="8" t="n">
        <x:f>M121*('Source Data'!H$8/'Source Data'!G$8)*EXP(F121*('Source Data'!H$7-'Source Data'!G$7))</x:f>
        <x:v>7134.351042619108</x:v>
      </x:c>
      <x:c r="O121" s="14" t="n">
        <x:f>I121/N121-1</x:f>
        <x:v>0.16885193203762672</x:v>
      </x:c>
      <x:c r="P121" s="2" t="str"/>
    </x:row>
    <x:row r="122">
      <x:c r="A122" s="2" t="str">
        <x:f>'Source Data'!A122</x:f>
        <x:v>312112</x:v>
      </x:c>
      <x:c r="B122" s="2" t="str">
        <x:f>'Source Data'!B122</x:f>
        <x:v>Bottled Water Manufacturing</x:v>
      </x:c>
      <x:c r="C122" s="13" t="n">
        <x:f>LN('Source Data'!C122/'Source Data'!C$8)</x:f>
        <x:v>-9.105559748359902</x:v>
      </x:c>
      <x:c r="D122" s="13" t="n">
        <x:f>LN('Source Data'!D122/'Source Data'!D$8)</x:f>
        <x:v>-9.078448812575708</x:v>
      </x:c>
      <x:c r="E122" s="13" t="n">
        <x:f>LN('Source Data'!E122/'Source Data'!E$8)</x:f>
        <x:v>-9.129135356494716</x:v>
      </x:c>
      <x:c r="F122" s="13" t="n">
        <x:f>SLOPE(C122:E122,'Source Data'!C$7:E$7)</x:f>
        <x:v>-0.011787804067407315</x:v>
      </x:c>
      <x:c r="G122" s="14" t="n">
        <x:f>EXP(F122)-1</x:f>
        <x:v>-0.011718600092908038</x:v>
      </x:c>
      <x:c r="H122" s="8" t="n">
        <x:f>'Source Data'!F122</x:f>
        <x:v>2247</x:v>
      </x:c>
      <x:c r="I122" s="8" t="n">
        <x:f>'Source Data'!H122</x:f>
        <x:v>3013</x:v>
      </x:c>
      <x:c r="J122" s="14" t="n">
        <x:f>I122/H122-1</x:f>
        <x:v>0.34089897641299505</x:v>
      </x:c>
      <x:c r="K122" s="8" t="n">
        <x:f>H122*('Source Data'!H$8/'Source Data'!F$8)*EXP(F122*('Source Data'!H$7-'Source Data'!F$7))</x:f>
        <x:v>2181.5437797651716</x:v>
      </x:c>
      <x:c r="L122" s="14" t="n">
        <x:f>I122/K122-1</x:f>
        <x:v>0.38113203500519655</x:v>
      </x:c>
      <x:c r="M122" s="8" t="n">
        <x:f>'Source Data'!G122</x:f>
        <x:v>3072</x:v>
      </x:c>
      <x:c r="N122" s="8" t="n">
        <x:f>M122*('Source Data'!H$8/'Source Data'!G$8)*EXP(F122*('Source Data'!H$7-'Source Data'!G$7))</x:f>
        <x:v>3011.6338706168226</x:v>
      </x:c>
      <x:c r="O122" s="14" t="n">
        <x:f>I122/N122-1</x:f>
        <x:v>0.00045361735252957835</x:v>
      </x:c>
      <x:c r="P122" s="2" t="str"/>
    </x:row>
    <x:row r="123">
      <x:c r="A123" s="2" t="str">
        <x:f>'Source Data'!A123</x:f>
        <x:v>312113</x:v>
      </x:c>
      <x:c r="B123" s="2" t="str">
        <x:f>'Source Data'!B123</x:f>
        <x:v>Ice Manufacturing</x:v>
      </x:c>
      <x:c r="C123" s="13" t="n">
        <x:f>LN('Source Data'!C123/'Source Data'!C$8)</x:f>
        <x:v>-10.14365861899262</x:v>
      </x:c>
      <x:c r="D123" s="13" t="n">
        <x:f>LN('Source Data'!D123/'Source Data'!D$8)</x:f>
        <x:v>-10.141721734798509</x:v>
      </x:c>
      <x:c r="E123" s="13" t="n">
        <x:f>LN('Source Data'!E123/'Source Data'!E$8)</x:f>
        <x:v>-10.135483668424845</x:v>
      </x:c>
      <x:c r="F123" s="13" t="n">
        <x:f>SLOPE(C123:E123,'Source Data'!C$7:E$7)</x:f>
        <x:v>0.004087475283887088</x:v>
      </x:c>
      <x:c r="G123" s="14" t="n">
        <x:f>EXP(F123)-1</x:f>
        <x:v>0.004095840404509943</x:v>
      </x:c>
      <x:c r="H123" s="8" t="n">
        <x:f>'Source Data'!F123</x:f>
        <x:v>589</x:v>
      </x:c>
      <x:c r="I123" s="8" t="n">
        <x:f>'Source Data'!H123</x:f>
        <x:v>563</x:v>
      </x:c>
      <x:c r="J123" s="14" t="n">
        <x:f>I123/H123-1</x:f>
        <x:v>-0.04414261460101865</x:v>
      </x:c>
      <x:c r="K123" s="8" t="n">
        <x:f>H123*('Source Data'!H$8/'Source Data'!F$8)*EXP(F123*('Source Data'!H$7-'Source Data'!F$7))</x:f>
        <x:v>609.3324964390232</x:v>
      </x:c>
      <x:c r="L123" s="14" t="n">
        <x:f>I123/K123-1</x:f>
        <x:v>-0.07603811828483331</x:v>
      </x:c>
      <x:c r="M123" s="8" t="n">
        <x:f>'Source Data'!G123</x:f>
        <x:v>617</x:v>
      </x:c>
      <x:c r="N123" s="8" t="n">
        <x:f>M123*('Source Data'!H$8/'Source Data'!G$8)*EXP(F123*('Source Data'!H$7-'Source Data'!G$7))</x:f>
        <x:v>634.3804113005575</x:v>
      </x:c>
      <x:c r="O123" s="14" t="n">
        <x:f>I123/N123-1</x:f>
        <x:v>-0.1125198855907592</x:v>
      </x:c>
      <x:c r="P123" s="2" t="str"/>
    </x:row>
    <x:row r="124">
      <x:c r="A124" s="2" t="str">
        <x:f>'Source Data'!A124</x:f>
        <x:v>312120</x:v>
      </x:c>
      <x:c r="B124" s="2" t="str">
        <x:f>'Source Data'!B124</x:f>
        <x:v>Breweries</x:v>
      </x:c>
      <x:c r="C124" s="13" t="n">
        <x:f>LN('Source Data'!C124/'Source Data'!C$8)</x:f>
        <x:v>-7.3810168913126395</x:v>
      </x:c>
      <x:c r="D124" s="13" t="n">
        <x:f>LN('Source Data'!D124/'Source Data'!D$8)</x:f>
        <x:v>-7.229314459467144</x:v>
      </x:c>
      <x:c r="E124" s="13" t="n">
        <x:f>LN('Source Data'!E124/'Source Data'!E$8)</x:f>
        <x:v>-7.130892446403648</x:v>
      </x:c>
      <x:c r="F124" s="13" t="n">
        <x:f>SLOPE(C124:E124,'Source Data'!C$7:E$7)</x:f>
        <x:v>0.12506222245449594</x:v>
      </x:c>
      <x:c r="G124" s="14" t="n">
        <x:f>EXP(F124)-1</x:f>
        <x:v>0.13321896253849785</x:v>
      </x:c>
      <x:c r="H124" s="8" t="n">
        <x:f>'Source Data'!F124</x:f>
        <x:v>13059</x:v>
      </x:c>
      <x:c r="I124" s="8" t="n">
        <x:f>'Source Data'!H124</x:f>
        <x:v>11873</x:v>
      </x:c>
      <x:c r="J124" s="14" t="n">
        <x:f>I124/H124-1</x:f>
        <x:v>-0.09081859254154223</x:v>
      </x:c>
      <x:c r="K124" s="8" t="n">
        <x:f>H124*('Source Data'!H$8/'Source Data'!F$8)*EXP(F124*('Source Data'!H$7-'Source Data'!F$7))</x:f>
        <x:v>21918.136530146483</x:v>
      </x:c>
      <x:c r="L124" s="14" t="n">
        <x:f>I124/K124-1</x:f>
        <x:v>-0.45830248918881744</x:v>
      </x:c>
      <x:c r="M124" s="8" t="n">
        <x:f>'Source Data'!G124</x:f>
        <x:v>13083</x:v>
      </x:c>
      <x:c r="N124" s="8" t="n">
        <x:f>M124*('Source Data'!H$8/'Source Data'!G$8)*EXP(F124*('Source Data'!H$7-'Source Data'!G$7))</x:f>
        <x:v>19336.94833913583</x:v>
      </x:c>
      <x:c r="O124" s="14" t="n">
        <x:f>I124/N124-1</x:f>
        <x:v>-0.38599411904253944</x:v>
      </x:c>
      <x:c r="P124" s="2" t="str"/>
    </x:row>
    <x:row r="125">
      <x:c r="A125" s="2" t="str">
        <x:f>'Source Data'!A125</x:f>
        <x:v>312130</x:v>
      </x:c>
      <x:c r="B125" s="2" t="str">
        <x:f>'Source Data'!B125</x:f>
        <x:v>Wineries</x:v>
      </x:c>
      <x:c r="C125" s="13" t="n">
        <x:f>LN('Source Data'!C125/'Source Data'!C$8)</x:f>
        <x:v>-6.0064443382049</x:v>
      </x:c>
      <x:c r="D125" s="13" t="n">
        <x:f>LN('Source Data'!D125/'Source Data'!D$8)</x:f>
        <x:v>-5.991037316400017</x:v>
      </x:c>
      <x:c r="E125" s="13" t="n">
        <x:f>LN('Source Data'!E125/'Source Data'!E$8)</x:f>
        <x:v>-5.980182203273434</x:v>
      </x:c>
      <x:c r="F125" s="13" t="n">
        <x:f>SLOPE(C125:E125,'Source Data'!C$7:E$7)</x:f>
        <x:v>0.013131067465733004</x:v>
      </x:c>
      <x:c r="G125" s="14" t="n">
        <x:f>EXP(F125)-1</x:f>
        <x:v>0.01321765852805723</x:v>
      </x:c>
      <x:c r="H125" s="8" t="n">
        <x:f>'Source Data'!F125</x:f>
        <x:v>38076</x:v>
      </x:c>
      <x:c r="I125" s="8" t="n">
        <x:f>'Source Data'!H125</x:f>
        <x:v>34140</x:v>
      </x:c>
      <x:c r="J125" s="14" t="n">
        <x:f>I125/H125-1</x:f>
        <x:v>-0.10337220296249605</x:v>
      </x:c>
      <x:c r="K125" s="8" t="n">
        <x:f>H125*('Source Data'!H$8/'Source Data'!F$8)*EXP(F125*('Source Data'!H$7-'Source Data'!F$7))</x:f>
        <x:v>40841.406719412196</x:v>
      </x:c>
      <x:c r="L125" s="14" t="n">
        <x:f>I125/K125-1</x:f>
        <x:v>-0.1640836410325448</x:v>
      </x:c>
      <x:c r="M125" s="8" t="n">
        <x:f>'Source Data'!G125</x:f>
        <x:v>39098</x:v>
      </x:c>
      <x:c r="N125" s="8" t="n">
        <x:f>M125*('Source Data'!H$8/'Source Data'!G$8)*EXP(F125*('Source Data'!H$7-'Source Data'!G$7))</x:f>
        <x:v>41304.92985327898</x:v>
      </x:c>
      <x:c r="O125" s="14" t="n">
        <x:f>I125/N125-1</x:f>
        <x:v>-0.17346427844641887</x:v>
      </x:c>
      <x:c r="P125" s="2" t="str"/>
    </x:row>
    <x:row r="126">
      <x:c r="A126" s="2" t="str">
        <x:f>'Source Data'!A126</x:f>
        <x:v>312140</x:v>
      </x:c>
      <x:c r="B126" s="2" t="str">
        <x:f>'Source Data'!B126</x:f>
        <x:v>Distilleries</x:v>
      </x:c>
      <x:c r="C126" s="13" t="n">
        <x:f>LN('Source Data'!C126/'Source Data'!C$8)</x:f>
        <x:v>-10.425427013654353</x:v>
      </x:c>
      <x:c r="D126" s="13" t="n">
        <x:f>LN('Source Data'!D126/'Source Data'!D$8)</x:f>
        <x:v>-10.1716799223393</x:v>
      </x:c>
      <x:c r="E126" s="13" t="n">
        <x:f>LN('Source Data'!E126/'Source Data'!E$8)</x:f>
        <x:v>-10.015819164668756</x:v>
      </x:c>
      <x:c r="F126" s="13" t="n">
        <x:f>SLOPE(C126:E126,'Source Data'!C$7:E$7)</x:f>
        <x:v>0.20480392449279883</x:v>
      </x:c>
      <x:c r="G126" s="14" t="n">
        <x:f>EXP(F126)-1</x:f>
        <x:v>0.2272844009583923</x:v>
      </x:c>
      <x:c r="H126" s="8" t="n">
        <x:f>'Source Data'!F126</x:f>
        <x:v>1100</x:v>
      </x:c>
      <x:c r="I126" s="8" t="n">
        <x:f>'Source Data'!H126</x:f>
        <x:v>1354</x:v>
      </x:c>
      <x:c r="J126" s="14" t="n">
        <x:f>I126/H126-1</x:f>
        <x:v>0.23090909090909095</x:v>
      </x:c>
      <x:c r="K126" s="8" t="n">
        <x:f>H126*('Source Data'!H$8/'Source Data'!F$8)*EXP(F126*('Source Data'!H$7-'Source Data'!F$7))</x:f>
        <x:v>2539.872499884046</x:v>
      </x:c>
      <x:c r="L126" s="14" t="n">
        <x:f>I126/K126-1</x:f>
        <x:v>-0.4669023740121543</x:v>
      </x:c>
      <x:c r="M126" s="8" t="n">
        <x:f>'Source Data'!G126</x:f>
        <x:v>1115</x:v>
      </x:c>
      <x:c r="N126" s="8" t="n">
        <x:f>M126*('Source Data'!H$8/'Source Data'!G$8)*EXP(F126*('Source Data'!H$7-'Source Data'!G$7))</x:f>
        <x:v>2093.3874030400593</x:v>
      </x:c>
      <x:c r="O126" s="14" t="n">
        <x:f>I126/N126-1</x:f>
        <x:v>-0.3532014198453215</x:v>
      </x:c>
      <x:c r="P126" s="2" t="str"/>
    </x:row>
    <x:row r="127">
      <x:c r="A127" s="2" t="str">
        <x:f>'Source Data'!A127</x:f>
        <x:v>312230</x:v>
      </x:c>
      <x:c r="B127" s="2" t="str">
        <x:f>'Source Data'!B127</x:f>
        <x:v>Tobacco Manufacturing</x:v>
      </x:c>
      <x:c r="C127" s="13" t="n">
        <x:f>LN('Source Data'!C127/'Source Data'!C$8)</x:f>
        <x:v>-11.79302924176209</x:v>
      </x:c>
      <x:c r="D127" s="13" t="n">
        <x:f>LN('Source Data'!D127/'Source Data'!D$8)</x:f>
        <x:v>-11.577848469666275</x:v>
      </x:c>
      <x:c r="E127" s="13" t="n">
        <x:f>LN('Source Data'!E127/'Source Data'!E$8)</x:f>
        <x:v>-11.871215306183238</x:v>
      </x:c>
      <x:c r="F127" s="13" t="n">
        <x:f>SLOPE(C127:E127,'Source Data'!C$7:E$7)</x:f>
        <x:v>-0.03909303221057403</x:v>
      </x:c>
      <x:c r="G127" s="14" t="n">
        <x:f>EXP(F127)-1</x:f>
        <x:v>-0.03833876048628293</x:v>
      </x:c>
      <x:c r="H127" s="8" t="n">
        <x:f>'Source Data'!F127</x:f>
        <x:v>176</x:v>
      </x:c>
      <x:c r="I127" s="8" t="n">
        <x:f>'Source Data'!H127</x:f>
        <x:v>150</x:v>
      </x:c>
      <x:c r="J127" s="14" t="n">
        <x:f>I127/H127-1</x:f>
        <x:v>-0.1477272727272727</x:v>
      </x:c>
      <x:c r="K127" s="8" t="n">
        <x:f>H127*('Source Data'!H$8/'Source Data'!F$8)*EXP(F127*('Source Data'!H$7-'Source Data'!F$7))</x:f>
        <x:v>153.1932002139223</x:v>
      </x:c>
      <x:c r="L127" s="14" t="n">
        <x:f>I127/K127-1</x:f>
        <x:v>-0.02084426860633004</x:v>
      </x:c>
      <x:c r="M127" s="8" t="n">
        <x:f>'Source Data'!G127</x:f>
        <x:v>311</x:v>
      </x:c>
      <x:c r="N127" s="8" t="n">
        <x:f>M127*('Source Data'!H$8/'Source Data'!G$8)*EXP(F127*('Source Data'!H$7-'Source Data'!G$7))</x:f>
        <x:v>280.90910805009975</x:v>
      </x:c>
      <x:c r="O127" s="14" t="n">
        <x:f>I127/N127-1</x:f>
        <x:v>-0.46601945005909984</x:v>
      </x:c>
      <x:c r="P127" s="2" t="str"/>
    </x:row>
    <x:row r="128">
      <x:c r="A128" s="2" t="str">
        <x:f>'Source Data'!A128</x:f>
        <x:v>313110</x:v>
      </x:c>
      <x:c r="B128" s="2" t="str">
        <x:f>'Source Data'!B128</x:f>
        <x:v>Fiber, Yarn, and Thread Mills</x:v>
      </x:c>
      <x:c r="C128" s="13" t="n">
        <x:f>LN('Source Data'!C128/'Source Data'!C$8)</x:f>
        <x:v>-10.459003309187956</x:v>
      </x:c>
      <x:c r="D128" s="13" t="n">
        <x:f>LN('Source Data'!D128/'Source Data'!D$8)</x:f>
        <x:v>-10.9143330867127</x:v>
      </x:c>
      <x:c r="E128" s="13" t="n">
        <x:f>LN('Source Data'!E128/'Source Data'!E$8)</x:f>
        <x:v>-11.178068125623293</x:v>
      </x:c>
      <x:c r="F128" s="13" t="n">
        <x:f>SLOPE(C128:E128,'Source Data'!C$7:E$7)</x:f>
        <x:v>-0.3595324082176683</x:v>
      </x:c>
      <x:c r="G128" s="14" t="n">
        <x:f>EXP(F128)-1</x:f>
        <x:v>-0.3019973699295817</x:v>
      </x:c>
      <x:c r="H128" s="8" t="n">
        <x:f>'Source Data'!F128</x:f>
        <x:v>234</x:v>
      </x:c>
      <x:c r="I128" s="8" t="n">
        <x:f>'Source Data'!H128</x:f>
        <x:v>180</x:v>
      </x:c>
      <x:c r="J128" s="14" t="n">
        <x:f>I128/H128-1</x:f>
        <x:v>-0.23076923076923073</x:v>
      </x:c>
      <x:c r="K128" s="8" t="n">
        <x:f>H128*('Source Data'!H$8/'Source Data'!F$8)*EXP(F128*('Source Data'!H$7-'Source Data'!F$7))</x:f>
        <x:v>56.530453197105935</x:v>
      </x:c>
      <x:c r="L128" s="14" t="n">
        <x:f>I128/K128-1</x:f>
        <x:v>2.184124481938791</x:v>
      </x:c>
      <x:c r="M128" s="8" t="n">
        <x:f>'Source Data'!G128</x:f>
        <x:v>227</x:v>
      </x:c>
      <x:c r="N128" s="8" t="n">
        <x:f>M128*('Source Data'!H$8/'Source Data'!G$8)*EXP(F128*('Source Data'!H$7-'Source Data'!G$7))</x:f>
        <x:v>78.40362279385731</x:v>
      </x:c>
      <x:c r="O128" s="14" t="n">
        <x:f>I128/N128-1</x:f>
        <x:v>1.2958122799154945</x:v>
      </x:c>
      <x:c r="P128" s="2" t="str"/>
    </x:row>
    <x:row r="129">
      <x:c r="A129" s="2" t="str">
        <x:f>'Source Data'!A129</x:f>
        <x:v>313210</x:v>
      </x:c>
      <x:c r="B129" s="2" t="str">
        <x:f>'Source Data'!B129</x:f>
        <x:v>Broadwoven Fabric Mills</x:v>
      </x:c>
      <x:c r="C129" s="13" t="n">
        <x:f>LN('Source Data'!C129/'Source Data'!C$8)</x:f>
        <x:v>-10.454137119536783</x:v>
      </x:c>
      <x:c r="D129" s="13" t="n">
        <x:f>LN('Source Data'!D129/'Source Data'!D$8)</x:f>
        <x:v>-10.393036163079413</x:v>
      </x:c>
      <x:c r="E129" s="13" t="n">
        <x:f>LN('Source Data'!E129/'Source Data'!E$8)</x:f>
        <x:v>-10.47297337164223</x:v>
      </x:c>
      <x:c r="F129" s="13" t="n">
        <x:f>SLOPE(C129:E129,'Source Data'!C$7:E$7)</x:f>
        <x:v>-0.009418126052723075</x:v>
      </x:c>
      <x:c r="G129" s="14" t="n">
        <x:f>EXP(F129)-1</x:f>
        <x:v>-0.009373914409359418</x:v>
      </x:c>
      <x:c r="H129" s="8" t="n">
        <x:f>'Source Data'!F129</x:f>
        <x:v>240</x:v>
      </x:c>
      <x:c r="I129" s="8" t="n">
        <x:f>'Source Data'!H129</x:f>
        <x:v>184</x:v>
      </x:c>
      <x:c r="J129" s="14" t="n">
        <x:f>I129/H129-1</x:f>
        <x:v>-0.23333333333333328</x:v>
      </x:c>
      <x:c r="K129" s="8" t="n">
        <x:f>H129*('Source Data'!H$8/'Source Data'!F$8)*EXP(F129*('Source Data'!H$7-'Source Data'!F$7))</x:f>
        <x:v>235.22780421326806</x:v>
      </x:c>
      <x:c r="L129" s="14" t="n">
        <x:f>I129/K129-1</x:f>
        <x:v>-0.21777954517155051</x:v>
      </x:c>
      <x:c r="M129" s="8" t="n">
        <x:f>'Source Data'!G129</x:f>
        <x:v>210</x:v>
      </x:c>
      <x:c r="N129" s="8" t="n">
        <x:f>M129*('Source Data'!H$8/'Source Data'!G$8)*EXP(F129*('Source Data'!H$7-'Source Data'!G$7))</x:f>
        <x:v>207.34218480078172</x:v>
      </x:c>
      <x:c r="O129" s="14" t="n">
        <x:f>I129/N129-1</x:f>
        <x:v>-0.11257807871181325</x:v>
      </x:c>
      <x:c r="P129" s="2" t="str"/>
    </x:row>
    <x:row r="130">
      <x:c r="A130" s="2" t="str">
        <x:f>'Source Data'!A130</x:f>
        <x:v>313220</x:v>
      </x:c>
      <x:c r="B130" s="2" t="str">
        <x:f>'Source Data'!B130</x:f>
        <x:v>Narrow Fabric Mills and Schiffli Machine Embroidery</x:v>
      </x:c>
      <x:c r="C130" s="13" t="n">
        <x:f>LN('Source Data'!C130/'Source Data'!C$8)</x:f>
        <x:v>-10.754848692278898</x:v>
      </x:c>
      <x:c r="D130" s="13" t="n">
        <x:f>LN('Source Data'!D130/'Source Data'!D$8)</x:f>
        <x:v>-10.933308988171706</x:v>
      </x:c>
      <x:c r="E130" s="13" t="n">
        <x:f>LN('Source Data'!E130/'Source Data'!E$8)</x:f>
        <x:v>-11.0688688336583</x:v>
      </x:c>
      <x:c r="F130" s="13" t="n">
        <x:f>SLOPE(C130:E130,'Source Data'!C$7:E$7)</x:f>
        <x:v>-0.15701007068970085</x:v>
      </x:c>
      <x:c r="G130" s="14" t="n">
        <x:f>EXP(F130)-1</x:f>
        <x:v>-0.14530454859833597</x:v>
      </x:c>
      <x:c r="H130" s="8" t="n">
        <x:f>'Source Data'!F130</x:f>
        <x:v>229</x:v>
      </x:c>
      <x:c r="I130" s="8" t="n">
        <x:f>'Source Data'!H130</x:f>
        <x:v>189</x:v>
      </x:c>
      <x:c r="J130" s="14" t="n">
        <x:f>I130/H130-1</x:f>
        <x:v>-0.1746724890829694</x:v>
      </x:c>
      <x:c r="K130" s="8" t="n">
        <x:f>H130*('Source Data'!H$8/'Source Data'!F$8)*EXP(F130*('Source Data'!H$7-'Source Data'!F$7))</x:f>
        <x:v>124.3710860320327</x:v>
      </x:c>
      <x:c r="L130" s="14" t="n">
        <x:f>I130/K130-1</x:f>
        <x:v>0.5196458118193295</x:v>
      </x:c>
      <x:c r="M130" s="8" t="n">
        <x:f>'Source Data'!G130</x:f>
        <x:v>229</x:v>
      </x:c>
      <x:c r="N130" s="8" t="n">
        <x:f>M130*('Source Data'!H$8/'Source Data'!G$8)*EXP(F130*('Source Data'!H$7-'Source Data'!G$7))</x:f>
        <x:v>145.214089680611</x:v>
      </x:c>
      <x:c r="O130" s="14" t="n">
        <x:f>I130/N130-1</x:f>
        <x:v>0.3015265971483432</x:v>
      </x:c>
      <x:c r="P130" s="2" t="str"/>
    </x:row>
    <x:row r="131">
      <x:c r="A131" s="2" t="str">
        <x:f>'Source Data'!A131</x:f>
        <x:v>313230</x:v>
      </x:c>
      <x:c r="B131" s="2" t="str">
        <x:f>'Source Data'!B131</x:f>
        <x:v>Nonwoven Fabric Mills</x:v>
      </x:c>
      <x:c r="C131" s="13" t="n">
        <x:f>LN('Source Data'!C131/'Source Data'!C$8)</x:f>
        <x:v>-11.43820786647268</x:v>
      </x:c>
      <x:c r="D131" s="13" t="n">
        <x:f>LN('Source Data'!D131/'Source Data'!D$8)</x:f>
        <x:v>-11.454404278575153</x:v>
      </x:c>
      <x:c r="E131" s="13" t="n">
        <x:f>LN('Source Data'!E131/'Source Data'!E$8)</x:f>
        <x:v>-11.61033142688618</x:v>
      </x:c>
      <x:c r="F131" s="13" t="n">
        <x:f>SLOPE(C131:E131,'Source Data'!C$7:E$7)</x:f>
        <x:v>-0.08606178020674982</x:v>
      </x:c>
      <x:c r="G131" s="14" t="n">
        <x:f>EXP(F131)-1</x:f>
        <x:v>-0.0824624561900682</x:v>
      </x:c>
      <x:c r="H131" s="8" t="n">
        <x:f>'Source Data'!F131</x:f>
        <x:v>94</x:v>
      </x:c>
      <x:c r="I131" s="8" t="n">
        <x:f>'Source Data'!H131</x:f>
        <x:v>59</x:v>
      </x:c>
      <x:c r="J131" s="14" t="n">
        <x:f>I131/H131-1</x:f>
        <x:v>-0.37234042553191493</x:v>
      </x:c>
      <x:c r="K131" s="8" t="n">
        <x:f>H131*('Source Data'!H$8/'Source Data'!F$8)*EXP(F131*('Source Data'!H$7-'Source Data'!F$7))</x:f>
        <x:v>67.80498155718287</x:v>
      </x:c>
      <x:c r="L131" s="14" t="n">
        <x:f>I131/K131-1</x:f>
        <x:v>-0.12985744343514416</x:v>
      </x:c>
      <x:c r="M131" s="8" t="n">
        <x:f>'Source Data'!G131</x:f>
        <x:v>103</x:v>
      </x:c>
      <x:c r="N131" s="8" t="n">
        <x:f>M131*('Source Data'!H$8/'Source Data'!G$8)*EXP(F131*('Source Data'!H$7-'Source Data'!G$7))</x:f>
        <x:v>80.80678947679739</x:v>
      </x:c>
      <x:c r="O131" s="14" t="n">
        <x:f>I131/N131-1</x:f>
        <x:v>-0.26986333225203707</x:v>
      </x:c>
      <x:c r="P131" s="2" t="str"/>
    </x:row>
    <x:row r="132">
      <x:c r="A132" s="2" t="str">
        <x:f>'Source Data'!A132</x:f>
        <x:v>313240</x:v>
      </x:c>
      <x:c r="B132" s="2" t="str">
        <x:f>'Source Data'!B132</x:f>
        <x:v>Knit Fabric Mills</x:v>
      </x:c>
      <x:c r="C132" s="13" t="n">
        <x:f>LN('Source Data'!C132/'Source Data'!C$8)</x:f>
        <x:v>-9.873930350157435</x:v>
      </x:c>
      <x:c r="D132" s="13" t="n">
        <x:f>LN('Source Data'!D132/'Source Data'!D$8)</x:f>
        <x:v>-10.039491112149609</x:v>
      </x:c>
      <x:c r="E132" s="13" t="n">
        <x:f>LN('Source Data'!E132/'Source Data'!E$8)</x:f>
        <x:v>-10.12704479977898</x:v>
      </x:c>
      <x:c r="F132" s="13" t="n">
        <x:f>SLOPE(C132:E132,'Source Data'!C$7:E$7)</x:f>
        <x:v>-0.1265572248107727</x:v>
      </x:c>
      <x:c r="G132" s="14" t="n">
        <x:f>EXP(F132)-1</x:f>
        <x:v>-0.11887627403769618</x:v>
      </x:c>
      <x:c r="H132" s="8" t="n">
        <x:f>'Source Data'!F132</x:f>
        <x:v>413</x:v>
      </x:c>
      <x:c r="I132" s="8" t="n">
        <x:f>'Source Data'!H132</x:f>
        <x:v>237</x:v>
      </x:c>
      <x:c r="J132" s="14" t="n">
        <x:f>I132/H132-1</x:f>
        <x:v>-0.4261501210653753</x:v>
      </x:c>
      <x:c r="K132" s="8" t="n">
        <x:f>H132*('Source Data'!H$8/'Source Data'!F$8)*EXP(F132*('Source Data'!H$7-'Source Data'!F$7))</x:f>
        <x:v>253.35880834596603</x:v>
      </x:c>
      <x:c r="L132" s="14" t="n">
        <x:f>I132/K132-1</x:f>
        <x:v>-0.06456775058567443</x:v>
      </x:c>
      <x:c r="M132" s="8" t="n">
        <x:f>'Source Data'!G132</x:f>
        <x:v>348</x:v>
      </x:c>
      <x:c r="N132" s="8" t="n">
        <x:f>M132*('Source Data'!H$8/'Source Data'!G$8)*EXP(F132*('Source Data'!H$7-'Source Data'!G$7))</x:f>
        <x:v>241.78481778867584</x:v>
      </x:c>
      <x:c r="O132" s="14" t="n">
        <x:f>I132/N132-1</x:f>
        <x:v>-0.01978957087726596</x:v>
      </x:c>
      <x:c r="P132" s="2" t="str"/>
    </x:row>
    <x:row r="133">
      <x:c r="A133" s="2" t="str">
        <x:f>'Source Data'!A133</x:f>
        <x:v>313310</x:v>
      </x:c>
      <x:c r="B133" s="2" t="str">
        <x:f>'Source Data'!B133</x:f>
        <x:v>Textile and Fabric Finishing Mills</x:v>
      </x:c>
      <x:c r="C133" s="13" t="n">
        <x:f>LN('Source Data'!C133/'Source Data'!C$8)</x:f>
        <x:v>-8.13232066461485</x:v>
      </x:c>
      <x:c r="D133" s="13" t="n">
        <x:f>LN('Source Data'!D133/'Source Data'!D$8)</x:f>
        <x:v>-8.194076979930987</x:v>
      </x:c>
      <x:c r="E133" s="13" t="n">
        <x:f>LN('Source Data'!E133/'Source Data'!E$8)</x:f>
        <x:v>-8.312302178529327</x:v>
      </x:c>
      <x:c r="F133" s="13" t="n">
        <x:f>SLOPE(C133:E133,'Source Data'!C$7:E$7)</x:f>
        <x:v>-0.08999075695723846</x:v>
      </x:c>
      <x:c r="G133" s="14" t="n">
        <x:f>EXP(F133)-1</x:f>
        <x:v>-0.08606036718470478</x:v>
      </x:c>
      <x:c r="H133" s="8" t="n">
        <x:f>'Source Data'!F133</x:f>
        <x:v>3430</x:v>
      </x:c>
      <x:c r="I133" s="8" t="n">
        <x:f>'Source Data'!H133</x:f>
        <x:v>2416</x:v>
      </x:c>
      <x:c r="J133" s="14" t="n">
        <x:f>I133/H133-1</x:f>
        <x:v>-0.2956268221574344</x:v>
      </x:c>
      <x:c r="K133" s="8" t="n">
        <x:f>H133*('Source Data'!H$8/'Source Data'!F$8)*EXP(F133*('Source Data'!H$7-'Source Data'!F$7))</x:f>
        <x:v>2435.5807727080637</x:v>
      </x:c>
      <x:c r="L133" s="14" t="n">
        <x:f>I133/K133-1</x:f>
        <x:v>-0.008039467599463945</x:v>
      </x:c>
      <x:c r="M133" s="8" t="n">
        <x:f>'Source Data'!G133</x:f>
        <x:v>3207</x:v>
      </x:c>
      <x:c r="N133" s="8" t="n">
        <x:f>M133*('Source Data'!H$8/'Source Data'!G$8)*EXP(F133*('Source Data'!H$7-'Source Data'!G$7))</x:f>
        <x:v>2486.5121670519457</x:v>
      </x:c>
      <x:c r="O133" s="14" t="n">
        <x:f>I133/N133-1</x:f>
        <x:v>-0.028357861258948125</x:v>
      </x:c>
      <x:c r="P133" s="2" t="str"/>
    </x:row>
    <x:row r="134">
      <x:c r="A134" s="2" t="str">
        <x:f>'Source Data'!A134</x:f>
        <x:v>313320</x:v>
      </x:c>
      <x:c r="B134" s="2" t="str">
        <x:f>'Source Data'!B134</x:f>
        <x:v>Fabric Coating Mills</x:v>
      </x:c>
      <x:c r="C134" s="13" t="n">
        <x:f>LN('Source Data'!C134/'Source Data'!C$8)</x:f>
        <x:v>-10.266570442789682</x:v>
      </x:c>
      <x:c r="D134" s="13" t="n">
        <x:f>LN('Source Data'!D134/'Source Data'!D$8)</x:f>
        <x:v>-10.191554108546384</x:v>
      </x:c>
      <x:c r="E134" s="13" t="n">
        <x:f>LN('Source Data'!E134/'Source Data'!E$8)</x:f>
        <x:v>-10.08266611258543</x:v>
      </x:c>
      <x:c r="F134" s="13" t="n">
        <x:f>SLOPE(C134:E134,'Source Data'!C$7:E$7)</x:f>
        <x:v>0.09195216510212578</x:v>
      </x:c>
      <x:c r="G134" s="14" t="n">
        <x:f>EXP(F134)-1</x:f>
        <x:v>0.09631237883583843</x:v>
      </x:c>
      <x:c r="H134" s="8" t="n">
        <x:f>'Source Data'!F134</x:f>
        <x:v>514</x:v>
      </x:c>
      <x:c r="I134" s="8" t="n">
        <x:f>'Source Data'!H134</x:f>
        <x:v>482</x:v>
      </x:c>
      <x:c r="J134" s="14" t="n">
        <x:f>I134/H134-1</x:f>
        <x:v>-0.0622568093385214</x:v>
      </x:c>
      <x:c r="K134" s="8" t="n">
        <x:f>H134*('Source Data'!H$8/'Source Data'!F$8)*EXP(F134*('Source Data'!H$7-'Source Data'!F$7))</x:f>
        <x:v>755.6814545454746</x:v>
      </x:c>
      <x:c r="L134" s="14" t="n">
        <x:f>I134/K134-1</x:f>
        <x:v>-0.3621651066057825</x:v>
      </x:c>
      <x:c r="M134" s="8" t="n">
        <x:f>'Source Data'!G134</x:f>
        <x:v>544</x:v>
      </x:c>
      <x:c r="N134" s="8" t="n">
        <x:f>M134*('Source Data'!H$8/'Source Data'!G$8)*EXP(F134*('Source Data'!H$7-'Source Data'!G$7))</x:f>
        <x:v>728.0160427715591</x:v>
      </x:c>
      <x:c r="O134" s="14" t="n">
        <x:f>I134/N134-1</x:f>
        <x:v>-0.3379266778723383</x:v>
      </x:c>
      <x:c r="P134" s="2" t="str"/>
    </x:row>
    <x:row r="135">
      <x:c r="A135" s="2" t="str">
        <x:f>'Source Data'!A135</x:f>
        <x:v>314110</x:v>
      </x:c>
      <x:c r="B135" s="2" t="str">
        <x:f>'Source Data'!B135</x:f>
        <x:v>Carpet and Rug Mills</x:v>
      </x:c>
      <x:c r="C135" s="13" t="n">
        <x:f>LN('Source Data'!C135/'Source Data'!C$8)</x:f>
        <x:v>-9.483064041470422</x:v>
      </x:c>
      <x:c r="D135" s="13" t="n">
        <x:f>LN('Source Data'!D135/'Source Data'!D$8)</x:f>
        <x:v>-9.621564783603633</x:v>
      </x:c>
      <x:c r="E135" s="13" t="n">
        <x:f>LN('Source Data'!E135/'Source Data'!E$8)</x:f>
        <x:v>-9.488291691284834</x:v>
      </x:c>
      <x:c r="F135" s="13" t="n">
        <x:f>SLOPE(C135:E135,'Source Data'!C$7:E$7)</x:f>
        <x:v>-0.002613824907205853</x:v>
      </x:c>
      <x:c r="G135" s="14" t="n">
        <x:f>EXP(F135)-1</x:f>
        <x:v>-0.00261041184124966</x:v>
      </x:c>
      <x:c r="H135" s="8" t="n">
        <x:f>'Source Data'!F135</x:f>
        <x:v>1461</x:v>
      </x:c>
      <x:c r="I135" s="8" t="n">
        <x:f>'Source Data'!H135</x:f>
        <x:v>861</x:v>
      </x:c>
      <x:c r="J135" s="14" t="n">
        <x:f>I135/H135-1</x:f>
        <x:v>-0.4106776180698152</x:v>
      </x:c>
      <x:c r="K135" s="8" t="n">
        <x:f>H135*('Source Data'!H$8/'Source Data'!F$8)*EXP(F135*('Source Data'!H$7-'Source Data'!F$7))</x:f>
        <x:v>1471.4581357544162</x:v>
      </x:c>
      <x:c r="L135" s="14" t="n">
        <x:f>I135/K135-1</x:f>
        <x:v>-0.4148661255941437</x:v>
      </x:c>
      <x:c r="M135" s="8" t="n">
        <x:f>'Source Data'!G135</x:f>
        <x:v>1318</x:v>
      </x:c>
      <x:c r="N135" s="8" t="n">
        <x:f>M135*('Source Data'!H$8/'Source Data'!G$8)*EXP(F135*('Source Data'!H$7-'Source Data'!G$7))</x:f>
        <x:v>1328.1557209407247</x:v>
      </x:c>
      <x:c r="O135" s="14" t="n">
        <x:f>I135/N135-1</x:f>
        <x:v>-0.3517326421707848</x:v>
      </x:c>
      <x:c r="P135" s="2" t="str"/>
    </x:row>
    <x:row r="136">
      <x:c r="A136" s="2" t="str">
        <x:f>'Source Data'!A136</x:f>
        <x:v>314120</x:v>
      </x:c>
      <x:c r="B136" s="2" t="str">
        <x:f>'Source Data'!B136</x:f>
        <x:v>Curtain and Linen Mills</x:v>
      </x:c>
      <x:c r="C136" s="13" t="n">
        <x:f>LN('Source Data'!C136/'Source Data'!C$8)</x:f>
        <x:v>-8.696530321560502</x:v>
      </x:c>
      <x:c r="D136" s="13" t="n">
        <x:f>LN('Source Data'!D136/'Source Data'!D$8)</x:f>
        <x:v>-8.757599870731218</x:v>
      </x:c>
      <x:c r="E136" s="13" t="n">
        <x:f>LN('Source Data'!E136/'Source Data'!E$8)</x:f>
        <x:v>-8.783675483376124</x:v>
      </x:c>
      <x:c r="F136" s="13" t="n">
        <x:f>SLOPE(C136:E136,'Source Data'!C$7:E$7)</x:f>
        <x:v>-0.04357258090781091</x:v>
      </x:c>
      <x:c r="G136" s="14" t="n">
        <x:f>EXP(F136)-1</x:f>
        <x:v>-0.04263693471116603</x:v>
      </x:c>
      <x:c r="H136" s="8" t="n">
        <x:f>'Source Data'!F136</x:f>
        <x:v>2078</x:v>
      </x:c>
      <x:c r="I136" s="8" t="n">
        <x:f>'Source Data'!H136</x:f>
        <x:v>1112</x:v>
      </x:c>
      <x:c r="J136" s="14" t="n">
        <x:f>I136/H136-1</x:f>
        <x:v>-0.4648700673724735</x:v>
      </x:c>
      <x:c r="K136" s="8" t="n">
        <x:f>H136*('Source Data'!H$8/'Source Data'!F$8)*EXP(F136*('Source Data'!H$7-'Source Data'!F$7))</x:f>
        <x:v>1776.603817546729</x:v>
      </x:c>
      <x:c r="L136" s="14" t="n">
        <x:f>I136/K136-1</x:f>
        <x:v>-0.3740866764906905</x:v>
      </x:c>
      <x:c r="M136" s="8" t="n">
        <x:f>'Source Data'!G136</x:f>
        <x:v>1636</x:v>
      </x:c>
      <x:c r="N136" s="8" t="n">
        <x:f>M136*('Source Data'!H$8/'Source Data'!G$8)*EXP(F136*('Source Data'!H$7-'Source Data'!G$7))</x:f>
        <x:v>1457.9828021696067</x:v>
      </x:c>
      <x:c r="O136" s="14" t="n">
        <x:f>I136/N136-1</x:f>
        <x:v>-0.23730238906436607</x:v>
      </x:c>
      <x:c r="P136" s="2" t="str"/>
    </x:row>
    <x:row r="137">
      <x:c r="A137" s="2" t="str">
        <x:f>'Source Data'!A137</x:f>
        <x:v>314910</x:v>
      </x:c>
      <x:c r="B137" s="2" t="str">
        <x:f>'Source Data'!B137</x:f>
        <x:v>Textile Bag and Canvas Mills</x:v>
      </x:c>
      <x:c r="C137" s="13" t="n">
        <x:f>LN('Source Data'!C137/'Source Data'!C$8)</x:f>
        <x:v>-8.78853913394169</x:v>
      </x:c>
      <x:c r="D137" s="13" t="n">
        <x:f>LN('Source Data'!D137/'Source Data'!D$8)</x:f>
        <x:v>-8.84480898169021</x:v>
      </x:c>
      <x:c r="E137" s="13" t="n">
        <x:f>LN('Source Data'!E137/'Source Data'!E$8)</x:f>
        <x:v>-8.832202524270784</x:v>
      </x:c>
      <x:c r="F137" s="13" t="n">
        <x:f>SLOPE(C137:E137,'Source Data'!C$7:E$7)</x:f>
        <x:v>-0.02183169516454697</x:v>
      </x:c>
      <x:c r="G137" s="14" t="n">
        <x:f>EXP(F137)-1</x:f>
        <x:v>-0.02159510853114921</x:v>
      </x:c>
      <x:c r="H137" s="8" t="n">
        <x:f>'Source Data'!F137</x:f>
        <x:v>1989</x:v>
      </x:c>
      <x:c r="I137" s="8" t="n">
        <x:f>'Source Data'!H137</x:f>
        <x:v>1619</x:v>
      </x:c>
      <x:c r="J137" s="14" t="n">
        <x:f>I137/H137-1</x:f>
        <x:v>-0.1860231271995978</x:v>
      </x:c>
      <x:c r="K137" s="8" t="n">
        <x:f>H137*('Source Data'!H$8/'Source Data'!F$8)*EXP(F137*('Source Data'!H$7-'Source Data'!F$7))</x:f>
        <x:v>1855.0158199771863</x:v>
      </x:c>
      <x:c r="L137" s="14" t="n">
        <x:f>I137/K137-1</x:f>
        <x:v>-0.12723116290193626</x:v>
      </x:c>
      <x:c r="M137" s="8" t="n">
        <x:f>'Source Data'!G137</x:f>
        <x:v>1983</x:v>
      </x:c>
      <x:c r="N137" s="8" t="n">
        <x:f>M137*('Source Data'!H$8/'Source Data'!G$8)*EXP(F137*('Source Data'!H$7-'Source Data'!G$7))</x:f>
        <x:v>1886.329932498893</x:v>
      </x:c>
      <x:c r="O137" s="14" t="n">
        <x:f>I137/N137-1</x:f>
        <x:v>-0.1417196047696443</x:v>
      </x:c>
      <x:c r="P137" s="2" t="str"/>
    </x:row>
    <x:row r="138">
      <x:c r="A138" s="2" t="str">
        <x:f>'Source Data'!A138</x:f>
        <x:v>314994</x:v>
      </x:c>
      <x:c r="B138" s="2" t="str">
        <x:f>'Source Data'!B138</x:f>
        <x:v>Rope, Cordage, Twine, Tire Cord, and Tire Fabric Mills</x:v>
      </x:c>
      <x:c r="C138" s="13" t="n">
        <x:f>LN('Source Data'!C138/'Source Data'!C$8)</x:f>
        <x:v>-12.184701027737919</x:v>
      </x:c>
      <x:c r="D138" s="13" t="n">
        <x:f>LN('Source Data'!D138/'Source Data'!D$8)</x:f>
        <x:v>-12.207369954346008</x:v>
      </x:c>
      <x:c r="E138" s="13" t="n">
        <x:f>LN('Source Data'!E138/'Source Data'!E$8)</x:f>
        <x:v>-12.13357957065073</x:v>
      </x:c>
      <x:c r="F138" s="13" t="n">
        <x:f>SLOPE(C138:E138,'Source Data'!C$7:E$7)</x:f>
        <x:v>0.025560728543594813</x:v>
      </x:c>
      <x:c r="G138" s="14" t="n">
        <x:f>EXP(F138)-1</x:f>
        <x:v>0.02589020519681373</x:v>
      </x:c>
      <x:c r="H138" s="8" t="n">
        <x:f>'Source Data'!F138</x:f>
        <x:v>78</x:v>
      </x:c>
      <x:c r="I138" s="8" t="n">
        <x:f>'Source Data'!H138</x:f>
        <x:v>86</x:v>
      </x:c>
      <x:c r="J138" s="14" t="n">
        <x:f>I138/H138-1</x:f>
        <x:v>0.10256410256410264</x:v>
      </x:c>
      <x:c r="K138" s="8" t="n">
        <x:f>H138*('Source Data'!H$8/'Source Data'!F$8)*EXP(F138*('Source Data'!H$7-'Source Data'!F$7))</x:f>
        <x:v>87.92988591723298</x:v>
      </x:c>
      <x:c r="L138" s="14" t="n">
        <x:f>I138/K138-1</x:f>
        <x:v>-0.021948008883459158</x:v>
      </x:c>
      <x:c r="M138" s="8" t="n">
        <x:f>'Source Data'!G138</x:f>
        <x:v>78</x:v>
      </x:c>
      <x:c r="N138" s="8" t="n">
        <x:f>M138*('Source Data'!H$8/'Source Data'!G$8)*EXP(F138*('Source Data'!H$7-'Source Data'!G$7))</x:f>
        <x:v>85.53352076894426</x:v>
      </x:c>
      <x:c r="O138" s="14" t="n">
        <x:f>I138/N138-1</x:f>
        <x:v>0.005453759261422997</x:v>
      </x:c>
      <x:c r="P138" s="2" t="str"/>
    </x:row>
    <x:row r="139">
      <x:c r="A139" s="2" t="str">
        <x:f>'Source Data'!A139</x:f>
        <x:v>314999</x:v>
      </x:c>
      <x:c r="B139" s="2" t="str">
        <x:f>'Source Data'!B139</x:f>
        <x:v>All Other Miscellaneous Textile Product Mills</x:v>
      </x:c>
      <x:c r="C139" s="13" t="n">
        <x:f>LN('Source Data'!C139/'Source Data'!C$8)</x:f>
        <x:v>-8.488995608553584</x:v>
      </x:c>
      <x:c r="D139" s="13" t="n">
        <x:f>LN('Source Data'!D139/'Source Data'!D$8)</x:f>
        <x:v>-8.458672005021162</x:v>
      </x:c>
      <x:c r="E139" s="13" t="n">
        <x:f>LN('Source Data'!E139/'Source Data'!E$8)</x:f>
        <x:v>-8.47483721095703</x:v>
      </x:c>
      <x:c r="F139" s="13" t="n">
        <x:f>SLOPE(C139:E139,'Source Data'!C$7:E$7)</x:f>
        <x:v>0.007079198798276565</x:v>
      </x:c>
      <x:c r="G139" s="14" t="n">
        <x:f>EXP(F139)-1</x:f>
        <x:v>0.007104315559957941</x:v>
      </x:c>
      <x:c r="H139" s="8" t="n">
        <x:f>'Source Data'!F139</x:f>
        <x:v>3027</x:v>
      </x:c>
      <x:c r="I139" s="8" t="n">
        <x:f>'Source Data'!H139</x:f>
        <x:v>2404</x:v>
      </x:c>
      <x:c r="J139" s="14" t="n">
        <x:f>I139/H139-1</x:f>
        <x:v>-0.2058143376280145</x:v>
      </x:c>
      <x:c r="K139" s="8" t="n">
        <x:f>H139*('Source Data'!H$8/'Source Data'!F$8)*EXP(F139*('Source Data'!H$7-'Source Data'!F$7))</x:f>
        <x:v>3169.1925214026423</x:v>
      </x:c>
      <x:c r="L139" s="14" t="n">
        <x:f>I139/K139-1</x:f>
        <x:v>-0.24144715609261203</x:v>
      </x:c>
      <x:c r="M139" s="8" t="n">
        <x:f>'Source Data'!G139</x:f>
        <x:v>3047</x:v>
      </x:c>
      <x:c r="N139" s="8" t="n">
        <x:f>M139*('Source Data'!H$8/'Source Data'!G$8)*EXP(F139*('Source Data'!H$7-'Source Data'!G$7))</x:f>
        <x:v>3161.075883025238</x:v>
      </x:c>
      <x:c r="O139" s="14" t="n">
        <x:f>I139/N139-1</x:f>
        <x:v>-0.23949943343362423</x:v>
      </x:c>
      <x:c r="P139" s="2" t="str"/>
    </x:row>
    <x:row r="140">
      <x:c r="A140" s="2" t="str">
        <x:f>'Source Data'!A140</x:f>
        <x:v>315120</x:v>
      </x:c>
      <x:c r="B140" s="2" t="str">
        <x:f>'Source Data'!B140</x:f>
        <x:v>Apparel Knitting Mills</x:v>
      </x:c>
      <x:c r="C140" s="13" t="n">
        <x:f>LN('Source Data'!C140/'Source Data'!C$8)</x:f>
        <x:v>-9.3434619584194</x:v>
      </x:c>
      <x:c r="D140" s="13" t="n">
        <x:f>LN('Source Data'!D140/'Source Data'!D$8)</x:f>
        <x:v>-9.588076113849588</x:v>
      </x:c>
      <x:c r="E140" s="13" t="n">
        <x:f>LN('Source Data'!E140/'Source Data'!E$8)</x:f>
        <x:v>-9.654942533876325</x:v>
      </x:c>
      <x:c r="F140" s="13" t="n">
        <x:f>SLOPE(C140:E140,'Source Data'!C$7:E$7)</x:f>
        <x:v>-0.15574028772846216</x:v>
      </x:c>
      <x:c r="G140" s="14" t="n">
        <x:f>EXP(F140)-1</x:f>
        <x:v>-0.1442185815517849</x:v>
      </x:c>
      <x:c r="H140" s="8" t="n">
        <x:f>'Source Data'!F140</x:f>
        <x:v>741</x:v>
      </x:c>
      <x:c r="I140" s="8" t="n">
        <x:f>'Source Data'!H140</x:f>
        <x:v>789</x:v>
      </x:c>
      <x:c r="J140" s="14" t="n">
        <x:f>I140/H140-1</x:f>
        <x:v>0.06477732793522262</x:v>
      </x:c>
      <x:c r="K140" s="8" t="n">
        <x:f>H140*('Source Data'!H$8/'Source Data'!F$8)*EXP(F140*('Source Data'!H$7-'Source Data'!F$7))</x:f>
        <x:v>404.4901881554918</x:v>
      </x:c>
      <x:c r="L140" s="14" t="n">
        <x:f>I140/K140-1</x:f>
        <x:v>0.9506035575248544</x:v>
      </x:c>
      <x:c r="M140" s="8" t="n">
        <x:f>'Source Data'!G140</x:f>
        <x:v>594</x:v>
      </x:c>
      <x:c r="N140" s="8" t="n">
        <x:f>M140*('Source Data'!H$8/'Source Data'!G$8)*EXP(F140*('Source Data'!H$7-'Source Data'!G$7))</x:f>
        <x:v>378.10646096979366</x:v>
      </x:c>
      <x:c r="O140" s="14" t="n">
        <x:f>I140/N140-1</x:f>
        <x:v>1.0867138794093023</x:v>
      </x:c>
      <x:c r="P140" s="2" t="str"/>
    </x:row>
    <x:row r="141">
      <x:c r="A141" s="2" t="str">
        <x:f>'Source Data'!A141</x:f>
        <x:v>315210</x:v>
      </x:c>
      <x:c r="B141" s="2" t="str">
        <x:f>'Source Data'!B141</x:f>
        <x:v>Cut and Sew Apparel Contractors</x:v>
      </x:c>
      <x:c r="C141" s="13" t="n">
        <x:f>LN('Source Data'!C141/'Source Data'!C$8)</x:f>
        <x:v>-6.591008652656925</x:v>
      </x:c>
      <x:c r="D141" s="13" t="n">
        <x:f>LN('Source Data'!D141/'Source Data'!D$8)</x:f>
        <x:v>-6.718828548081275</x:v>
      </x:c>
      <x:c r="E141" s="13" t="n">
        <x:f>LN('Source Data'!E141/'Source Data'!E$8)</x:f>
        <x:v>-6.886292375215471</x:v>
      </x:c>
      <x:c r="F141" s="13" t="n">
        <x:f>SLOPE(C141:E141,'Source Data'!C$7:E$7)</x:f>
        <x:v>-0.14764186127927292</x:v>
      </x:c>
      <x:c r="G141" s="14" t="n">
        <x:f>EXP(F141)-1</x:f>
        <x:v>-0.1372599597659816</x:v>
      </x:c>
      <x:c r="H141" s="8" t="n">
        <x:f>'Source Data'!F141</x:f>
        <x:v>11226</x:v>
      </x:c>
      <x:c r="I141" s="8" t="n">
        <x:f>'Source Data'!H141</x:f>
        <x:v>6440</x:v>
      </x:c>
      <x:c r="J141" s="14" t="n">
        <x:f>I141/H141-1</x:f>
        <x:v>-0.42633172991270263</x:v>
      </x:c>
      <x:c r="K141" s="8" t="n">
        <x:f>H141*('Source Data'!H$8/'Source Data'!F$8)*EXP(F141*('Source Data'!H$7-'Source Data'!F$7))</x:f>
        <x:v>6329.701486427899</x:v>
      </x:c>
      <x:c r="L141" s="14" t="n">
        <x:f>I141/K141-1</x:f>
        <x:v>0.017425547446210832</x:v>
      </x:c>
      <x:c r="M141" s="8" t="n">
        <x:f>'Source Data'!G141</x:f>
        <x:v>9736</x:v>
      </x:c>
      <x:c r="N141" s="8" t="n">
        <x:f>M141*('Source Data'!H$8/'Source Data'!G$8)*EXP(F141*('Source Data'!H$7-'Source Data'!G$7))</x:f>
        <x:v>6349.792367973534</x:v>
      </x:c>
      <x:c r="O141" s="14" t="n">
        <x:f>I141/N141-1</x:f>
        <x:v>0.014206390823335635</x:v>
      </x:c>
      <x:c r="P141" s="2" t="str"/>
    </x:row>
    <x:row r="142">
      <x:c r="A142" s="2" t="str">
        <x:f>'Source Data'!A142</x:f>
        <x:v>315250</x:v>
      </x:c>
      <x:c r="B142" s="2" t="str">
        <x:f>'Source Data'!B142</x:f>
        <x:v>Cut and Sew Apparel Manufacturing (except Contractors)</x:v>
      </x:c>
      <x:c r="C142" s="13" t="n">
        <x:f>LN('Source Data'!C142/'Source Data'!C$8)</x:f>
        <x:v>-6.6453194565184805</x:v>
      </x:c>
      <x:c r="D142" s="13" t="n">
        <x:f>LN('Source Data'!D142/'Source Data'!D$8)</x:f>
        <x:v>-6.7417983124261465</x:v>
      </x:c>
      <x:c r="E142" s="13" t="n">
        <x:f>LN('Source Data'!E142/'Source Data'!E$8)</x:f>
        <x:v>-6.786293484446668</x:v>
      </x:c>
      <x:c r="F142" s="13" t="n">
        <x:f>SLOPE(C142:E142,'Source Data'!C$7:E$7)</x:f>
        <x:v>-0.07048701396409385</x:v>
      </x:c>
      <x:c r="G142" s="14" t="n">
        <x:f>EXP(F142)-1</x:f>
        <x:v>-0.06806015834853318</x:v>
      </x:c>
      <x:c r="H142" s="8" t="n">
        <x:f>'Source Data'!F142</x:f>
        <x:v>15911</x:v>
      </x:c>
      <x:c r="I142" s="8" t="n">
        <x:f>'Source Data'!H142</x:f>
        <x:v>13398</x:v>
      </x:c>
      <x:c r="J142" s="14" t="n">
        <x:f>I142/H142-1</x:f>
        <x:v>-0.15794104707435108</x:v>
      </x:c>
      <x:c r="K142" s="8" t="n">
        <x:f>H142*('Source Data'!H$8/'Source Data'!F$8)*EXP(F142*('Source Data'!H$7-'Source Data'!F$7))</x:f>
        <x:v>12214.828239479582</x:v>
      </x:c>
      <x:c r="L142" s="14" t="n">
        <x:f>I142/K142-1</x:f>
        <x:v>0.09686356101973548</x:v>
      </x:c>
      <x:c r="M142" s="8" t="n">
        <x:f>'Source Data'!G142</x:f>
        <x:v>15204</x:v>
      </x:c>
      <x:c r="N142" s="8" t="n">
        <x:f>M142*('Source Data'!H$8/'Source Data'!G$8)*EXP(F142*('Source Data'!H$7-'Source Data'!G$7))</x:f>
        <x:v>12498.577674578331</x:v>
      </x:c>
      <x:c r="O142" s="14" t="n">
        <x:f>I142/N142-1</x:f>
        <x:v>0.07196197430136886</x:v>
      </x:c>
      <x:c r="P142" s="2" t="str"/>
    </x:row>
    <x:row r="143">
      <x:c r="A143" s="2" t="str">
        <x:f>'Source Data'!A143</x:f>
        <x:v>315990</x:v>
      </x:c>
      <x:c r="B143" s="2" t="str">
        <x:f>'Source Data'!B143</x:f>
        <x:v>Apparel Accessories and Other Apparel Manufacturing</x:v>
      </x:c>
      <x:c r="C143" s="13" t="n">
        <x:f>LN('Source Data'!C143/'Source Data'!C$8)</x:f>
        <x:v>-8.583829711224421</x:v>
      </x:c>
      <x:c r="D143" s="13" t="n">
        <x:f>LN('Source Data'!D143/'Source Data'!D$8)</x:f>
        <x:v>-8.670588493741588</x:v>
      </x:c>
      <x:c r="E143" s="13" t="n">
        <x:f>LN('Source Data'!E143/'Source Data'!E$8)</x:f>
        <x:v>-8.744539119259205</x:v>
      </x:c>
      <x:c r="F143" s="13" t="n">
        <x:f>SLOPE(C143:E143,'Source Data'!C$7:E$7)</x:f>
        <x:v>-0.08035470401739175</x:v>
      </x:c>
      <x:c r="G143" s="14" t="n">
        <x:f>EXP(F143)-1</x:f>
        <x:v>-0.07721102862589913</x:v>
      </x:c>
      <x:c r="H143" s="8" t="n">
        <x:f>'Source Data'!F143</x:f>
        <x:v>2152</x:v>
      </x:c>
      <x:c r="I143" s="8" t="n">
        <x:f>'Source Data'!H143</x:f>
        <x:v>1731</x:v>
      </x:c>
      <x:c r="J143" s="14" t="n">
        <x:f>I143/H143-1</x:f>
        <x:v>-0.19563197026022305</x:v>
      </x:c>
      <x:c r="K143" s="8" t="n">
        <x:f>H143*('Source Data'!H$8/'Source Data'!F$8)*EXP(F143*('Source Data'!H$7-'Source Data'!F$7))</x:f>
        <x:v>1588.1452586275468</x:v>
      </x:c>
      <x:c r="L143" s="14" t="n">
        <x:f>I143/K143-1</x:f>
        <x:v>0.0899506771162144</x:v>
      </x:c>
      <x:c r="M143" s="8" t="n">
        <x:f>'Source Data'!G143</x:f>
        <x:v>2001</x:v>
      </x:c>
      <x:c r="N143" s="8" t="n">
        <x:f>M143*('Source Data'!H$8/'Source Data'!G$8)*EXP(F143*('Source Data'!H$7-'Source Data'!G$7))</x:f>
        <x:v>1596.9575473251782</x:v>
      </x:c>
      <x:c r="O143" s="14" t="n">
        <x:f>I143/N143-1</x:f>
        <x:v>0.08393614025578566</x:v>
      </x:c>
      <x:c r="P143" s="2" t="str"/>
    </x:row>
    <x:row r="144">
      <x:c r="A144" s="2" t="str">
        <x:f>'Source Data'!A144</x:f>
        <x:v>316110</x:v>
      </x:c>
      <x:c r="B144" s="2" t="str">
        <x:f>'Source Data'!B144</x:f>
        <x:v>Leather and Hide Tanning and Finishing</x:v>
      </x:c>
      <x:c r="C144" s="13" t="n">
        <x:f>LN('Source Data'!C144/'Source Data'!C$8)</x:f>
        <x:v>-12.020813172632803</x:v>
      </x:c>
      <x:c r="D144" s="13" t="n">
        <x:f>LN('Source Data'!D144/'Source Data'!D$8)</x:f>
        <x:v>-11.81569816837018</x:v>
      </x:c>
      <x:c r="E144" s="13" t="n">
        <x:f>LN('Source Data'!E144/'Source Data'!E$8)</x:f>
        <x:v>-11.504970911228355</x:v>
      </x:c>
      <x:c r="F144" s="13" t="n">
        <x:f>SLOPE(C144:E144,'Source Data'!C$7:E$7)</x:f>
        <x:v>0.2579211307022238</x:v>
      </x:c>
      <x:c r="G144" s="14" t="n">
        <x:f>EXP(F144)-1</x:f>
        <x:v>0.2942367390560532</x:v>
      </x:c>
      <x:c r="H144" s="8" t="n">
        <x:f>'Source Data'!F144</x:f>
        <x:v>115</x:v>
      </x:c>
      <x:c r="I144" s="8" t="n">
        <x:f>'Source Data'!H144</x:f>
        <x:v>51</x:v>
      </x:c>
      <x:c r="J144" s="14" t="n">
        <x:f>I144/H144-1</x:f>
        <x:v>-0.5565217391304348</x:v>
      </x:c>
      <x:c r="K144" s="8" t="n">
        <x:f>H144*('Source Data'!H$8/'Source Data'!F$8)*EXP(F144*('Source Data'!H$7-'Source Data'!F$7))</x:f>
        <x:v>328.3908964489123</x:v>
      </x:c>
      <x:c r="L144" s="14" t="n">
        <x:f>I144/K144-1</x:f>
        <x:v>-0.8446972783000577</x:v>
      </x:c>
      <x:c r="M144" s="8" t="n">
        <x:f>'Source Data'!G144</x:f>
        <x:v>90</x:v>
      </x:c>
      <x:c r="N144" s="8" t="n">
        <x:f>M144*('Source Data'!H$8/'Source Data'!G$8)*EXP(F144*('Source Data'!H$7-'Source Data'!G$7))</x:f>
        <x:v>198.1630952480043</x:v>
      </x:c>
      <x:c r="O144" s="14" t="n">
        <x:f>I144/N144-1</x:f>
        <x:v>-0.7426362363982422</x:v>
      </x:c>
      <x:c r="P144" s="2" t="str"/>
    </x:row>
    <x:row r="145">
      <x:c r="A145" s="2" t="str">
        <x:f>'Source Data'!A145</x:f>
        <x:v>316210</x:v>
      </x:c>
      <x:c r="B145" s="2" t="str">
        <x:f>'Source Data'!B145</x:f>
        <x:v>Footwear Manufacturing</x:v>
      </x:c>
      <x:c r="C145" s="13" t="n">
        <x:f>LN('Source Data'!C145/'Source Data'!C$8)</x:f>
        <x:v>-10.258554367801446</x:v>
      </x:c>
      <x:c r="D145" s="13" t="n">
        <x:f>LN('Source Data'!D145/'Source Data'!D$8)</x:f>
        <x:v>-10.251722630012836</x:v>
      </x:c>
      <x:c r="E145" s="13" t="n">
        <x:f>LN('Source Data'!E145/'Source Data'!E$8)</x:f>
        <x:v>-10.303000109573091</x:v>
      </x:c>
      <x:c r="F145" s="13" t="n">
        <x:f>SLOPE(C145:E145,'Source Data'!C$7:E$7)</x:f>
        <x:v>-0.02222287088582231</x:v>
      </x:c>
      <x:c r="G145" s="14" t="n">
        <x:f>EXP(F145)-1</x:f>
        <x:v>-0.021977761923031136</x:v>
      </x:c>
      <x:c r="H145" s="8" t="n">
        <x:f>'Source Data'!F145</x:f>
        <x:v>768</x:v>
      </x:c>
      <x:c r="I145" s="8" t="n">
        <x:f>'Source Data'!H145</x:f>
        <x:v>245</x:v>
      </x:c>
      <x:c r="J145" s="14" t="n">
        <x:f>I145/H145-1</x:f>
        <x:v>-0.6809895833333333</x:v>
      </x:c>
      <x:c r="K145" s="8" t="n">
        <x:f>H145*('Source Data'!H$8/'Source Data'!F$8)*EXP(F145*('Source Data'!H$7-'Source Data'!F$7))</x:f>
        <x:v>715.1456689234356</x:v>
      </x:c>
      <x:c r="L145" s="14" t="n">
        <x:f>I145/K145-1</x:f>
        <x:v>-0.6574124536490341</x:v>
      </x:c>
      <x:c r="M145" s="8" t="n">
        <x:f>'Source Data'!G145</x:f>
        <x:v>829</x:v>
      </x:c>
      <x:c r="N145" s="8" t="n">
        <x:f>M145*('Source Data'!H$8/'Source Data'!G$8)*EXP(F145*('Source Data'!H$7-'Source Data'!G$7))</x:f>
        <x:v>787.6618591773006</x:v>
      </x:c>
      <x:c r="O145" s="14" t="n">
        <x:f>I145/N145-1</x:f>
        <x:v>-0.6889528201150956</x:v>
      </x:c>
      <x:c r="P145" s="2" t="str"/>
    </x:row>
    <x:row r="146">
      <x:c r="A146" s="2" t="str">
        <x:f>'Source Data'!A146</x:f>
        <x:v>316990</x:v>
      </x:c>
      <x:c r="B146" s="2" t="str">
        <x:f>'Source Data'!B146</x:f>
        <x:v>Other Leather and Allied Product Manufacturing</x:v>
      </x:c>
      <x:c r="C146" s="13" t="n">
        <x:f>LN('Source Data'!C146/'Source Data'!C$8)</x:f>
        <x:v>-8.8534754701617</x:v>
      </x:c>
      <x:c r="D146" s="13" t="n">
        <x:f>LN('Source Data'!D146/'Source Data'!D$8)</x:f>
        <x:v>-8.824606274372691</x:v>
      </x:c>
      <x:c r="E146" s="13" t="n">
        <x:f>LN('Source Data'!E146/'Source Data'!E$8)</x:f>
        <x:v>-8.828526049541475</x:v>
      </x:c>
      <x:c r="F146" s="13" t="n">
        <x:f>SLOPE(C146:E146,'Source Data'!C$7:E$7)</x:f>
        <x:v>0.012474710310112158</x:v>
      </x:c>
      <x:c r="G146" s="14" t="n">
        <x:f>EXP(F146)-1</x:f>
        <x:v>0.012552844069411595</x:v>
      </x:c>
      <x:c r="H146" s="8" t="n">
        <x:f>'Source Data'!F146</x:f>
        <x:v>2025</x:v>
      </x:c>
      <x:c r="I146" s="8" t="n">
        <x:f>'Source Data'!H146</x:f>
        <x:v>1561</x:v>
      </x:c>
      <x:c r="J146" s="14" t="n">
        <x:f>I146/H146-1</x:f>
        <x:v>-0.22913580246913579</x:v>
      </x:c>
      <x:c r="K146" s="8" t="n">
        <x:f>H146*('Source Data'!H$8/'Source Data'!F$8)*EXP(F146*('Source Data'!H$7-'Source Data'!F$7))</x:f>
        <x:v>2166.3777797003418</x:v>
      </x:c>
      <x:c r="L146" s="14" t="n">
        <x:f>I146/K146-1</x:f>
        <x:v>-0.2794423878295498</x:v>
      </x:c>
      <x:c r="M146" s="8" t="n">
        <x:f>'Source Data'!G146</x:f>
        <x:v>1857</x:v>
      </x:c>
      <x:c r="N146" s="8" t="n">
        <x:f>M146*('Source Data'!H$8/'Source Data'!G$8)*EXP(F146*('Source Data'!H$7-'Source Data'!G$7))</x:f>
        <x:v>1957.9612550060338</x:v>
      </x:c>
      <x:c r="O146" s="14" t="n">
        <x:f>I146/N146-1</x:f>
        <x:v>-0.20274214006589752</x:v>
      </x:c>
      <x:c r="P146" s="2" t="str"/>
    </x:row>
    <x:row r="147">
      <x:c r="A147" s="2" t="str">
        <x:f>'Source Data'!A147</x:f>
        <x:v>321113</x:v>
      </x:c>
      <x:c r="B147" s="2" t="str">
        <x:f>'Source Data'!B147</x:f>
        <x:v>Sawmills</x:v>
      </x:c>
      <x:c r="C147" s="13" t="n">
        <x:f>LN('Source Data'!C147/'Source Data'!C$8)</x:f>
        <x:v>-8.319224130913916</x:v>
      </x:c>
      <x:c r="D147" s="13" t="n">
        <x:f>LN('Source Data'!D147/'Source Data'!D$8)</x:f>
        <x:v>-8.329910032536583</x:v>
      </x:c>
      <x:c r="E147" s="13" t="n">
        <x:f>LN('Source Data'!E147/'Source Data'!E$8)</x:f>
        <x:v>-8.355373712956922</x:v>
      </x:c>
      <x:c r="F147" s="13" t="n">
        <x:f>SLOPE(C147:E147,'Source Data'!C$7:E$7)</x:f>
        <x:v>-0.01807479102150289</x:v>
      </x:c>
      <x:c r="G147" s="14" t="n">
        <x:f>EXP(F147)-1</x:f>
        <x:v>-0.0179124217217026</x:v>
      </x:c>
      <x:c r="H147" s="8" t="n">
        <x:f>'Source Data'!F147</x:f>
        <x:v>3519</x:v>
      </x:c>
      <x:c r="I147" s="8" t="n">
        <x:f>'Source Data'!H147</x:f>
        <x:v>3582</x:v>
      </x:c>
      <x:c r="J147" s="14" t="n">
        <x:f>I147/H147-1</x:f>
        <x:v>0.01790281329923271</x:v>
      </x:c>
      <x:c r="K147" s="8" t="n">
        <x:f>H147*('Source Data'!H$8/'Source Data'!F$8)*EXP(F147*('Source Data'!H$7-'Source Data'!F$7))</x:f>
        <x:v>3331.643411941567</x:v>
      </x:c>
      <x:c r="L147" s="14" t="n">
        <x:f>I147/K147-1</x:f>
        <x:v>0.0751450731975345</x:v>
      </x:c>
      <x:c r="M147" s="8" t="n">
        <x:f>'Source Data'!G147</x:f>
        <x:v>3596</x:v>
      </x:c>
      <x:c r="N147" s="8" t="n">
        <x:f>M147*('Source Data'!H$8/'Source Data'!G$8)*EXP(F147*('Source Data'!H$7-'Source Data'!G$7))</x:f>
        <x:v>3459.468920523733</x:v>
      </x:c>
      <x:c r="O147" s="14" t="n">
        <x:f>I147/N147-1</x:f>
        <x:v>0.03541904329573131</x:v>
      </x:c>
      <x:c r="P147" s="2" t="str"/>
    </x:row>
    <x:row r="148">
      <x:c r="A148" s="2" t="str">
        <x:f>'Source Data'!A148</x:f>
        <x:v>321114</x:v>
      </x:c>
      <x:c r="B148" s="2" t="str">
        <x:f>'Source Data'!B148</x:f>
        <x:v>Wood Preservation</x:v>
      </x:c>
      <x:c r="C148" s="13" t="n">
        <x:f>LN('Source Data'!C148/'Source Data'!C$8)</x:f>
        <x:v>-10.337433414800076</x:v>
      </x:c>
      <x:c r="D148" s="13" t="n">
        <x:f>LN('Source Data'!D148/'Source Data'!D$8)</x:f>
        <x:v>-10.386362055991722</x:v>
      </x:c>
      <x:c r="E148" s="13" t="n">
        <x:f>LN('Source Data'!E148/'Source Data'!E$8)</x:f>
        <x:v>-10.41753192315837</x:v>
      </x:c>
      <x:c r="F148" s="13" t="n">
        <x:f>SLOPE(C148:E148,'Source Data'!C$7:E$7)</x:f>
        <x:v>-0.04004925417914684</x:v>
      </x:c>
      <x:c r="G148" s="14" t="n">
        <x:f>EXP(F148)-1</x:f>
        <x:v>-0.039257882577429126</x:v>
      </x:c>
      <x:c r="H148" s="8" t="n">
        <x:f>'Source Data'!F148</x:f>
        <x:v>652</x:v>
      </x:c>
      <x:c r="I148" s="8" t="n">
        <x:f>'Source Data'!H148</x:f>
        <x:v>305</x:v>
      </x:c>
      <x:c r="J148" s="14" t="n">
        <x:f>I148/H148-1</x:f>
        <x:v>-0.5322085889570551</x:v>
      </x:c>
      <x:c r="K148" s="8" t="n">
        <x:f>H148*('Source Data'!H$8/'Source Data'!F$8)*EXP(F148*('Source Data'!H$7-'Source Data'!F$7))</x:f>
        <x:v>565.3446529041601</x:v>
      </x:c>
      <x:c r="L148" s="14" t="n">
        <x:f>I148/K148-1</x:f>
        <x:v>-0.4605060852115195</x:v>
      </x:c>
      <x:c r="M148" s="8" t="n">
        <x:f>'Source Data'!G148</x:f>
        <x:v>632</x:v>
      </x:c>
      <x:c r="N148" s="8" t="n">
        <x:f>M148*('Source Data'!H$8/'Source Data'!G$8)*EXP(F148*('Source Data'!H$7-'Source Data'!G$7))</x:f>
        <x:v>569.2154300596277</x:v>
      </x:c>
      <x:c r="O148" s="14" t="n">
        <x:f>I148/N148-1</x:f>
        <x:v>-0.4641747502030119</x:v>
      </x:c>
      <x:c r="P148" s="2" t="str"/>
    </x:row>
    <x:row r="149">
      <x:c r="A149" s="2" t="str">
        <x:f>'Source Data'!A149</x:f>
        <x:v>321215</x:v>
      </x:c>
      <x:c r="B149" s="2" t="str">
        <x:f>'Source Data'!B149</x:f>
        <x:v>Engineered Wood Member Manufacturing</x:v>
      </x:c>
      <x:c r="C149" s="13" t="n">
        <x:f>LN('Source Data'!C149/'Source Data'!C$8)</x:f>
        <x:v>-8.813162909984417</x:v>
      </x:c>
      <x:c r="D149" s="13" t="n">
        <x:f>LN('Source Data'!D149/'Source Data'!D$8)</x:f>
        <x:v>-8.660669745492724</x:v>
      </x:c>
      <x:c r="E149" s="13" t="n">
        <x:f>LN('Source Data'!E149/'Source Data'!E$8)</x:f>
        <x:v>-8.700802775835252</x:v>
      </x:c>
      <x:c r="F149" s="13" t="n">
        <x:f>SLOPE(C149:E149,'Source Data'!C$7:E$7)</x:f>
        <x:v>0.056180067074582674</x:v>
      </x:c>
      <x:c r="G149" s="14" t="n">
        <x:f>EXP(F149)-1</x:f>
        <x:v>0.0577881394044899</x:v>
      </x:c>
      <x:c r="H149" s="8" t="n">
        <x:f>'Source Data'!F149</x:f>
        <x:v>2989</x:v>
      </x:c>
      <x:c r="I149" s="8" t="n">
        <x:f>'Source Data'!H149</x:f>
        <x:v>2302</x:v>
      </x:c>
      <x:c r="J149" s="14" t="n">
        <x:f>I149/H149-1</x:f>
        <x:v>-0.22984275677484112</x:v>
      </x:c>
      <x:c r="K149" s="8" t="n">
        <x:f>H149*('Source Data'!H$8/'Source Data'!F$8)*EXP(F149*('Source Data'!H$7-'Source Data'!F$7))</x:f>
        <x:v>3808.5447344025224</x:v>
      </x:c>
      <x:c r="L149" s="14" t="n">
        <x:f>I149/K149-1</x:f>
        <x:v>-0.39556965703827196</x:v>
      </x:c>
      <x:c r="M149" s="8" t="n">
        <x:f>'Source Data'!G149</x:f>
        <x:v>2394</x:v>
      </x:c>
      <x:c r="N149" s="8" t="n">
        <x:f>M149*('Source Data'!H$8/'Source Data'!G$8)*EXP(F149*('Source Data'!H$7-'Source Data'!G$7))</x:f>
        <x:v>2877.7914747546783</x:v>
      </x:c>
      <x:c r="O149" s="14" t="n">
        <x:f>I149/N149-1</x:f>
        <x:v>-0.20008102734537514</x:v>
      </x:c>
      <x:c r="P149" s="2" t="str"/>
    </x:row>
    <x:row r="150">
      <x:c r="A150" s="2" t="str">
        <x:f>'Source Data'!A150</x:f>
        <x:v>321911</x:v>
      </x:c>
      <x:c r="B150" s="2" t="str">
        <x:f>'Source Data'!B150</x:f>
        <x:v>Wood Window and Door Manufacturing</x:v>
      </x:c>
      <x:c r="C150" s="13" t="n">
        <x:f>LN('Source Data'!C150/'Source Data'!C$8)</x:f>
        <x:v>-8.367440406975776</x:v>
      </x:c>
      <x:c r="D150" s="13" t="n">
        <x:f>LN('Source Data'!D150/'Source Data'!D$8)</x:f>
        <x:v>-8.356639602036706</x:v>
      </x:c>
      <x:c r="E150" s="13" t="n">
        <x:f>LN('Source Data'!E150/'Source Data'!E$8)</x:f>
        <x:v>-8.27416651549488</x:v>
      </x:c>
      <x:c r="F150" s="13" t="n">
        <x:f>SLOPE(C150:E150,'Source Data'!C$7:E$7)</x:f>
        <x:v>0.04663694574044808</x:v>
      </x:c>
      <x:c r="G150" s="14" t="n">
        <x:f>EXP(F150)-1</x:f>
        <x:v>0.04774155298701066</x:v>
      </x:c>
      <x:c r="H150" s="8" t="n">
        <x:f>'Source Data'!F150</x:f>
        <x:v>4234</x:v>
      </x:c>
      <x:c r="I150" s="8" t="n">
        <x:f>'Source Data'!H150</x:f>
        <x:v>3411</x:v>
      </x:c>
      <x:c r="J150" s="14" t="n">
        <x:f>I150/H150-1</x:f>
        <x:v>-0.19437883797827116</x:v>
      </x:c>
      <x:c r="K150" s="8" t="n">
        <x:f>H150*('Source Data'!H$8/'Source Data'!F$8)*EXP(F150*('Source Data'!H$7-'Source Data'!F$7))</x:f>
        <x:v>5192.851461091582</x:v>
      </x:c>
      <x:c r="L150" s="14" t="n">
        <x:f>I150/K150-1</x:f>
        <x:v>-0.34313545735756923</x:v>
      </x:c>
      <x:c r="M150" s="8" t="n">
        <x:f>'Source Data'!G150</x:f>
        <x:v>3967</x:v>
      </x:c>
      <x:c r="N150" s="8" t="n">
        <x:f>M150*('Source Data'!H$8/'Source Data'!G$8)*EXP(F150*('Source Data'!H$7-'Source Data'!G$7))</x:f>
        <x:v>4634.08292760406</x:v>
      </x:c>
      <x:c r="O150" s="14" t="n">
        <x:f>I150/N150-1</x:f>
        <x:v>-0.2639320328771988</x:v>
      </x:c>
      <x:c r="P150" s="2" t="str"/>
    </x:row>
    <x:row r="151">
      <x:c r="A151" s="2" t="str">
        <x:f>'Source Data'!A151</x:f>
        <x:v>321912</x:v>
      </x:c>
      <x:c r="B151" s="2" t="str">
        <x:f>'Source Data'!B151</x:f>
        <x:v>Cut Stock, Resawing Lumber, and Planing</x:v>
      </x:c>
      <x:c r="C151" s="13" t="n">
        <x:f>LN('Source Data'!C151/'Source Data'!C$8)</x:f>
        <x:v>-10.215579004821388</x:v>
      </x:c>
      <x:c r="D151" s="13" t="n">
        <x:f>LN('Source Data'!D151/'Source Data'!D$8)</x:f>
        <x:v>-9.852738425988756</x:v>
      </x:c>
      <x:c r="E151" s="13" t="n">
        <x:f>LN('Source Data'!E151/'Source Data'!E$8)</x:f>
        <x:v>-9.968820794564087</x:v>
      </x:c>
      <x:c r="F151" s="13" t="n">
        <x:f>SLOPE(C151:E151,'Source Data'!C$7:E$7)</x:f>
        <x:v>0.12337910512865058</x:v>
      </x:c>
      <x:c r="G151" s="14" t="n">
        <x:f>EXP(F151)-1</x:f>
        <x:v>0.1313132263074015</x:v>
      </x:c>
      <x:c r="H151" s="8" t="n">
        <x:f>'Source Data'!F151</x:f>
        <x:v>552</x:v>
      </x:c>
      <x:c r="I151" s="8" t="n">
        <x:f>'Source Data'!H151</x:f>
        <x:v>517</x:v>
      </x:c>
      <x:c r="J151" s="14" t="n">
        <x:f>I151/H151-1</x:f>
        <x:v>-0.06340579710144922</x:v>
      </x:c>
      <x:c r="K151" s="8" t="n">
        <x:f>H151*('Source Data'!H$8/'Source Data'!F$8)*EXP(F151*('Source Data'!H$7-'Source Data'!F$7))</x:f>
        <x:v>920.256533459118</x:v>
      </x:c>
      <x:c r="L151" s="14" t="n">
        <x:f>I151/K151-1</x:f>
        <x:v>-0.43820013093885035</x:v>
      </x:c>
      <x:c r="M151" s="8" t="n">
        <x:f>'Source Data'!G151</x:f>
        <x:v>545</x:v>
      </x:c>
      <x:c r="N151" s="8" t="n">
        <x:f>M151*('Source Data'!H$8/'Source Data'!G$8)*EXP(F151*('Source Data'!H$7-'Source Data'!G$7))</x:f>
        <x:v>801.4643184673287</x:v>
      </x:c>
      <x:c r="O151" s="14" t="n">
        <x:f>I151/N151-1</x:f>
        <x:v>-0.35493073354946214</x:v>
      </x:c>
      <x:c r="P151" s="2" t="str"/>
    </x:row>
    <x:row r="152">
      <x:c r="A152" s="2" t="str">
        <x:f>'Source Data'!A152</x:f>
        <x:v>321918</x:v>
      </x:c>
      <x:c r="B152" s="2" t="str">
        <x:f>'Source Data'!B152</x:f>
        <x:v>Other Millwork (including Flooring)</x:v>
      </x:c>
      <x:c r="C152" s="13" t="n">
        <x:f>LN('Source Data'!C152/'Source Data'!C$8)</x:f>
        <x:v>-8.325269924483889</x:v>
      </x:c>
      <x:c r="D152" s="13" t="n">
        <x:f>LN('Source Data'!D152/'Source Data'!D$8)</x:f>
        <x:v>-8.37813314253715</x:v>
      </x:c>
      <x:c r="E152" s="13" t="n">
        <x:f>LN('Source Data'!E152/'Source Data'!E$8)</x:f>
        <x:v>-8.376749454628285</x:v>
      </x:c>
      <x:c r="F152" s="13" t="n">
        <x:f>SLOPE(C152:E152,'Source Data'!C$7:E$7)</x:f>
        <x:v>-0.025739765072198217</x:v>
      </x:c>
      <x:c r="G152" s="14" t="n">
        <x:f>EXP(F152)-1</x:f>
        <x:v>-0.025411321374622986</x:v>
      </x:c>
      <x:c r="H152" s="8" t="n">
        <x:f>'Source Data'!F152</x:f>
        <x:v>3058</x:v>
      </x:c>
      <x:c r="I152" s="8" t="n">
        <x:f>'Source Data'!H152</x:f>
        <x:v>2429</x:v>
      </x:c>
      <x:c r="J152" s="14" t="n">
        <x:f>I152/H152-1</x:f>
        <x:v>-0.20568999345977768</x:v>
      </x:c>
      <x:c r="K152" s="8" t="n">
        <x:f>H152*('Source Data'!H$8/'Source Data'!F$8)*EXP(F152*('Source Data'!H$7-'Source Data'!F$7))</x:f>
        <x:v>2807.7685352993853</x:v>
      </x:c>
      <x:c r="L152" s="14" t="n">
        <x:f>I152/K152-1</x:f>
        <x:v>-0.13490019940657183</x:v>
      </x:c>
      <x:c r="M152" s="8" t="n">
        <x:f>'Source Data'!G152</x:f>
        <x:v>2857</x:v>
      </x:c>
      <x:c r="N152" s="8" t="n">
        <x:f>M152*('Source Data'!H$8/'Source Data'!G$8)*EXP(F152*('Source Data'!H$7-'Source Data'!G$7))</x:f>
        <x:v>2686.0458571175154</x:v>
      </x:c>
      <x:c r="O152" s="14" t="n">
        <x:f>I152/N152-1</x:f>
        <x:v>-0.09569674934491246</x:v>
      </x:c>
      <x:c r="P152" s="2" t="str"/>
    </x:row>
    <x:row r="153">
      <x:c r="A153" s="2" t="str">
        <x:f>'Source Data'!A153</x:f>
        <x:v>321920</x:v>
      </x:c>
      <x:c r="B153" s="2" t="str">
        <x:f>'Source Data'!B153</x:f>
        <x:v>Wood Container and Pallet Manufacturing</x:v>
      </x:c>
      <x:c r="C153" s="13" t="n">
        <x:f>LN('Source Data'!C153/'Source Data'!C$8)</x:f>
        <x:v>-7.873258549543119</x:v>
      </x:c>
      <x:c r="D153" s="13" t="n">
        <x:f>LN('Source Data'!D153/'Source Data'!D$8)</x:f>
        <x:v>-7.871064567648871</x:v>
      </x:c>
      <x:c r="E153" s="13" t="n">
        <x:f>LN('Source Data'!E153/'Source Data'!E$8)</x:f>
        <x:v>-7.823116072051382</x:v>
      </x:c>
      <x:c r="F153" s="13" t="n">
        <x:f>SLOPE(C153:E153,'Source Data'!C$7:E$7)</x:f>
        <x:v>0.025071238745868474</x:v>
      </x:c>
      <x:c r="G153" s="14" t="n">
        <x:f>EXP(F153)-1</x:f>
        <x:v>0.02538816528951271</x:v>
      </x:c>
      <x:c r="H153" s="8" t="n">
        <x:f>'Source Data'!F153</x:f>
        <x:v>6717</x:v>
      </x:c>
      <x:c r="I153" s="8" t="n">
        <x:f>'Source Data'!H153</x:f>
        <x:v>6277</x:v>
      </x:c>
      <x:c r="J153" s="14" t="n">
        <x:f>I153/H153-1</x:f>
        <x:v>-0.06550543397350006</x:v>
      </x:c>
      <x:c r="K153" s="8" t="n">
        <x:f>H153*('Source Data'!H$8/'Source Data'!F$8)*EXP(F153*('Source Data'!H$7-'Source Data'!F$7))</x:f>
        <x:v>7557.30455571998</x:v>
      </x:c>
      <x:c r="L153" s="14" t="n">
        <x:f>I153/K153-1</x:f>
        <x:v>-0.16941285696246577</x:v>
      </x:c>
      <x:c r="M153" s="8" t="n">
        <x:f>'Source Data'!G153</x:f>
        <x:v>6935</x:v>
      </x:c>
      <x:c r="N153" s="8" t="n">
        <x:f>M153*('Source Data'!H$8/'Source Data'!G$8)*EXP(F153*('Source Data'!H$7-'Source Data'!G$7))</x:f>
        <x:v>7593.648032031789</x:v>
      </x:c>
      <x:c r="O153" s="14" t="n">
        <x:f>I153/N153-1</x:f>
        <x:v>-0.17338807730854244</x:v>
      </x:c>
      <x:c r="P153" s="2" t="str"/>
    </x:row>
    <x:row r="154">
      <x:c r="A154" s="2" t="str">
        <x:f>'Source Data'!A154</x:f>
        <x:v>321991</x:v>
      </x:c>
      <x:c r="B154" s="2" t="str">
        <x:f>'Source Data'!B154</x:f>
        <x:v>Manufactured Home (Mobile Home) Manufacturing</x:v>
      </x:c>
      <x:c r="C154" s="13" t="n">
        <x:f>LN('Source Data'!C154/'Source Data'!C$8)</x:f>
        <x:v>-9.237382276962867</x:v>
      </x:c>
      <x:c r="D154" s="13" t="n">
        <x:f>LN('Source Data'!D154/'Source Data'!D$8)</x:f>
        <x:v>-9.067715256932598</x:v>
      </x:c>
      <x:c r="E154" s="13" t="n">
        <x:f>LN('Source Data'!E154/'Source Data'!E$8)</x:f>
        <x:v>-8.972332858619165</x:v>
      </x:c>
      <x:c r="F154" s="13" t="n">
        <x:f>SLOPE(C154:E154,'Source Data'!C$7:E$7)</x:f>
        <x:v>0.1325247091718511</x:v>
      </x:c>
      <x:c r="G154" s="14" t="n">
        <x:f>EXP(F154)-1</x:f>
        <x:v>0.1417072263807171</x:v>
      </x:c>
      <x:c r="H154" s="8" t="n">
        <x:f>'Source Data'!F154</x:f>
        <x:v>2334</x:v>
      </x:c>
      <x:c r="I154" s="8" t="n">
        <x:f>'Source Data'!H154</x:f>
        <x:v>1842</x:v>
      </x:c>
      <x:c r="J154" s="14" t="n">
        <x:f>I154/H154-1</x:f>
        <x:v>-0.2107969151670951</x:v>
      </x:c>
      <x:c r="K154" s="8" t="n">
        <x:f>H154*('Source Data'!H$8/'Source Data'!F$8)*EXP(F154*('Source Data'!H$7-'Source Data'!F$7))</x:f>
        <x:v>4036.0656790056587</x:v>
      </x:c>
      <x:c r="L154" s="14" t="n">
        <x:f>I154/K154-1</x:f>
        <x:v>-0.5436149590970476</x:v>
      </x:c>
      <x:c r="M154" s="8" t="n">
        <x:f>'Source Data'!G154</x:f>
        <x:v>2346</x:v>
      </x:c>
      <x:c r="N154" s="8" t="n">
        <x:f>M154*('Source Data'!H$8/'Source Data'!G$8)*EXP(F154*('Source Data'!H$7-'Source Data'!G$7))</x:f>
        <x:v>3545.939763405765</x:v>
      </x:c>
      <x:c r="O154" s="14" t="n">
        <x:f>I154/N154-1</x:f>
        <x:v>-0.4805326308671368</x:v>
      </x:c>
      <x:c r="P154" s="2" t="str"/>
    </x:row>
    <x:row r="155">
      <x:c r="A155" s="2" t="str">
        <x:f>'Source Data'!A155</x:f>
        <x:v>321992</x:v>
      </x:c>
      <x:c r="B155" s="2" t="str">
        <x:f>'Source Data'!B155</x:f>
        <x:v>Prefabricated Wood Building Manufacturing</x:v>
      </x:c>
      <x:c r="C155" s="13" t="n">
        <x:f>LN('Source Data'!C155/'Source Data'!C$8)</x:f>
        <x:v>-9.985955537560994</x:v>
      </x:c>
      <x:c r="D155" s="13" t="n">
        <x:f>LN('Source Data'!D155/'Source Data'!D$8)</x:f>
        <x:v>-9.96549510327205</x:v>
      </x:c>
      <x:c r="E155" s="13" t="n">
        <x:f>LN('Source Data'!E155/'Source Data'!E$8)</x:f>
        <x:v>-9.882287772044233</x:v>
      </x:c>
      <x:c r="F155" s="13" t="n">
        <x:f>SLOPE(C155:E155,'Source Data'!C$7:E$7)</x:f>
        <x:v>0.05183388275838041</x:v>
      </x:c>
      <x:c r="G155" s="14" t="n">
        <x:f>EXP(F155)-1</x:f>
        <x:v>0.05320077317374383</x:v>
      </x:c>
      <x:c r="H155" s="8" t="n">
        <x:f>'Source Data'!F155</x:f>
        <x:v>1074</x:v>
      </x:c>
      <x:c r="I155" s="8" t="n">
        <x:f>'Source Data'!H155</x:f>
        <x:v>873</x:v>
      </x:c>
      <x:c r="J155" s="14" t="n">
        <x:f>I155/H155-1</x:f>
        <x:v>-0.1871508379888268</x:v>
      </x:c>
      <x:c r="K155" s="8" t="n">
        <x:f>H155*('Source Data'!H$8/'Source Data'!F$8)*EXP(F155*('Source Data'!H$7-'Source Data'!F$7))</x:f>
        <x:v>1344.8917576331937</x:v>
      </x:c>
      <x:c r="L155" s="14" t="n">
        <x:f>I155/K155-1</x:f>
        <x:v>-0.35087712818141725</x:v>
      </x:c>
      <x:c r="M155" s="8" t="n">
        <x:f>'Source Data'!G155</x:f>
        <x:v>956</x:v>
      </x:c>
      <x:c r="N155" s="8" t="n">
        <x:f>M155*('Source Data'!H$8/'Source Data'!G$8)*EXP(F155*('Source Data'!H$7-'Source Data'!G$7))</x:f>
        <x:v>1134.3066972981428</x:v>
      </x:c>
      <x:c r="O155" s="14" t="n">
        <x:f>I155/N155-1</x:f>
        <x:v>-0.23036688218500445</x:v>
      </x:c>
      <x:c r="P155" s="2" t="str"/>
    </x:row>
    <x:row r="156">
      <x:c r="A156" s="2" t="str">
        <x:f>'Source Data'!A156</x:f>
        <x:v>321999</x:v>
      </x:c>
      <x:c r="B156" s="2" t="str">
        <x:f>'Source Data'!B156</x:f>
        <x:v>All Other Miscellaneous Wood Product Manufacturing</x:v>
      </x:c>
      <x:c r="C156" s="13" t="n">
        <x:f>LN('Source Data'!C156/'Source Data'!C$8)</x:f>
        <x:v>-9.21604434078921</x:v>
      </x:c>
      <x:c r="D156" s="13" t="n">
        <x:f>LN('Source Data'!D156/'Source Data'!D$8)</x:f>
        <x:v>-8.987398839116393</x:v>
      </x:c>
      <x:c r="E156" s="13" t="n">
        <x:f>LN('Source Data'!E156/'Source Data'!E$8)</x:f>
        <x:v>-8.943617755947171</x:v>
      </x:c>
      <x:c r="F156" s="13" t="n">
        <x:f>SLOPE(C156:E156,'Source Data'!C$7:E$7)</x:f>
        <x:v>0.13621329242101954</x:v>
      </x:c>
      <x:c r="G156" s="14" t="n">
        <x:f>EXP(F156)-1</x:f>
        <x:v>0.14592628492214743</x:v>
      </x:c>
      <x:c r="H156" s="8" t="n">
        <x:f>'Source Data'!F156</x:f>
        <x:v>1789</x:v>
      </x:c>
      <x:c r="I156" s="8" t="n">
        <x:f>'Source Data'!H156</x:f>
        <x:v>1836</x:v>
      </x:c>
      <x:c r="J156" s="14" t="n">
        <x:f>I156/H156-1</x:f>
        <x:v>0.026271660145332554</x:v>
      </x:c>
      <x:c r="K156" s="8" t="n">
        <x:f>H156*('Source Data'!H$8/'Source Data'!F$8)*EXP(F156*('Source Data'!H$7-'Source Data'!F$7))</x:f>
        <x:v>3139.608087742815</x:v>
      </x:c>
      <x:c r="L156" s="14" t="n">
        <x:f>I156/K156-1</x:f>
        <x:v>-0.4152136353681102</x:v>
      </x:c>
      <x:c r="M156" s="8" t="n">
        <x:f>'Source Data'!G156</x:f>
        <x:v>1882</x:v>
      </x:c>
      <x:c r="N156" s="8" t="n">
        <x:f>M156*('Source Data'!H$8/'Source Data'!G$8)*EXP(F156*('Source Data'!H$7-'Source Data'!G$7))</x:f>
        <x:v>2876.2640897031915</x:v>
      </x:c>
      <x:c r="O156" s="14" t="n">
        <x:f>I156/N156-1</x:f>
        <x:v>-0.3616719665719357</x:v>
      </x:c>
      <x:c r="P156" s="2" t="str"/>
    </x:row>
    <x:row r="157">
      <x:c r="A157" s="2" t="str">
        <x:f>'Source Data'!A157</x:f>
        <x:v>322211</x:v>
      </x:c>
      <x:c r="B157" s="2" t="str">
        <x:f>'Source Data'!B157</x:f>
        <x:v>Corrugated and Solid Fiber Box Manufacturing</x:v>
      </x:c>
      <x:c r="C157" s="13" t="n">
        <x:f>LN('Source Data'!C157/'Source Data'!C$8)</x:f>
        <x:v>-7.201657521952487</x:v>
      </x:c>
      <x:c r="D157" s="13" t="n">
        <x:f>LN('Source Data'!D157/'Source Data'!D$8)</x:f>
        <x:v>-7.171930682883944</x:v>
      </x:c>
      <x:c r="E157" s="13" t="n">
        <x:f>LN('Source Data'!E157/'Source Data'!E$8)</x:f>
        <x:v>-7.177048535547674</x:v>
      </x:c>
      <x:c r="F157" s="13" t="n">
        <x:f>SLOPE(C157:E157,'Source Data'!C$7:E$7)</x:f>
        <x:v>0.012304493202406785</x:v>
      </x:c>
      <x:c r="G157" s="14" t="n">
        <x:f>EXP(F157)-1</x:f>
        <x:v>0.01238050492084719</x:v>
      </x:c>
      <x:c r="H157" s="8" t="n">
        <x:f>'Source Data'!F157</x:f>
        <x:v>10683</x:v>
      </x:c>
      <x:c r="I157" s="8" t="n">
        <x:f>'Source Data'!H157</x:f>
        <x:v>9775</x:v>
      </x:c>
      <x:c r="J157" s="14" t="n">
        <x:f>I157/H157-1</x:f>
        <x:v>-0.08499485163343634</x:v>
      </x:c>
      <x:c r="K157" s="8" t="n">
        <x:f>H157*('Source Data'!H$8/'Source Data'!F$8)*EXP(F157*('Source Data'!H$7-'Source Data'!F$7))</x:f>
        <x:v>11421.067438964235</x:v>
      </x:c>
      <x:c r="L157" s="14" t="n">
        <x:f>I157/K157-1</x:f>
        <x:v>-0.1441255336036712</x:v>
      </x:c>
      <x:c r="M157" s="8" t="n">
        <x:f>'Source Data'!G157</x:f>
        <x:v>10669</x:v>
      </x:c>
      <x:c r="N157" s="8" t="n">
        <x:f>M157*('Source Data'!H$8/'Source Data'!G$8)*EXP(F157*('Source Data'!H$7-'Source Data'!G$7))</x:f>
        <x:v>11243.308620252697</x:v>
      </x:c>
      <x:c r="O157" s="14" t="n">
        <x:f>I157/N157-1</x:f>
        <x:v>-0.13059399771414415</x:v>
      </x:c>
      <x:c r="P157" s="2" t="str"/>
    </x:row>
    <x:row r="158">
      <x:c r="A158" s="2" t="str">
        <x:f>'Source Data'!A158</x:f>
        <x:v>322212</x:v>
      </x:c>
      <x:c r="B158" s="2" t="str">
        <x:f>'Source Data'!B158</x:f>
        <x:v>Folding Paperboard Box Manufacturing</x:v>
      </x:c>
      <x:c r="C158" s="13" t="n">
        <x:f>LN('Source Data'!C158/'Source Data'!C$8)</x:f>
        <x:v>-8.530668304954151</x:v>
      </x:c>
      <x:c r="D158" s="13" t="n">
        <x:f>LN('Source Data'!D158/'Source Data'!D$8)</x:f>
        <x:v>-8.587238783237922</x:v>
      </x:c>
      <x:c r="E158" s="13" t="n">
        <x:f>LN('Source Data'!E158/'Source Data'!E$8)</x:f>
        <x:v>-8.63782987204735</x:v>
      </x:c>
      <x:c r="F158" s="13" t="n">
        <x:f>SLOPE(C158:E158,'Source Data'!C$7:E$7)</x:f>
        <x:v>-0.05358078354659934</x:v>
      </x:c>
      <x:c r="G158" s="14" t="n">
        <x:f>EXP(F158)-1</x:f>
        <x:v>-0.05217063110702869</x:v>
      </x:c>
      <x:c r="H158" s="8" t="n">
        <x:f>'Source Data'!F158</x:f>
        <x:v>2912</x:v>
      </x:c>
      <x:c r="I158" s="8" t="n">
        <x:f>'Source Data'!H158</x:f>
        <x:v>3006</x:v>
      </x:c>
      <x:c r="J158" s="14" t="n">
        <x:f>I158/H158-1</x:f>
        <x:v>0.03228021978021989</x:v>
      </x:c>
      <x:c r="K158" s="8" t="n">
        <x:f>H158*('Source Data'!H$8/'Source Data'!F$8)*EXP(F158*('Source Data'!H$7-'Source Data'!F$7))</x:f>
        <x:v>2391.940595797095</x:v>
      </x:c>
      <x:c r="L158" s="14" t="n">
        <x:f>I158/K158-1</x:f>
        <x:v>0.25672017326930097</x:v>
      </x:c>
      <x:c r="M158" s="8" t="n">
        <x:f>'Source Data'!G158</x:f>
        <x:v>2726</x:v>
      </x:c>
      <x:c r="N158" s="8" t="n">
        <x:f>M158*('Source Data'!H$8/'Source Data'!G$8)*EXP(F158*('Source Data'!H$7-'Source Data'!G$7))</x:f>
        <x:v>2357.5202502451866</x:v>
      </x:c>
      <x:c r="O158" s="14" t="n">
        <x:f>I158/N158-1</x:f>
        <x:v>0.2750685809326008</x:v>
      </x:c>
      <x:c r="P158" s="2" t="str"/>
    </x:row>
    <x:row r="159">
      <x:c r="A159" s="2" t="str">
        <x:f>'Source Data'!A159</x:f>
        <x:v>322219</x:v>
      </x:c>
      <x:c r="B159" s="2" t="str">
        <x:f>'Source Data'!B159</x:f>
        <x:v>Other Paperboard Container Manufacturing</x:v>
      </x:c>
      <x:c r="C159" s="13" t="n">
        <x:f>LN('Source Data'!C159/'Source Data'!C$8)</x:f>
        <x:v>-8.928714195140287</x:v>
      </x:c>
      <x:c r="D159" s="13" t="n">
        <x:f>LN('Source Data'!D159/'Source Data'!D$8)</x:f>
        <x:v>-9.183942563860937</x:v>
      </x:c>
      <x:c r="E159" s="13" t="n">
        <x:f>LN('Source Data'!E159/'Source Data'!E$8)</x:f>
        <x:v>-9.168951042148072</x:v>
      </x:c>
      <x:c r="F159" s="13" t="n">
        <x:f>SLOPE(C159:E159,'Source Data'!C$7:E$7)</x:f>
        <x:v>-0.12011842350389212</x:v>
      </x:c>
      <x:c r="G159" s="14" t="n">
        <x:f>EXP(F159)-1</x:f>
        <x:v>-0.1131845892897354</x:v>
      </x:c>
      <x:c r="H159" s="8" t="n">
        <x:f>'Source Data'!F159</x:f>
        <x:v>1496</x:v>
      </x:c>
      <x:c r="I159" s="8" t="n">
        <x:f>'Source Data'!H159</x:f>
        <x:v>1217</x:v>
      </x:c>
      <x:c r="J159" s="14" t="n">
        <x:f>I159/H159-1</x:f>
        <x:v>-0.18649732620320858</x:v>
      </x:c>
      <x:c r="K159" s="8" t="n">
        <x:f>H159*('Source Data'!H$8/'Source Data'!F$8)*EXP(F159*('Source Data'!H$7-'Source Data'!F$7))</x:f>
        <x:v>941.679016428563</x:v>
      </x:c>
      <x:c r="L159" s="14" t="n">
        <x:f>I159/K159-1</x:f>
        <x:v>0.29237243133613267</x:v>
      </x:c>
      <x:c r="M159" s="8" t="n">
        <x:f>'Source Data'!G159</x:f>
        <x:v>1435</x:v>
      </x:c>
      <x:c r="N159" s="8" t="n">
        <x:f>M159*('Source Data'!H$8/'Source Data'!G$8)*EXP(F159*('Source Data'!H$7-'Source Data'!G$7))</x:f>
        <x:v>1016.4609337884991</x:v>
      </x:c>
      <x:c r="O159" s="14" t="n">
        <x:f>I159/N159-1</x:f>
        <x:v>0.19729146447769752</x:v>
      </x:c>
      <x:c r="P159" s="2" t="str"/>
    </x:row>
    <x:row r="160">
      <x:c r="A160" s="2" t="str">
        <x:f>'Source Data'!A160</x:f>
        <x:v>322220</x:v>
      </x:c>
      <x:c r="B160" s="2" t="str">
        <x:f>'Source Data'!B160</x:f>
        <x:v>Paper Bag and Coated and Treated Paper Manufacturing</x:v>
      </x:c>
      <x:c r="C160" s="13" t="n">
        <x:f>LN('Source Data'!C160/'Source Data'!C$8)</x:f>
        <x:v>-8.99191605281246</x:v>
      </x:c>
      <x:c r="D160" s="13" t="n">
        <x:f>LN('Source Data'!D160/'Source Data'!D$8)</x:f>
        <x:v>-9.033319560857871</x:v>
      </x:c>
      <x:c r="E160" s="13" t="n">
        <x:f>LN('Source Data'!E160/'Source Data'!E$8)</x:f>
        <x:v>-9.04083402292674</x:v>
      </x:c>
      <x:c r="F160" s="13" t="n">
        <x:f>SLOPE(C160:E160,'Source Data'!C$7:E$7)</x:f>
        <x:v>-0.024458985057139948</x:v>
      </x:c>
      <x:c r="G160" s="14" t="n">
        <x:f>EXP(F160)-1</x:f>
        <x:v>-0.024162287974371588</x:v>
      </x:c>
      <x:c r="H160" s="8" t="n">
        <x:f>'Source Data'!F160</x:f>
        <x:v>1884</x:v>
      </x:c>
      <x:c r="I160" s="8" t="n">
        <x:f>'Source Data'!H160</x:f>
        <x:v>1489</x:v>
      </x:c>
      <x:c r="J160" s="14" t="n">
        <x:f>I160/H160-1</x:f>
        <x:v>-0.20966029723991508</x:v>
      </x:c>
      <x:c r="K160" s="8" t="n">
        <x:f>H160*('Source Data'!H$8/'Source Data'!F$8)*EXP(F160*('Source Data'!H$7-'Source Data'!F$7))</x:f>
        <x:v>1738.7200533651098</x:v>
      </x:c>
      <x:c r="L160" s="14" t="n">
        <x:f>I160/K160-1</x:f>
        <x:v>-0.14362292128730147</x:v>
      </x:c>
      <x:c r="M160" s="8" t="n">
        <x:f>'Source Data'!G160</x:f>
        <x:v>1799</x:v>
      </x:c>
      <x:c r="N160" s="8" t="n">
        <x:f>M160*('Source Data'!H$8/'Source Data'!G$8)*EXP(F160*('Source Data'!H$7-'Source Data'!G$7))</x:f>
        <x:v>1697.864597494947</x:v>
      </x:c>
      <x:c r="O160" s="14" t="n">
        <x:f>I160/N160-1</x:f>
        <x:v>-0.12301605075169642</x:v>
      </x:c>
      <x:c r="P160" s="2" t="str"/>
    </x:row>
    <x:row r="161">
      <x:c r="A161" s="2" t="str">
        <x:f>'Source Data'!A161</x:f>
        <x:v>322230</x:v>
      </x:c>
      <x:c r="B161" s="2" t="str">
        <x:f>'Source Data'!B161</x:f>
        <x:v>Stationery Product Manufacturing</x:v>
      </x:c>
      <x:c r="C161" s="13" t="n">
        <x:f>LN('Source Data'!C161/'Source Data'!C$8)</x:f>
        <x:v>-9.409547105288594</x:v>
      </x:c>
      <x:c r="D161" s="13" t="n">
        <x:f>LN('Source Data'!D161/'Source Data'!D$8)</x:f>
        <x:v>-9.502979409661329</x:v>
      </x:c>
      <x:c r="E161" s="13" t="n">
        <x:f>LN('Source Data'!E161/'Source Data'!E$8)</x:f>
        <x:v>-9.547697003522726</x:v>
      </x:c>
      <x:c r="F161" s="13" t="n">
        <x:f>SLOPE(C161:E161,'Source Data'!C$7:E$7)</x:f>
        <x:v>-0.06907494911706635</x:v>
      </x:c>
      <x:c r="G161" s="14" t="n">
        <x:f>EXP(F161)-1</x:f>
        <x:v>-0.06674326931104912</x:v>
      </x:c>
      <x:c r="H161" s="8" t="n">
        <x:f>'Source Data'!F161</x:f>
        <x:v>774</x:v>
      </x:c>
      <x:c r="I161" s="8" t="n">
        <x:f>'Source Data'!H161</x:f>
        <x:v>443</x:v>
      </x:c>
      <x:c r="J161" s="14" t="n">
        <x:f>I161/H161-1</x:f>
        <x:v>-0.42764857881136953</x:v>
      </x:c>
      <x:c r="K161" s="8" t="n">
        <x:f>H161*('Source Data'!H$8/'Source Data'!F$8)*EXP(F161*('Source Data'!H$7-'Source Data'!F$7))</x:f>
        <x:v>597.5632178969427</x:v>
      </x:c>
      <x:c r="L161" s="14" t="n">
        <x:f>I161/K161-1</x:f>
        <x:v>-0.2586558430435373</x:v>
      </x:c>
      <x:c r="M161" s="8" t="n">
        <x:f>'Source Data'!G161</x:f>
        <x:v>721</x:v>
      </x:c>
      <x:c r="N161" s="8" t="n">
        <x:f>M161*('Source Data'!H$8/'Source Data'!G$8)*EXP(F161*('Source Data'!H$7-'Source Data'!G$7))</x:f>
        <x:v>595.2203258202727</x:v>
      </x:c>
      <x:c r="O161" s="14" t="n">
        <x:f>I161/N161-1</x:f>
        <x:v>-0.2557377818213751</x:v>
      </x:c>
      <x:c r="P161" s="2" t="str"/>
    </x:row>
    <x:row r="162">
      <x:c r="A162" s="2" t="str">
        <x:f>'Source Data'!A162</x:f>
        <x:v>322291</x:v>
      </x:c>
      <x:c r="B162" s="2" t="str">
        <x:f>'Source Data'!B162</x:f>
        <x:v>Sanitary Paper Product Manufacturing</x:v>
      </x:c>
      <x:c r="C162" s="13" t="n">
        <x:f>LN('Source Data'!C162/'Source Data'!C$8)</x:f>
        <x:v>-9.800599077071885</x:v>
      </x:c>
      <x:c r="D162" s="13" t="n">
        <x:f>LN('Source Data'!D162/'Source Data'!D$8)</x:f>
        <x:v>-9.935385301800679</x:v>
      </x:c>
      <x:c r="E162" s="13" t="n">
        <x:f>LN('Source Data'!E162/'Source Data'!E$8)</x:f>
        <x:v>-9.925305157127925</x:v>
      </x:c>
      <x:c r="F162" s="13" t="n">
        <x:f>SLOPE(C162:E162,'Source Data'!C$7:E$7)</x:f>
        <x:v>-0.06235304002801989</x:v>
      </x:c>
      <x:c r="G162" s="14" t="n">
        <x:f>EXP(F162)-1</x:f>
        <x:v>-0.060448870924276865</x:v>
      </x:c>
      <x:c r="H162" s="8" t="n">
        <x:f>'Source Data'!F162</x:f>
        <x:v>719</x:v>
      </x:c>
      <x:c r="I162" s="8" t="n">
        <x:f>'Source Data'!H162</x:f>
        <x:v>858</x:v>
      </x:c>
      <x:c r="J162" s="14" t="n">
        <x:f>I162/H162-1</x:f>
        <x:v>0.1933240611961058</x:v>
      </x:c>
      <x:c r="K162" s="8" t="n">
        <x:f>H162*('Source Data'!H$8/'Source Data'!F$8)*EXP(F162*('Source Data'!H$7-'Source Data'!F$7))</x:f>
        <x:v>570.2285256694963</x:v>
      </x:c>
      <x:c r="L162" s="14" t="n">
        <x:f>I162/K162-1</x:f>
        <x:v>0.5046599062939472</x:v>
      </x:c>
      <x:c r="M162" s="8" t="n">
        <x:f>'Source Data'!G162</x:f>
        <x:v>734</x:v>
      </x:c>
      <x:c r="N162" s="8" t="n">
        <x:f>M162*('Source Data'!H$8/'Source Data'!G$8)*EXP(F162*('Source Data'!H$7-'Source Data'!G$7))</x:f>
        <x:v>618.2959653160599</x:v>
      </x:c>
      <x:c r="O162" s="14" t="n">
        <x:f>I162/N162-1</x:f>
        <x:v>0.38768494075714766</x:v>
      </x:c>
      <x:c r="P162" s="2" t="str"/>
    </x:row>
    <x:row r="163">
      <x:c r="A163" s="2" t="str">
        <x:f>'Source Data'!A163</x:f>
        <x:v>322299</x:v>
      </x:c>
      <x:c r="B163" s="2" t="str">
        <x:f>'Source Data'!B163</x:f>
        <x:v>All Other Converted Paper Product Manufacturing</x:v>
      </x:c>
      <x:c r="C163" s="13" t="n">
        <x:f>LN('Source Data'!C163/'Source Data'!C$8)</x:f>
        <x:v>-9.50161744936617</x:v>
      </x:c>
      <x:c r="D163" s="13" t="n">
        <x:f>LN('Source Data'!D163/'Source Data'!D$8)</x:f>
        <x:v>-9.590074116512262</x:v>
      </x:c>
      <x:c r="E163" s="13" t="n">
        <x:f>LN('Source Data'!E163/'Source Data'!E$8)</x:f>
        <x:v>-9.60685142600939</x:v>
      </x:c>
      <x:c r="F163" s="13" t="n">
        <x:f>SLOPE(C163:E163,'Source Data'!C$7:E$7)</x:f>
        <x:v>-0.05261698832160988</x:v>
      </x:c>
      <x:c r="G163" s="14" t="n">
        <x:f>EXP(F163)-1</x:f>
        <x:v>-0.051256677325787536</x:v>
      </x:c>
      <x:c r="H163" s="8" t="n">
        <x:f>'Source Data'!F163</x:f>
        <x:v>1046</x:v>
      </x:c>
      <x:c r="I163" s="8" t="n">
        <x:f>'Source Data'!H163</x:f>
        <x:v>810</x:v>
      </x:c>
      <x:c r="J163" s="14" t="n">
        <x:f>I163/H163-1</x:f>
        <x:v>-0.22562141491395793</x:v>
      </x:c>
      <x:c r="K163" s="8" t="n">
        <x:f>H163*('Source Data'!H$8/'Source Data'!F$8)*EXP(F163*('Source Data'!H$7-'Source Data'!F$7))</x:f>
        <x:v>862.5116848254032</x:v>
      </x:c>
      <x:c r="L163" s="14" t="n">
        <x:f>I163/K163-1</x:f>
        <x:v>-0.06088228803072171</x:v>
      </x:c>
      <x:c r="M163" s="8" t="n">
        <x:f>'Source Data'!G163</x:f>
        <x:v>1052</x:v>
      </x:c>
      <x:c r="N163" s="8" t="n">
        <x:f>M163*('Source Data'!H$8/'Source Data'!G$8)*EXP(F163*('Source Data'!H$7-'Source Data'!G$7))</x:f>
        <x:v>912.4331029179906</x:v>
      </x:c>
      <x:c r="O163" s="14" t="n">
        <x:f>I163/N163-1</x:f>
        <x:v>-0.11226368551338861</x:v>
      </x:c>
      <x:c r="P163" s="2" t="str"/>
    </x:row>
    <x:row r="164">
      <x:c r="A164" s="2" t="str">
        <x:f>'Source Data'!A164</x:f>
        <x:v>323111</x:v>
      </x:c>
      <x:c r="B164" s="2" t="str">
        <x:f>'Source Data'!B164</x:f>
        <x:v>Commercial Printing (except Screen and Books)</x:v>
      </x:c>
      <x:c r="C164" s="13" t="n">
        <x:f>LN('Source Data'!C164/'Source Data'!C$8)</x:f>
        <x:v>-6.210020381198671</x:v>
      </x:c>
      <x:c r="D164" s="13" t="n">
        <x:f>LN('Source Data'!D164/'Source Data'!D$8)</x:f>
        <x:v>-6.242207190561757</x:v>
      </x:c>
      <x:c r="E164" s="13" t="n">
        <x:f>LN('Source Data'!E164/'Source Data'!E$8)</x:f>
        <x:v>-6.2931923060975565</x:v>
      </x:c>
      <x:c r="F164" s="13" t="n">
        <x:f>SLOPE(C164:E164,'Source Data'!C$7:E$7)</x:f>
        <x:v>-0.04158596244944279</x:v>
      </x:c>
      <x:c r="G164" s="14" t="n">
        <x:f>EXP(F164)-1</x:f>
        <x:v>-0.040733129132790036</x:v>
      </x:c>
      <x:c r="H164" s="8" t="n">
        <x:f>'Source Data'!F164</x:f>
        <x:v>22360</x:v>
      </x:c>
      <x:c r="I164" s="8" t="n">
        <x:f>'Source Data'!H164</x:f>
        <x:v>19519</x:v>
      </x:c>
      <x:c r="J164" s="14" t="n">
        <x:f>I164/H164-1</x:f>
        <x:v>-0.12705724508050087</x:v>
      </x:c>
      <x:c r="K164" s="8" t="n">
        <x:f>H164*('Source Data'!H$8/'Source Data'!F$8)*EXP(F164*('Source Data'!H$7-'Source Data'!F$7))</x:f>
        <x:v>19269.38955845748</x:v>
      </x:c>
      <x:c r="L164" s="14" t="n">
        <x:f>I164/K164-1</x:f>
        <x:v>0.012953728543671827</x:v>
      </x:c>
      <x:c r="M164" s="8" t="n">
        <x:f>'Source Data'!G164</x:f>
        <x:v>21618</x:v>
      </x:c>
      <x:c r="N164" s="8" t="n">
        <x:f>M164*('Source Data'!H$8/'Source Data'!G$8)*EXP(F164*('Source Data'!H$7-'Source Data'!G$7))</x:f>
        <x:v>19380.85564101865</x:v>
      </x:c>
      <x:c r="O164" s="14" t="n">
        <x:f>I164/N164-1</x:f>
        <x:v>0.00712787719696828</x:v>
      </x:c>
      <x:c r="P164" s="2" t="str"/>
    </x:row>
    <x:row r="165">
      <x:c r="A165" s="2" t="str">
        <x:f>'Source Data'!A165</x:f>
        <x:v>323113</x:v>
      </x:c>
      <x:c r="B165" s="2" t="str">
        <x:f>'Source Data'!B165</x:f>
        <x:v>Commercial Screen Printing</x:v>
      </x:c>
      <x:c r="C165" s="13" t="n">
        <x:f>LN('Source Data'!C165/'Source Data'!C$8)</x:f>
        <x:v>-7.511616176889566</x:v>
      </x:c>
      <x:c r="D165" s="13" t="n">
        <x:f>LN('Source Data'!D165/'Source Data'!D$8)</x:f>
        <x:v>-7.481923648195973</x:v>
      </x:c>
      <x:c r="E165" s="13" t="n">
        <x:f>LN('Source Data'!E165/'Source Data'!E$8)</x:f>
        <x:v>-7.556551690608917</x:v>
      </x:c>
      <x:c r="F165" s="13" t="n">
        <x:f>SLOPE(C165:E165,'Source Data'!C$7:E$7)</x:f>
        <x:v>-0.022467756859675614</x:v>
      </x:c>
      <x:c r="G165" s="14" t="n">
        <x:f>EXP(F165)-1</x:f>
        <x:v>-0.02221723652807006</x:v>
      </x:c>
      <x:c r="H165" s="8" t="n">
        <x:f>'Source Data'!F165</x:f>
        <x:v>7675</x:v>
      </x:c>
      <x:c r="I165" s="8" t="n">
        <x:f>'Source Data'!H165</x:f>
        <x:v>7257</x:v>
      </x:c>
      <x:c r="J165" s="14" t="n">
        <x:f>I165/H165-1</x:f>
        <x:v>-0.054462540716612384</x:v>
      </x:c>
      <x:c r="K165" s="8" t="n">
        <x:f>H165*('Source Data'!H$8/'Source Data'!F$8)*EXP(F165*('Source Data'!H$7-'Source Data'!F$7))</x:f>
        <x:v>7139.803615444573</x:v>
      </x:c>
      <x:c r="L165" s="14" t="n">
        <x:f>I165/K165-1</x:f>
        <x:v>0.01641451094003643</x:v>
      </x:c>
      <x:c r="M165" s="8" t="n">
        <x:f>'Source Data'!G165</x:f>
        <x:v>7582</x:v>
      </x:c>
      <x:c r="N165" s="8" t="n">
        <x:f>M165*('Source Data'!H$8/'Source Data'!G$8)*EXP(F165*('Source Data'!H$7-'Source Data'!G$7))</x:f>
        <x:v>7198.632583888786</x:v>
      </x:c>
      <x:c r="O165" s="14" t="n">
        <x:f>I165/N165-1</x:f>
        <x:v>0.008108125457304993</x:v>
      </x:c>
      <x:c r="P165" s="2" t="str"/>
    </x:row>
    <x:row r="166">
      <x:c r="A166" s="2" t="str">
        <x:f>'Source Data'!A166</x:f>
        <x:v>323117</x:v>
      </x:c>
      <x:c r="B166" s="2" t="str">
        <x:f>'Source Data'!B166</x:f>
        <x:v>Books Printing</x:v>
      </x:c>
      <x:c r="C166" s="13" t="n">
        <x:f>LN('Source Data'!C166/'Source Data'!C$8)</x:f>
        <x:v>-9.562417648393135</x:v>
      </x:c>
      <x:c r="D166" s="13" t="n">
        <x:f>LN('Source Data'!D166/'Source Data'!D$8)</x:f>
        <x:v>-9.625701294155412</x:v>
      </x:c>
      <x:c r="E166" s="13" t="n">
        <x:f>LN('Source Data'!E166/'Source Data'!E$8)</x:f>
        <x:v>-9.718782487049754</x:v>
      </x:c>
      <x:c r="F166" s="13" t="n">
        <x:f>SLOPE(C166:E166,'Source Data'!C$7:E$7)</x:f>
        <x:v>-0.07818241932830983</x:v>
      </x:c>
      <x:c r="G166" s="14" t="n">
        <x:f>EXP(F166)-1</x:f>
        <x:v>-0.07520428945686364</x:v>
      </x:c>
      <x:c r="H166" s="8" t="n">
        <x:f>'Source Data'!F166</x:f>
        <x:v>553</x:v>
      </x:c>
      <x:c r="I166" s="8" t="n">
        <x:f>'Source Data'!H166</x:f>
        <x:v>434</x:v>
      </x:c>
      <x:c r="J166" s="14" t="n">
        <x:f>I166/H166-1</x:f>
        <x:v>-0.21518987341772156</x:v>
      </x:c>
      <x:c r="K166" s="8" t="n">
        <x:f>H166*('Source Data'!H$8/'Source Data'!F$8)*EXP(F166*('Source Data'!H$7-'Source Data'!F$7))</x:f>
        <x:v>411.6676418707935</x:v>
      </x:c>
      <x:c r="L166" s="14" t="n">
        <x:f>I166/K166-1</x:f>
        <x:v>0.054248514718618024</x:v>
      </x:c>
      <x:c r="M166" s="8" t="n">
        <x:f>'Source Data'!G166</x:f>
        <x:v>467</x:v>
      </x:c>
      <x:c r="N166" s="8" t="n">
        <x:f>M166*('Source Data'!H$8/'Source Data'!G$8)*EXP(F166*('Source Data'!H$7-'Source Data'!G$7))</x:f>
        <x:v>375.14001973891146</x:v>
      </x:c>
      <x:c r="O166" s="14" t="n">
        <x:f>I166/N166-1</x:f>
        <x:v>0.15690136259536813</x:v>
      </x:c>
      <x:c r="P166" s="2" t="str"/>
    </x:row>
    <x:row r="167">
      <x:c r="A167" s="2" t="str">
        <x:f>'Source Data'!A167</x:f>
        <x:v>323120</x:v>
      </x:c>
      <x:c r="B167" s="2" t="str">
        <x:f>'Source Data'!B167</x:f>
        <x:v>Support Activites for Printing</x:v>
      </x:c>
      <x:c r="C167" s="13" t="n">
        <x:f>LN('Source Data'!C167/'Source Data'!C$8)</x:f>
        <x:v>-8.672133825254093</x:v>
      </x:c>
      <x:c r="D167" s="13" t="n">
        <x:f>LN('Source Data'!D167/'Source Data'!D$8)</x:f>
        <x:v>-8.89293491468278</x:v>
      </x:c>
      <x:c r="E167" s="13" t="n">
        <x:f>LN('Source Data'!E167/'Source Data'!E$8)</x:f>
        <x:v>-8.993205973937485</x:v>
      </x:c>
      <x:c r="F167" s="13" t="n">
        <x:f>SLOPE(C167:E167,'Source Data'!C$7:E$7)</x:f>
        <x:v>-0.16053607434169592</x:v>
      </x:c>
      <x:c r="G167" s="14" t="n">
        <x:f>EXP(F167)-1</x:f>
        <x:v>-0.14831290103365669</x:v>
      </x:c>
      <x:c r="H167" s="8" t="n">
        <x:f>'Source Data'!F167</x:f>
        <x:v>1446</x:v>
      </x:c>
      <x:c r="I167" s="8" t="n">
        <x:f>'Source Data'!H167</x:f>
        <x:v>773</x:v>
      </x:c>
      <x:c r="J167" s="14" t="n">
        <x:f>I167/H167-1</x:f>
        <x:v>-0.4654218533886584</x:v>
      </x:c>
      <x:c r="K167" s="8" t="n">
        <x:f>H167*('Source Data'!H$8/'Source Data'!F$8)*EXP(F167*('Source Data'!H$7-'Source Data'!F$7))</x:f>
        <x:v>774.3315263113749</x:v>
      </x:c>
      <x:c r="L167" s="14" t="n">
        <x:f>I167/K167-1</x:f>
        <x:v>-0.001719581685790006</x:v>
      </x:c>
      <x:c r="M167" s="8" t="n">
        <x:f>'Source Data'!G167</x:f>
        <x:v>1249</x:v>
      </x:c>
      <x:c r="N167" s="8" t="n">
        <x:f>M167*('Source Data'!H$8/'Source Data'!G$8)*EXP(F167*('Source Data'!H$7-'Source Data'!G$7))</x:f>
        <x:v>783.6853728519843</x:v>
      </x:c>
      <x:c r="O167" s="14" t="n">
        <x:f>I167/N167-1</x:f>
        <x:v>-0.013634773880107254</x:v>
      </x:c>
      <x:c r="P167" s="2" t="str"/>
    </x:row>
    <x:row r="168">
      <x:c r="A168" s="2" t="str">
        <x:f>'Source Data'!A168</x:f>
        <x:v>324110</x:v>
      </x:c>
      <x:c r="B168" s="2" t="str">
        <x:f>'Source Data'!B168</x:f>
        <x:v>Petroleum Refineries</x:v>
      </x:c>
      <x:c r="C168" s="13" t="n">
        <x:f>LN('Source Data'!C168/'Source Data'!C$8)</x:f>
        <x:v>-7.153368171615985</x:v>
      </x:c>
      <x:c r="D168" s="13" t="n">
        <x:f>LN('Source Data'!D168/'Source Data'!D$8)</x:f>
        <x:v>-7.187281763101191</x:v>
      </x:c>
      <x:c r="E168" s="13" t="n">
        <x:f>LN('Source Data'!E168/'Source Data'!E$8)</x:f>
        <x:v>-7.228304792212299</x:v>
      </x:c>
      <x:c r="F168" s="13" t="n">
        <x:f>SLOPE(C168:E168,'Source Data'!C$7:E$7)</x:f>
        <x:v>-0.037468310298157004</x:v>
      </x:c>
      <x:c r="G168" s="14" t="n">
        <x:f>EXP(F168)-1</x:f>
        <x:v>-0.03677505845162088</x:v>
      </x:c>
      <x:c r="H168" s="8" t="n">
        <x:f>'Source Data'!F168</x:f>
        <x:v>8698</x:v>
      </x:c>
      <x:c r="I168" s="8" t="n">
        <x:f>'Source Data'!H168</x:f>
        <x:v>8135</x:v>
      </x:c>
      <x:c r="J168" s="14" t="n">
        <x:f>I168/H168-1</x:f>
        <x:v>-0.06472752356863642</x:v>
      </x:c>
      <x:c r="K168" s="8" t="n">
        <x:f>H168*('Source Data'!H$8/'Source Data'!F$8)*EXP(F168*('Source Data'!H$7-'Source Data'!F$7))</x:f>
        <x:v>7620.240097662795</x:v>
      </x:c>
      <x:c r="L168" s="14" t="n">
        <x:f>I168/K168-1</x:f>
        <x:v>0.06755166448037331</x:v>
      </x:c>
      <x:c r="M168" s="8" t="n">
        <x:f>'Source Data'!G168</x:f>
        <x:v>8900</x:v>
      </x:c>
      <x:c r="N168" s="8" t="n">
        <x:f>M168*('Source Data'!H$8/'Source Data'!G$8)*EXP(F168*('Source Data'!H$7-'Source Data'!G$7))</x:f>
        <x:v>8078.15648261919</x:v>
      </x:c>
      <x:c r="O168" s="14" t="n">
        <x:f>I168/N168-1</x:f>
        <x:v>0.007036694263488741</x:v>
      </x:c>
      <x:c r="P168" s="2" t="str"/>
    </x:row>
    <x:row r="169">
      <x:c r="A169" s="2" t="str">
        <x:f>'Source Data'!A169</x:f>
        <x:v>324121</x:v>
      </x:c>
      <x:c r="B169" s="2" t="str">
        <x:f>'Source Data'!B169</x:f>
        <x:v>Asphalt Paving Mixture and Block Manufacturing</x:v>
      </x:c>
      <x:c r="C169" s="13" t="n">
        <x:f>LN('Source Data'!C169/'Source Data'!C$8)</x:f>
        <x:v>-10.129524108057716</x:v>
      </x:c>
      <x:c r="D169" s="13" t="n">
        <x:f>LN('Source Data'!D169/'Source Data'!D$8)</x:f>
        <x:v>-10.251722630012836</x:v>
      </x:c>
      <x:c r="E169" s="13" t="n">
        <x:f>LN('Source Data'!E169/'Source Data'!E$8)</x:f>
        <x:v>-10.360748111308192</x:v>
      </x:c>
      <x:c r="F169" s="13" t="n">
        <x:f>SLOPE(C169:E169,'Source Data'!C$7:E$7)</x:f>
        <x:v>-0.11561200162523821</x:v>
      </x:c>
      <x:c r="G169" s="14" t="n">
        <x:f>EXP(F169)-1</x:f>
        <x:v>-0.10917920672716319</x:v>
      </x:c>
      <x:c r="H169" s="8" t="n">
        <x:f>'Source Data'!F169</x:f>
        <x:v>331</x:v>
      </x:c>
      <x:c r="I169" s="8" t="n">
        <x:f>'Source Data'!H169</x:f>
        <x:v>400</x:v>
      </x:c>
      <x:c r="J169" s="14" t="n">
        <x:f>I169/H169-1</x:f>
        <x:v>0.2084592145015105</x:v>
      </x:c>
      <x:c r="K169" s="8" t="n">
        <x:f>H169*('Source Data'!H$8/'Source Data'!F$8)*EXP(F169*('Source Data'!H$7-'Source Data'!F$7))</x:f>
        <x:v>212.1425329450323</x:v>
      </x:c>
      <x:c r="L169" s="14" t="n">
        <x:f>I169/K169-1</x:f>
        <x:v>0.8855247669907051</x:v>
      </x:c>
      <x:c r="M169" s="8" t="n">
        <x:f>'Source Data'!G169</x:f>
        <x:v>366</x:v>
      </x:c>
      <x:c r="N169" s="8" t="n">
        <x:f>M169*('Source Data'!H$8/'Source Data'!G$8)*EXP(F169*('Source Data'!H$7-'Source Data'!G$7))</x:f>
        <x:v>262.77934065365736</x:v>
      </x:c>
      <x:c r="O169" s="14" t="n">
        <x:f>I169/N169-1</x:f>
        <x:v>0.5221896782487143</x:v>
      </x:c>
      <x:c r="P169" s="2" t="str"/>
    </x:row>
    <x:row r="170">
      <x:c r="A170" s="2" t="str">
        <x:f>'Source Data'!A170</x:f>
        <x:v>324122</x:v>
      </x:c>
      <x:c r="B170" s="2" t="str">
        <x:f>'Source Data'!B170</x:f>
        <x:v>Asphalt Shingle and Coating Materials Manufacturing</x:v>
      </x:c>
      <x:c r="C170" s="13" t="n">
        <x:f>LN('Source Data'!C170/'Source Data'!C$8)</x:f>
        <x:v>-9.869862547938109</x:v>
      </x:c>
      <x:c r="D170" s="13" t="n">
        <x:f>LN('Source Data'!D170/'Source Data'!D$8)</x:f>
        <x:v>-9.869788019314866</x:v>
      </x:c>
      <x:c r="E170" s="13" t="n">
        <x:f>LN('Source Data'!E170/'Source Data'!E$8)</x:f>
        <x:v>-9.946124784910314</x:v>
      </x:c>
      <x:c r="F170" s="13" t="n">
        <x:f>SLOPE(C170:E170,'Source Data'!C$7:E$7)</x:f>
        <x:v>-0.03813111848610262</x:v>
      </x:c>
      <x:c r="G170" s="14" t="n">
        <x:f>EXP(F170)-1</x:f>
        <x:v>-0.03741328029701518</x:v>
      </x:c>
      <x:c r="H170" s="8" t="n">
        <x:f>'Source Data'!F170</x:f>
        <x:v>781</x:v>
      </x:c>
      <x:c r="I170" s="8" t="n">
        <x:f>'Source Data'!H170</x:f>
        <x:v>843</x:v>
      </x:c>
      <x:c r="J170" s="14" t="n">
        <x:f>I170/H170-1</x:f>
        <x:v>0.0793854033290653</x:v>
      </x:c>
      <x:c r="K170" s="8" t="n">
        <x:f>H170*('Source Data'!H$8/'Source Data'!F$8)*EXP(F170*('Source Data'!H$7-'Source Data'!F$7))</x:f>
        <x:v>682.4154802945538</x:v>
      </x:c>
      <x:c r="L170" s="14" t="n">
        <x:f>I170/K170-1</x:f>
        <x:v>0.23531781494190662</x:v>
      </x:c>
      <x:c r="M170" s="8" t="n">
        <x:f>'Source Data'!G170</x:f>
        <x:v>677</x:v>
      </x:c>
      <x:c r="N170" s="8" t="n">
        <x:f>M170*('Source Data'!H$8/'Source Data'!G$8)*EXP(F170*('Source Data'!H$7-'Source Data'!G$7))</x:f>
        <x:v>613.2638454285953</x:v>
      </x:c>
      <x:c r="O170" s="14" t="n">
        <x:f>I170/N170-1</x:f>
        <x:v>0.37461225911801077</x:v>
      </x:c>
      <x:c r="P170" s="2" t="str"/>
    </x:row>
    <x:row r="171">
      <x:c r="A171" s="2" t="str">
        <x:f>'Source Data'!A171</x:f>
        <x:v>325120</x:v>
      </x:c>
      <x:c r="B171" s="2" t="str">
        <x:f>'Source Data'!B171</x:f>
        <x:v>Industrial Gas Manufacturing</x:v>
      </x:c>
      <x:c r="C171" s="13" t="n">
        <x:f>LN('Source Data'!C171/'Source Data'!C$8)</x:f>
        <x:v>-9.289016164363986</x:v>
      </x:c>
      <x:c r="D171" s="13" t="n">
        <x:f>LN('Source Data'!D171/'Source Data'!D$8)</x:f>
        <x:v>-9.410255689936426</x:v>
      </x:c>
      <x:c r="E171" s="13" t="n">
        <x:f>LN('Source Data'!E171/'Source Data'!E$8)</x:f>
        <x:v>-9.401650095758576</x:v>
      </x:c>
      <x:c r="F171" s="13" t="n">
        <x:f>SLOPE(C171:E171,'Source Data'!C$7:E$7)</x:f>
        <x:v>-0.056316965697295274</x:v>
      </x:c>
      <x:c r="G171" s="14" t="n">
        <x:f>EXP(F171)-1</x:f>
        <x:v>-0.054760520088289244</x:v>
      </x:c>
      <x:c r="H171" s="8" t="n">
        <x:f>'Source Data'!F171</x:f>
        <x:v>1347</x:v>
      </x:c>
      <x:c r="I171" s="8" t="n">
        <x:f>'Source Data'!H171</x:f>
        <x:v>1376</x:v>
      </x:c>
      <x:c r="J171" s="14" t="n">
        <x:f>I171/H171-1</x:f>
        <x:v>0.021529324424647278</x:v>
      </x:c>
      <x:c r="K171" s="8" t="n">
        <x:f>H171*('Source Data'!H$8/'Source Data'!F$8)*EXP(F171*('Source Data'!H$7-'Source Data'!F$7))</x:f>
        <x:v>1094.3931839359132</x:v>
      </x:c>
      <x:c r="L171" s="14" t="n">
        <x:f>I171/K171-1</x:f>
        <x:v>0.25731777225741337</x:v>
      </x:c>
      <x:c r="M171" s="8" t="n">
        <x:f>'Source Data'!G171</x:f>
        <x:v>1429</x:v>
      </x:c>
      <x:c r="N171" s="8" t="n">
        <x:f>M171*('Source Data'!H$8/'Source Data'!G$8)*EXP(F171*('Source Data'!H$7-'Source Data'!G$7))</x:f>
        <x:v>1225.7358339326038</x:v>
      </x:c>
      <x:c r="O171" s="14" t="n">
        <x:f>I171/N171-1</x:f>
        <x:v>0.12259098731355067</x:v>
      </x:c>
      <x:c r="P171" s="2" t="str"/>
    </x:row>
    <x:row r="172">
      <x:c r="A172" s="2" t="str">
        <x:f>'Source Data'!A172</x:f>
        <x:v>325180</x:v>
      </x:c>
      <x:c r="B172" s="2" t="str">
        <x:f>'Source Data'!B172</x:f>
        <x:v>Other Basic Inorganic Chemical Manufacturing</x:v>
      </x:c>
      <x:c r="C172" s="13" t="n">
        <x:f>LN('Source Data'!C172/'Source Data'!C$8)</x:f>
        <x:v>-8.986307513152852</x:v>
      </x:c>
      <x:c r="D172" s="13" t="n">
        <x:f>LN('Source Data'!D172/'Source Data'!D$8)</x:f>
        <x:v>-9.027605259594432</x:v>
      </x:c>
      <x:c r="E172" s="13" t="n">
        <x:f>LN('Source Data'!E172/'Source Data'!E$8)</x:f>
        <x:v>-8.968632087808084</x:v>
      </x:c>
      <x:c r="F172" s="13" t="n">
        <x:f>SLOPE(C172:E172,'Source Data'!C$7:E$7)</x:f>
        <x:v>0.00883771267238398</x:v>
      </x:c>
      <x:c r="G172" s="14" t="n">
        <x:f>EXP(F172)-1</x:f>
        <x:v>0.008876880554825828</x:v>
      </x:c>
      <x:c r="H172" s="8" t="n">
        <x:f>'Source Data'!F172</x:f>
        <x:v>1874</x:v>
      </x:c>
      <x:c r="I172" s="8" t="n">
        <x:f>'Source Data'!H172</x:f>
        <x:v>1962</x:v>
      </x:c>
      <x:c r="J172" s="14" t="n">
        <x:f>I172/H172-1</x:f>
        <x:v>0.046958377801494144</x:v>
      </x:c>
      <x:c r="K172" s="8" t="n">
        <x:f>H172*('Source Data'!H$8/'Source Data'!F$8)*EXP(F172*('Source Data'!H$7-'Source Data'!F$7))</x:f>
        <x:v>1975.880337614828</x:v>
      </x:c>
      <x:c r="L172" s="14" t="n">
        <x:f>I172/K172-1</x:f>
        <x:v>-0.007024887768043442</x:v>
      </x:c>
      <x:c r="M172" s="8" t="n">
        <x:f>'Source Data'!G172</x:f>
        <x:v>1957</x:v>
      </x:c>
      <x:c r="N172" s="8" t="n">
        <x:f>M172*('Source Data'!H$8/'Source Data'!G$8)*EXP(F172*('Source Data'!H$7-'Source Data'!G$7))</x:f>
        <x:v>2041.0067050410707</x:v>
      </x:c>
      <x:c r="O172" s="14" t="n">
        <x:f>I172/N172-1</x:f>
        <x:v>-0.03870967441994799</x:v>
      </x:c>
      <x:c r="P172" s="2" t="str"/>
    </x:row>
    <x:row r="173">
      <x:c r="A173" s="2" t="str">
        <x:f>'Source Data'!A173</x:f>
        <x:v>325199</x:v>
      </x:c>
      <x:c r="B173" s="2" t="str">
        <x:f>'Source Data'!B173</x:f>
        <x:v>All Other Basic Organic Chemical Manufacturing</x:v>
      </x:c>
      <x:c r="C173" s="13" t="n">
        <x:f>LN('Source Data'!C173/'Source Data'!C$8)</x:f>
        <x:v>-9.134973633566196</x:v>
      </x:c>
      <x:c r="D173" s="13" t="n">
        <x:f>LN('Source Data'!D173/'Source Data'!D$8)</x:f>
        <x:v>-9.158291700086725</x:v>
      </x:c>
      <x:c r="E173" s="13" t="n">
        <x:f>LN('Source Data'!E173/'Source Data'!E$8)</x:f>
        <x:v>-9.163806336266834</x:v>
      </x:c>
      <x:c r="F173" s="13" t="n">
        <x:f>SLOPE(C173:E173,'Source Data'!C$7:E$7)</x:f>
        <x:v>-0.014416351350319268</x:v>
      </x:c>
      <x:c r="G173" s="14" t="n">
        <x:f>EXP(F173)-1</x:f>
        <x:v>-0.014312933323860078</x:v>
      </x:c>
      <x:c r="H173" s="8" t="n">
        <x:f>'Source Data'!F173</x:f>
        <x:v>2125</x:v>
      </x:c>
      <x:c r="I173" s="8" t="n">
        <x:f>'Source Data'!H173</x:f>
        <x:v>1788</x:v>
      </x:c>
      <x:c r="J173" s="14" t="n">
        <x:f>I173/H173-1</x:f>
        <x:v>-0.1585882352941177</x:v>
      </x:c>
      <x:c r="K173" s="8" t="n">
        <x:f>H173*('Source Data'!H$8/'Source Data'!F$8)*EXP(F173*('Source Data'!H$7-'Source Data'!F$7))</x:f>
        <x:v>2041.5195378539665</x:v>
      </x:c>
      <x:c r="L173" s="14" t="n">
        <x:f>I173/K173-1</x:f>
        <x:v>-0.12418178379055089</x:v>
      </x:c>
      <x:c r="M173" s="8" t="n">
        <x:f>'Source Data'!G173</x:f>
        <x:v>2391</x:v>
      </x:c>
      <x:c r="N173" s="8" t="n">
        <x:f>M173*('Source Data'!H$8/'Source Data'!G$8)*EXP(F173*('Source Data'!H$7-'Source Data'!G$7))</x:f>
        <x:v>2325.604434291748</x:v>
      </x:c>
      <x:c r="O173" s="14" t="n">
        <x:f>I173/N173-1</x:f>
        <x:v>-0.23116761662671703</x:v>
      </x:c>
      <x:c r="P173" s="2" t="str"/>
    </x:row>
    <x:row r="174">
      <x:c r="A174" s="2" t="str">
        <x:f>'Source Data'!A174</x:f>
        <x:v>325211</x:v>
      </x:c>
      <x:c r="B174" s="2" t="str">
        <x:f>'Source Data'!B174</x:f>
        <x:v>Plastics Material and Resin Manufacturing</x:v>
      </x:c>
      <x:c r="C174" s="13" t="n">
        <x:f>LN('Source Data'!C174/'Source Data'!C$8)</x:f>
        <x:v>-8.72626913163078</x:v>
      </x:c>
      <x:c r="D174" s="13" t="n">
        <x:f>LN('Source Data'!D174/'Source Data'!D$8)</x:f>
        <x:v>-8.655157920514942</x:v>
      </x:c>
      <x:c r="E174" s="13" t="n">
        <x:f>LN('Source Data'!E174/'Source Data'!E$8)</x:f>
        <x:v>-8.73907117713937</x:v>
      </x:c>
      <x:c r="F174" s="13" t="n">
        <x:f>SLOPE(C174:E174,'Source Data'!C$7:E$7)</x:f>
        <x:v>-0.00640102275429566</x:v>
      </x:c>
      <x:c r="G174" s="14" t="n">
        <x:f>EXP(F174)-1</x:f>
        <x:v>-0.006380579849900814</x:v>
      </x:c>
      <x:c r="H174" s="8" t="n">
        <x:f>'Source Data'!F174</x:f>
        <x:v>2015</x:v>
      </x:c>
      <x:c r="I174" s="8" t="n">
        <x:f>'Source Data'!H174</x:f>
        <x:v>1664</x:v>
      </x:c>
      <x:c r="J174" s="14" t="n">
        <x:f>I174/H174-1</x:f>
        <x:v>-0.17419354838709677</x:v>
      </x:c>
      <x:c r="K174" s="8" t="n">
        <x:f>H174*('Source Data'!H$8/'Source Data'!F$8)*EXP(F174*('Source Data'!H$7-'Source Data'!F$7))</x:f>
        <x:v>1998.9121538006473</x:v>
      </x:c>
      <x:c r="L174" s="14" t="n">
        <x:f>I174/K174-1</x:f>
        <x:v>-0.16754720969796466</x:v>
      </x:c>
      <x:c r="M174" s="8" t="n">
        <x:f>'Source Data'!G174</x:f>
        <x:v>1811</x:v>
      </x:c>
      <x:c r="N174" s="8" t="n">
        <x:f>M174*('Source Data'!H$8/'Source Data'!G$8)*EXP(F174*('Source Data'!H$7-'Source Data'!G$7))</x:f>
        <x:v>1804.337436495455</x:v>
      </x:c>
      <x:c r="O174" s="14" t="n">
        <x:f>I174/N174-1</x:f>
        <x:v>-0.07777782229472052</x:v>
      </x:c>
      <x:c r="P174" s="2" t="str"/>
    </x:row>
    <x:row r="175">
      <x:c r="A175" s="2" t="str">
        <x:f>'Source Data'!A175</x:f>
        <x:v>325212</x:v>
      </x:c>
      <x:c r="B175" s="2" t="str">
        <x:f>'Source Data'!B175</x:f>
        <x:v>Synthetic Rubber Manufacturing</x:v>
      </x:c>
      <x:c r="C175" s="13" t="n">
        <x:f>LN('Source Data'!C175/'Source Data'!C$8)</x:f>
        <x:v>-10.246649465295127</x:v>
      </x:c>
      <x:c r="D175" s="13" t="n">
        <x:f>LN('Source Data'!D175/'Source Data'!D$8)</x:f>
        <x:v>-10.742087181907486</x:v>
      </x:c>
      <x:c r="E175" s="13" t="n">
        <x:f>LN('Source Data'!E175/'Source Data'!E$8)</x:f>
        <x:v>-10.731781022994873</x:v>
      </x:c>
      <x:c r="F175" s="13" t="n">
        <x:f>SLOPE(C175:E175,'Source Data'!C$7:E$7)</x:f>
        <x:v>-0.2425657788498734</x:v>
      </x:c>
      <x:c r="G175" s="14" t="n">
        <x:f>EXP(F175)-1</x:f>
        <x:v>-0.21538786500260387</x:v>
      </x:c>
      <x:c r="H175" s="8" t="n">
        <x:f>'Source Data'!F175</x:f>
        <x:v>301</x:v>
      </x:c>
      <x:c r="I175" s="8" t="n">
        <x:f>'Source Data'!H175</x:f>
        <x:v>314</x:v>
      </x:c>
      <x:c r="J175" s="14" t="n">
        <x:f>I175/H175-1</x:f>
        <x:v>0.04318936877076407</x:v>
      </x:c>
      <x:c r="K175" s="8" t="n">
        <x:f>H175*('Source Data'!H$8/'Source Data'!F$8)*EXP(F175*('Source Data'!H$7-'Source Data'!F$7))</x:f>
        <x:v>116.0980571691936</x:v>
      </x:c>
      <x:c r="L175" s="14" t="n">
        <x:f>I175/K175-1</x:f>
        <x:v>1.7046102894073178</x:v>
      </x:c>
      <x:c r="M175" s="8" t="n">
        <x:f>'Source Data'!G175</x:f>
        <x:v>296</x:v>
      </x:c>
      <x:c r="N175" s="8" t="n">
        <x:f>M175*('Source Data'!H$8/'Source Data'!G$8)*EXP(F175*('Source Data'!H$7-'Source Data'!G$7))</x:f>
        <x:v>145.20978070365672</x:v>
      </x:c>
      <x:c r="O175" s="14" t="n">
        <x:f>I175/N175-1</x:f>
        <x:v>1.1623887762822904</x:v>
      </x:c>
      <x:c r="P175" s="2" t="str"/>
    </x:row>
    <x:row r="176">
      <x:c r="A176" s="2" t="str">
        <x:f>'Source Data'!A176</x:f>
        <x:v>325220</x:v>
      </x:c>
      <x:c r="B176" s="2" t="str">
        <x:f>'Source Data'!B176</x:f>
        <x:v>Artificial and Synthetic Fibers and Filaments Manufacturing</x:v>
      </x:c>
      <x:c r="C176" s="13" t="n">
        <x:f>LN('Source Data'!C176/'Source Data'!C$8)</x:f>
        <x:v>-11.74777265017397</x:v>
      </x:c>
      <x:c r="D176" s="13" t="n">
        <x:f>LN('Source Data'!D176/'Source Data'!D$8)</x:f>
        <x:v>-11.761630947099905</x:v>
      </x:c>
      <x:c r="E176" s="13" t="n">
        <x:f>LN('Source Data'!E176/'Source Data'!E$8)</x:f>
        <x:v>-11.073188494802817</x:v>
      </x:c>
      <x:c r="F176" s="13" t="n">
        <x:f>SLOPE(C176:E176,'Source Data'!C$7:E$7)</x:f>
        <x:v>0.3372920776855759</x:v>
      </x:c>
      <x:c r="G176" s="14" t="n">
        <x:f>EXP(F176)-1</x:f>
        <x:v>0.4011482481162718</x:v>
      </x:c>
      <x:c r="H176" s="8" t="n">
        <x:f>'Source Data'!F176</x:f>
        <x:v>81</x:v>
      </x:c>
      <x:c r="I176" s="8" t="n">
        <x:f>'Source Data'!H176</x:f>
        <x:v>81</x:v>
      </x:c>
      <x:c r="J176" s="14" t="n">
        <x:f>I176/H176-1</x:f>
        <x:v>0</x:v>
      </x:c>
      <x:c r="K176" s="8" t="n">
        <x:f>H176*('Source Data'!H$8/'Source Data'!F$8)*EXP(F176*('Source Data'!H$7-'Source Data'!F$7))</x:f>
        <x:v>317.73111364243346</x:v>
      </x:c>
      <x:c r="L176" s="14" t="n">
        <x:f>I176/K176-1</x:f>
        <x:v>-0.7450674594898019</x:v>
      </x:c>
      <x:c r="M176" s="8" t="n">
        <x:f>'Source Data'!G176</x:f>
        <x:v>89</x:v>
      </x:c>
      <x:c r="N176" s="8" t="n">
        <x:f>M176*('Source Data'!H$8/'Source Data'!G$8)*EXP(F176*('Source Data'!H$7-'Source Data'!G$7))</x:f>
        <x:v>248.64593714038148</x:v>
      </x:c>
      <x:c r="O176" s="14" t="n">
        <x:f>I176/N176-1</x:f>
        <x:v>-0.6742355779806339</x:v>
      </x:c>
      <x:c r="P176" s="2" t="str"/>
    </x:row>
    <x:row r="177">
      <x:c r="A177" s="2" t="str">
        <x:f>'Source Data'!A177</x:f>
        <x:v>325311</x:v>
      </x:c>
      <x:c r="B177" s="2" t="str">
        <x:f>'Source Data'!B177</x:f>
        <x:v>Nitrogenous Fertilizer Manufacturing</x:v>
      </x:c>
      <x:c r="C177" s="13" t="n">
        <x:f>LN('Source Data'!C177/'Source Data'!C$8)</x:f>
        <x:v>-10.252584200814942</x:v>
      </x:c>
      <x:c r="D177" s="13" t="n">
        <x:f>LN('Source Data'!D177/'Source Data'!D$8)</x:f>
        <x:v>-10.198880148638457</x:v>
      </x:c>
      <x:c r="E177" s="13" t="n">
        <x:f>LN('Source Data'!E177/'Source Data'!E$8)</x:f>
        <x:v>-10.211157402902629</x:v>
      </x:c>
      <x:c r="F177" s="13" t="n">
        <x:f>SLOPE(C177:E177,'Source Data'!C$7:E$7)</x:f>
        <x:v>0.02071339895615676</x:v>
      </x:c>
      <x:c r="G177" s="14" t="n">
        <x:f>EXP(F177)-1</x:f>
        <x:v>0.02092941026919748</x:v>
      </x:c>
      <x:c r="H177" s="8" t="n">
        <x:f>'Source Data'!F177</x:f>
        <x:v>841</x:v>
      </x:c>
      <x:c r="I177" s="8" t="n">
        <x:f>'Source Data'!H177</x:f>
        <x:v>774</x:v>
      </x:c>
      <x:c r="J177" s="14" t="n">
        <x:f>I177/H177-1</x:f>
        <x:v>-0.07966706302021398</x:v>
      </x:c>
      <x:c r="K177" s="8" t="n">
        <x:f>H177*('Source Data'!H$8/'Source Data'!F$8)*EXP(F177*('Source Data'!H$7-'Source Data'!F$7))</x:f>
        <x:v>929.8592781644521</x:v>
      </x:c>
      <x:c r="L177" s="14" t="n">
        <x:f>I177/K177-1</x:f>
        <x:v>-0.1676159842940098</x:v>
      </x:c>
      <x:c r="M177" s="8" t="n">
        <x:f>'Source Data'!G177</x:f>
        <x:v>732</x:v>
      </x:c>
      <x:c r="N177" s="8" t="n">
        <x:f>M177*('Source Data'!H$8/'Source Data'!G$8)*EXP(F177*('Source Data'!H$7-'Source Data'!G$7))</x:f>
        <x:v>791.1108154932433</x:v>
      </x:c>
      <x:c r="O177" s="14" t="n">
        <x:f>I177/N177-1</x:f>
        <x:v>-0.021628847891018932</x:v>
      </x:c>
      <x:c r="P177" s="2" t="str"/>
    </x:row>
    <x:row r="178">
      <x:c r="A178" s="2" t="str">
        <x:f>'Source Data'!A178</x:f>
        <x:v>325320</x:v>
      </x:c>
      <x:c r="B178" s="2" t="str">
        <x:f>'Source Data'!B178</x:f>
        <x:v>Pesticide and Other Agricultural Chemical Manufacturing</x:v>
      </x:c>
      <x:c r="C178" s="13" t="n">
        <x:f>LN('Source Data'!C178/'Source Data'!C$8)</x:f>
        <x:v>-10.213668784565268</x:v>
      </x:c>
      <x:c r="D178" s="13" t="n">
        <x:f>LN('Source Data'!D178/'Source Data'!D$8)</x:f>
        <x:v>-10.234431132902776</x:v>
      </x:c>
      <x:c r="E178" s="13" t="n">
        <x:f>LN('Source Data'!E178/'Source Data'!E$8)</x:f>
        <x:v>-10.216656958468668</x:v>
      </x:c>
      <x:c r="F178" s="13" t="n">
        <x:f>SLOPE(C178:E178,'Source Data'!C$7:E$7)</x:f>
        <x:v>-0.0014940869517001687</x:v>
      </x:c>
      <x:c r="G178" s="14" t="n">
        <x:f>EXP(F178)-1</x:f>
        <x:v>-0.0014929713594570293</x:v>
      </x:c>
      <x:c r="H178" s="8" t="n">
        <x:f>'Source Data'!F178</x:f>
        <x:v>612</x:v>
      </x:c>
      <x:c r="I178" s="8" t="n">
        <x:f>'Source Data'!H178</x:f>
        <x:v>699</x:v>
      </x:c>
      <x:c r="J178" s="14" t="n">
        <x:f>I178/H178-1</x:f>
        <x:v>0.14215686274509798</x:v>
      </x:c>
      <x:c r="K178" s="8" t="n">
        <x:f>H178*('Source Data'!H$8/'Source Data'!F$8)*EXP(F178*('Source Data'!H$7-'Source Data'!F$7))</x:f>
        <x:v>619.1477525783598</x:v>
      </x:c>
      <x:c r="L178" s="14" t="n">
        <x:f>I178/K178-1</x:f>
        <x:v>0.1289712303551227</x:v>
      </x:c>
      <x:c r="M178" s="8" t="n">
        <x:f>'Source Data'!G178</x:f>
        <x:v>618</x:v>
      </x:c>
      <x:c r="N178" s="8" t="n">
        <x:f>M178*('Source Data'!H$8/'Source Data'!G$8)*EXP(F178*('Source Data'!H$7-'Source Data'!G$7))</x:f>
        <x:v>624.8574471544409</x:v>
      </x:c>
      <x:c r="O178" s="14" t="n">
        <x:f>I178/N178-1</x:f>
        <x:v>0.11865514795926546</x:v>
      </x:c>
      <x:c r="P178" s="2" t="str"/>
    </x:row>
    <x:row r="179">
      <x:c r="A179" s="2" t="str">
        <x:f>'Source Data'!A179</x:f>
        <x:v>325411</x:v>
      </x:c>
      <x:c r="B179" s="2" t="str">
        <x:f>'Source Data'!B179</x:f>
        <x:v>Medicinal and Botanical Manufacturing</x:v>
      </x:c>
      <x:c r="C179" s="13" t="n">
        <x:f>LN('Source Data'!C179/'Source Data'!C$8)</x:f>
        <x:v>-7.952184032714346</x:v>
      </x:c>
      <x:c r="D179" s="13" t="n">
        <x:f>LN('Source Data'!D179/'Source Data'!D$8)</x:f>
        <x:v>-7.925769302637321</x:v>
      </x:c>
      <x:c r="E179" s="13" t="n">
        <x:f>LN('Source Data'!E179/'Source Data'!E$8)</x:f>
        <x:v>-7.887766493821309</x:v>
      </x:c>
      <x:c r="F179" s="13" t="n">
        <x:f>SLOPE(C179:E179,'Source Data'!C$7:E$7)</x:f>
        <x:v>0.03220876944651829</x:v>
      </x:c>
      <x:c r="G179" s="14" t="n">
        <x:f>EXP(F179)-1</x:f>
        <x:v>0.03273308591576085</x:v>
      </x:c>
      <x:c r="H179" s="8" t="n">
        <x:f>'Source Data'!F179</x:f>
        <x:v>6800</x:v>
      </x:c>
      <x:c r="I179" s="8" t="n">
        <x:f>'Source Data'!H179</x:f>
        <x:v>6473</x:v>
      </x:c>
      <x:c r="J179" s="14" t="n">
        <x:f>I179/H179-1</x:f>
        <x:v>-0.048088235294117654</x:v>
      </x:c>
      <x:c r="K179" s="8" t="n">
        <x:f>H179*('Source Data'!H$8/'Source Data'!F$8)*EXP(F179*('Source Data'!H$7-'Source Data'!F$7))</x:f>
        <x:v>7872.263994443194</x:v>
      </x:c>
      <x:c r="L179" s="14" t="n">
        <x:f>I179/K179-1</x:f>
        <x:v>-0.1777460709436186</x:v>
      </x:c>
      <x:c r="M179" s="8" t="n">
        <x:f>'Source Data'!G179</x:f>
        <x:v>6505</x:v>
      </x:c>
      <x:c r="N179" s="8" t="n">
        <x:f>M179*('Source Data'!H$8/'Source Data'!G$8)*EXP(F179*('Source Data'!H$7-'Source Data'!G$7))</x:f>
        <x:v>7276.971426950186</x:v>
      </x:c>
      <x:c r="O179" s="14" t="n">
        <x:f>I179/N179-1</x:f>
        <x:v>-0.11048159732669638</x:v>
      </x:c>
      <x:c r="P179" s="2" t="str"/>
    </x:row>
    <x:row r="180">
      <x:c r="A180" s="2" t="str">
        <x:f>'Source Data'!A180</x:f>
        <x:v>325412</x:v>
      </x:c>
      <x:c r="B180" s="2" t="str">
        <x:f>'Source Data'!B180</x:f>
        <x:v>Pharmaceutical Preparation Manufacturing</x:v>
      </x:c>
      <x:c r="C180" s="13" t="n">
        <x:f>LN('Source Data'!C180/'Source Data'!C$8)</x:f>
        <x:v>-5.98260928933356</x:v>
      </x:c>
      <x:c r="D180" s="13" t="n">
        <x:f>LN('Source Data'!D180/'Source Data'!D$8)</x:f>
        <x:v>-6.197244984520624</x:v>
      </x:c>
      <x:c r="E180" s="13" t="n">
        <x:f>LN('Source Data'!E180/'Source Data'!E$8)</x:f>
        <x:v>-6.212403376660925</x:v>
      </x:c>
      <x:c r="F180" s="13" t="n">
        <x:f>SLOPE(C180:E180,'Source Data'!C$7:E$7)</x:f>
        <x:v>-0.11489704366368247</x:v>
      </x:c>
      <x:c r="G180" s="14" t="n">
        <x:f>EXP(F180)-1</x:f>
        <x:v>-0.1085420795762686</x:v>
      </x:c>
      <x:c r="H180" s="8" t="n">
        <x:f>'Source Data'!F180</x:f>
        <x:v>29364</x:v>
      </x:c>
      <x:c r="I180" s="8" t="n">
        <x:f>'Source Data'!H180</x:f>
        <x:v>24702</x:v>
      </x:c>
      <x:c r="J180" s="14" t="n">
        <x:f>I180/H180-1</x:f>
        <x:v>-0.1587658357172047</x:v>
      </x:c>
      <x:c r="K180" s="8" t="n">
        <x:f>H180*('Source Data'!H$8/'Source Data'!F$8)*EXP(F180*('Source Data'!H$7-'Source Data'!F$7))</x:f>
        <x:v>18873.697095371965</x:v>
      </x:c>
      <x:c r="L180" s="14" t="n">
        <x:f>I180/K180-1</x:f>
        <x:v>0.30880557609760517</x:v>
      </x:c>
      <x:c r="M180" s="8" t="n">
        <x:f>'Source Data'!G180</x:f>
        <x:v>26672</x:v>
      </x:c>
      <x:c r="N180" s="8" t="n">
        <x:f>M180*('Source Data'!H$8/'Source Data'!G$8)*EXP(F180*('Source Data'!H$7-'Source Data'!G$7))</x:f>
        <x:v>19190.983082123064</x:v>
      </x:c>
      <x:c r="O180" s="14" t="n">
        <x:f>I180/N180-1</x:f>
        <x:v>0.2871669937018808</x:v>
      </x:c>
      <x:c r="P180" s="2" t="str"/>
    </x:row>
    <x:row r="181">
      <x:c r="A181" s="2" t="str">
        <x:f>'Source Data'!A181</x:f>
        <x:v>325413</x:v>
      </x:c>
      <x:c r="B181" s="2" t="str">
        <x:f>'Source Data'!B181</x:f>
        <x:v>In-Vitro Diagnostic Substance Manufacturing</x:v>
      </x:c>
      <x:c r="C181" s="13" t="n">
        <x:f>LN('Source Data'!C181/'Source Data'!C$8)</x:f>
        <x:v>-7.53952013513874</x:v>
      </x:c>
      <x:c r="D181" s="13" t="n">
        <x:f>LN('Source Data'!D181/'Source Data'!D$8)</x:f>
        <x:v>-7.488137497005055</x:v>
      </x:c>
      <x:c r="E181" s="13" t="n">
        <x:f>LN('Source Data'!E181/'Source Data'!E$8)</x:f>
        <x:v>-7.4625046097749195</x:v>
      </x:c>
      <x:c r="F181" s="13" t="n">
        <x:f>SLOPE(C181:E181,'Source Data'!C$7:E$7)</x:f>
        <x:v>0.03850776268191014</x:v>
      </x:c>
      <x:c r="G181" s="14" t="n">
        <x:f>EXP(F181)-1</x:f>
        <x:v>0.03925879576212554</x:v>
      </x:c>
      <x:c r="H181" s="8" t="n">
        <x:f>'Source Data'!F181</x:f>
        <x:v>8632</x:v>
      </x:c>
      <x:c r="I181" s="8" t="n">
        <x:f>'Source Data'!H181</x:f>
        <x:v>8587</x:v>
      </x:c>
      <x:c r="J181" s="14" t="n">
        <x:f>I181/H181-1</x:f>
        <x:v>-0.005213160333642275</x:v>
      </x:c>
      <x:c r="K181" s="8" t="n">
        <x:f>H181*('Source Data'!H$8/'Source Data'!F$8)*EXP(F181*('Source Data'!H$7-'Source Data'!F$7))</x:f>
        <x:v>10248.130347067729</x:v>
      </x:c>
      <x:c r="L181" s="14" t="n">
        <x:f>I181/K181-1</x:f>
        <x:v>-0.16209106352194513</x:v>
      </x:c>
      <x:c r="M181" s="8" t="n">
        <x:f>'Source Data'!G181</x:f>
        <x:v>8467</x:v>
      </x:c>
      <x:c r="N181" s="8" t="n">
        <x:f>M181*('Source Data'!H$8/'Source Data'!G$8)*EXP(F181*('Source Data'!H$7-'Source Data'!G$7))</x:f>
        <x:v>9652.499383352912</x:v>
      </x:c>
      <x:c r="O181" s="14" t="n">
        <x:f>I181/N181-1</x:f>
        <x:v>-0.11038585355317554</x:v>
      </x:c>
      <x:c r="P181" s="2" t="str"/>
    </x:row>
    <x:row r="182">
      <x:c r="A182" s="2" t="str">
        <x:f>'Source Data'!A182</x:f>
        <x:v>325414</x:v>
      </x:c>
      <x:c r="B182" s="2" t="str">
        <x:f>'Source Data'!B182</x:f>
        <x:v>Biological Product (except Diagnostic) Manufacturing</x:v>
      </x:c>
      <x:c r="C182" s="13" t="n">
        <x:f>LN('Source Data'!C182/'Source Data'!C$8)</x:f>
        <x:v>-8.379866692041663</x:v>
      </x:c>
      <x:c r="D182" s="13" t="n">
        <x:f>LN('Source Data'!D182/'Source Data'!D$8)</x:f>
        <x:v>-8.338168658431023</x:v>
      </x:c>
      <x:c r="E182" s="13" t="n">
        <x:f>LN('Source Data'!E182/'Source Data'!E$8)</x:f>
        <x:v>-8.614969592306606</x:v>
      </x:c>
      <x:c r="F182" s="13" t="n">
        <x:f>SLOPE(C182:E182,'Source Data'!C$7:E$7)</x:f>
        <x:v>-0.11755145013247148</x:v>
      </x:c>
      <x:c r="G182" s="14" t="n">
        <x:f>EXP(F182)-1</x:f>
        <x:v>-0.11090523347385817</x:v>
      </x:c>
      <x:c r="H182" s="8" t="n">
        <x:f>'Source Data'!F182</x:f>
        <x:v>3306</x:v>
      </x:c>
      <x:c r="I182" s="8" t="n">
        <x:f>'Source Data'!H182</x:f>
        <x:v>3275</x:v>
      </x:c>
      <x:c r="J182" s="14" t="n">
        <x:f>I182/H182-1</x:f>
        <x:v>-0.009376890502117319</x:v>
      </x:c>
      <x:c r="K182" s="8" t="n">
        <x:f>H182*('Source Data'!H$8/'Source Data'!F$8)*EXP(F182*('Source Data'!H$7-'Source Data'!F$7))</x:f>
        <x:v>2102.487576580666</x:v>
      </x:c>
      <x:c r="L182" s="14" t="n">
        <x:f>I182/K182-1</x:f>
        <x:v>0.5576786452770501</x:v>
      </x:c>
      <x:c r="M182" s="8" t="n">
        <x:f>'Source Data'!G182</x:f>
        <x:v>3281</x:v>
      </x:c>
      <x:c r="N182" s="8" t="n">
        <x:f>M182*('Source Data'!H$8/'Source Data'!G$8)*EXP(F182*('Source Data'!H$7-'Source Data'!G$7))</x:f>
        <x:v>2342.0140074776195</x:v>
      </x:c>
      <x:c r="O182" s="14" t="n">
        <x:f>I182/N182-1</x:f>
        <x:v>0.3983690915355451</x:v>
      </x:c>
      <x:c r="P182" s="2" t="str"/>
    </x:row>
    <x:row r="183">
      <x:c r="A183" s="2" t="str">
        <x:f>'Source Data'!A183</x:f>
        <x:v>325510</x:v>
      </x:c>
      <x:c r="B183" s="2" t="str">
        <x:f>'Source Data'!B183</x:f>
        <x:v>Paint and Coating Manufacturing</x:v>
      </x:c>
      <x:c r="C183" s="13" t="n">
        <x:f>LN('Source Data'!C183/'Source Data'!C$8)</x:f>
        <x:v>-8.548918945715348</x:v>
      </x:c>
      <x:c r="D183" s="13" t="n">
        <x:f>LN('Source Data'!D183/'Source Data'!D$8)</x:f>
        <x:v>-8.613629461818359</x:v>
      </x:c>
      <x:c r="E183" s="13" t="n">
        <x:f>LN('Source Data'!E183/'Source Data'!E$8)</x:f>
        <x:v>-8.55214613868564</x:v>
      </x:c>
      <x:c r="F183" s="13" t="n">
        <x:f>SLOPE(C183:E183,'Source Data'!C$7:E$7)</x:f>
        <x:v>-0.0016135964851455853</x:v>
      </x:c>
      <x:c r="G183" s="14" t="n">
        <x:f>EXP(F183)-1</x:f>
        <x:v>-0.0016122953382732286</x:v>
      </x:c>
      <x:c r="H183" s="8" t="n">
        <x:f>'Source Data'!F183</x:f>
        <x:v>2830</x:v>
      </x:c>
      <x:c r="I183" s="8" t="n">
        <x:f>'Source Data'!H183</x:f>
        <x:v>2222</x:v>
      </x:c>
      <x:c r="J183" s="14" t="n">
        <x:f>I183/H183-1</x:f>
        <x:v>-0.2148409893992933</x:v>
      </x:c>
      <x:c r="K183" s="8" t="n">
        <x:f>H183*('Source Data'!H$8/'Source Data'!F$8)*EXP(F183*('Source Data'!H$7-'Source Data'!F$7))</x:f>
        <x:v>2861.6841948070182</x:v>
      </x:c>
      <x:c r="L183" s="14" t="n">
        <x:f>I183/K183-1</x:f>
        <x:v>-0.22353416773514945</x:v>
      </x:c>
      <x:c r="M183" s="8" t="n">
        <x:f>'Source Data'!G183</x:f>
        <x:v>2651</x:v>
      </x:c>
      <x:c r="N183" s="8" t="n">
        <x:f>M183*('Source Data'!H$8/'Source Data'!G$8)*EXP(F183*('Source Data'!H$7-'Source Data'!G$7))</x:f>
        <x:v>2679.4551735842247</x:v>
      </x:c>
      <x:c r="O183" s="14" t="n">
        <x:f>I183/N183-1</x:f>
        <x:v>-0.17072693661536464</x:v>
      </x:c>
      <x:c r="P183" s="2" t="str"/>
    </x:row>
    <x:row r="184">
      <x:c r="A184" s="2" t="str">
        <x:f>'Source Data'!A184</x:f>
        <x:v>325520</x:v>
      </x:c>
      <x:c r="B184" s="2" t="str">
        <x:f>'Source Data'!B184</x:f>
        <x:v>Adhesive Manufacturing</x:v>
      </x:c>
      <x:c r="C184" s="13" t="n">
        <x:f>LN('Source Data'!C184/'Source Data'!C$8)</x:f>
        <x:v>-8.81787767590812</x:v>
      </x:c>
      <x:c r="D184" s="13" t="n">
        <x:f>LN('Source Data'!D184/'Source Data'!D$8)</x:f>
        <x:v>-8.917129643269837</x:v>
      </x:c>
      <x:c r="E184" s="13" t="n">
        <x:f>LN('Source Data'!E184/'Source Data'!E$8)</x:f>
        <x:v>-8.879336601945237</x:v>
      </x:c>
      <x:c r="F184" s="13" t="n">
        <x:f>SLOPE(C184:E184,'Source Data'!C$7:E$7)</x:f>
        <x:v>-0.03072946301855861</x:v>
      </x:c>
      <x:c r="G184" s="14" t="n">
        <x:f>EXP(F184)-1</x:f>
        <x:v>-0.03026211244756949</x:v>
      </x:c>
      <x:c r="H184" s="8" t="n">
        <x:f>'Source Data'!F184</x:f>
        <x:v>2111</x:v>
      </x:c>
      <x:c r="I184" s="8" t="n">
        <x:f>'Source Data'!H184</x:f>
        <x:v>2329</x:v>
      </x:c>
      <x:c r="J184" s="14" t="n">
        <x:f>I184/H184-1</x:f>
        <x:v>0.10326859308384662</x:v>
      </x:c>
      <x:c r="K184" s="8" t="n">
        <x:f>H184*('Source Data'!H$8/'Source Data'!F$8)*EXP(F184*('Source Data'!H$7-'Source Data'!F$7))</x:f>
        <x:v>1899.9582683235083</x:v>
      </x:c>
      <x:c r="L184" s="14" t="n">
        <x:f>I184/K184-1</x:f>
        <x:v>0.22581639756491656</x:v>
      </x:c>
      <x:c r="M184" s="8" t="n">
        <x:f>'Source Data'!G184</x:f>
        <x:v>2102</x:v>
      </x:c>
      <x:c r="N184" s="8" t="n">
        <x:f>M184*('Source Data'!H$8/'Source Data'!G$8)*EXP(F184*('Source Data'!H$7-'Source Data'!G$7))</x:f>
        <x:v>1946.8607936486576</x:v>
      </x:c>
      <x:c r="O184" s="14" t="n">
        <x:f>I184/N184-1</x:f>
        <x:v>0.19628481276011844</x:v>
      </x:c>
      <x:c r="P184" s="2" t="str"/>
    </x:row>
    <x:row r="185">
      <x:c r="A185" s="2" t="str">
        <x:f>'Source Data'!A185</x:f>
        <x:v>325611</x:v>
      </x:c>
      <x:c r="B185" s="2" t="str">
        <x:f>'Source Data'!B185</x:f>
        <x:v>Soap and Other Detergent Manufacturing</x:v>
      </x:c>
      <x:c r="C185" s="13" t="n">
        <x:f>LN('Source Data'!C185/'Source Data'!C$8)</x:f>
        <x:v>-8.945217098284722</x:v>
      </x:c>
      <x:c r="D185" s="13" t="n">
        <x:f>LN('Source Data'!D185/'Source Data'!D$8)</x:f>
        <x:v>-9.054751021145885</x:v>
      </x:c>
      <x:c r="E185" s="13" t="n">
        <x:f>LN('Source Data'!E185/'Source Data'!E$8)</x:f>
        <x:v>-9.064364520336934</x:v>
      </x:c>
      <x:c r="F185" s="13" t="n">
        <x:f>SLOPE(C185:E185,'Source Data'!C$7:E$7)</x:f>
        <x:v>-0.05957371102610587</x:v>
      </x:c>
      <x:c r="G185" s="14" t="n">
        <x:f>EXP(F185)-1</x:f>
        <x:v>-0.05783391699711582</x:v>
      </x:c>
      <x:c r="H185" s="8" t="n">
        <x:f>'Source Data'!F185</x:f>
        <x:v>1872</x:v>
      </x:c>
      <x:c r="I185" s="8" t="n">
        <x:f>'Source Data'!H185</x:f>
        <x:v>1875</x:v>
      </x:c>
      <x:c r="J185" s="14" t="n">
        <x:f>I185/H185-1</x:f>
        <x:v>0.0016025641025640969</x:v>
      </x:c>
      <x:c r="K185" s="8" t="n">
        <x:f>H185*('Source Data'!H$8/'Source Data'!F$8)*EXP(F185*('Source Data'!H$7-'Source Data'!F$7))</x:f>
        <x:v>1501.253670017125</x:v>
      </x:c>
      <x:c r="L185" s="14" t="n">
        <x:f>I185/K185-1</x:f>
        <x:v>0.24895614741685312</x:v>
      </x:c>
      <x:c r="M185" s="8" t="n">
        <x:f>'Source Data'!G185</x:f>
        <x:v>2032</x:v>
      </x:c>
      <x:c r="N185" s="8" t="n">
        <x:f>M185*('Source Data'!H$8/'Source Data'!G$8)*EXP(F185*('Source Data'!H$7-'Source Data'!G$7))</x:f>
        <x:v>1726.0175130209632</x:v>
      </x:c>
      <x:c r="O185" s="14" t="n">
        <x:f>I185/N185-1</x:f>
        <x:v>0.08631574468690073</x:v>
      </x:c>
      <x:c r="P185" s="2" t="str"/>
    </x:row>
    <x:row r="186">
      <x:c r="A186" s="2" t="str">
        <x:f>'Source Data'!A186</x:f>
        <x:v>325612</x:v>
      </x:c>
      <x:c r="B186" s="2" t="str">
        <x:f>'Source Data'!B186</x:f>
        <x:v>Polish and Other Sanitation Good Manufacturing</x:v>
      </x:c>
      <x:c r="C186" s="13" t="n">
        <x:f>LN('Source Data'!C186/'Source Data'!C$8)</x:f>
        <x:v>-8.868773079113659</x:v>
      </x:c>
      <x:c r="D186" s="13" t="n">
        <x:f>LN('Source Data'!D186/'Source Data'!D$8)</x:f>
        <x:v>-8.831139195414314</x:v>
      </x:c>
      <x:c r="E186" s="13" t="n">
        <x:f>LN('Source Data'!E186/'Source Data'!E$8)</x:f>
        <x:v>-8.84377940744583</x:v>
      </x:c>
      <x:c r="F186" s="13" t="n">
        <x:f>SLOPE(C186:E186,'Source Data'!C$7:E$7)</x:f>
        <x:v>0.012496835833914588</x:v>
      </x:c>
      <x:c r="G186" s="14" t="n">
        <x:f>EXP(F186)-1</x:f>
        <x:v>0.012575247579308169</x:v>
      </x:c>
      <x:c r="H186" s="8" t="n">
        <x:f>'Source Data'!F186</x:f>
        <x:v>1707</x:v>
      </x:c>
      <x:c r="I186" s="8" t="n">
        <x:f>'Source Data'!H186</x:f>
        <x:v>1449</x:v>
      </x:c>
      <x:c r="J186" s="14" t="n">
        <x:f>I186/H186-1</x:f>
        <x:v>-0.15114235500878737</x:v>
      </x:c>
      <x:c r="K186" s="8" t="n">
        <x:f>H186*('Source Data'!H$8/'Source Data'!F$8)*EXP(F186*('Source Data'!H$7-'Source Data'!F$7))</x:f>
        <x:v>1826.3378596481698</x:v>
      </x:c>
      <x:c r="L186" s="14" t="n">
        <x:f>I186/K186-1</x:f>
        <x:v>-0.20660901139116783</x:v>
      </x:c>
      <x:c r="M186" s="8" t="n">
        <x:f>'Source Data'!G186</x:f>
        <x:v>1617</x:v>
      </x:c>
      <x:c r="N186" s="8" t="n">
        <x:f>M186*('Source Data'!H$8/'Source Data'!G$8)*EXP(F186*('Source Data'!H$7-'Source Data'!G$7))</x:f>
        <x:v>1705.0261206754692</x:v>
      </x:c>
      <x:c r="O186" s="14" t="n">
        <x:f>I186/N186-1</x:f>
        <x:v>-0.15015964715780483</x:v>
      </x:c>
      <x:c r="P186" s="2" t="str"/>
    </x:row>
    <x:row r="187">
      <x:c r="A187" s="2" t="str">
        <x:f>'Source Data'!A187</x:f>
        <x:v>325613</x:v>
      </x:c>
      <x:c r="B187" s="2" t="str">
        <x:f>'Source Data'!B187</x:f>
        <x:v>Surface Active Agent Manufacturing</x:v>
      </x:c>
      <x:c r="C187" s="13" t="n">
        <x:f>LN('Source Data'!C187/'Source Data'!C$8)</x:f>
        <x:v>-12.226665226836952</x:v>
      </x:c>
      <x:c r="D187" s="13" t="n">
        <x:f>LN('Source Data'!D187/'Source Data'!D$8)</x:f>
        <x:v>-12.235149518453085</x:v>
      </x:c>
      <x:c r="E187" s="13" t="n">
        <x:f>LN('Source Data'!E187/'Source Data'!E$8)</x:f>
        <x:v>-12.296098500148505</x:v>
      </x:c>
      <x:c r="F187" s="13" t="n">
        <x:f>SLOPE(C187:E187,'Source Data'!C$7:E$7)</x:f>
        <x:v>-0.03471663665577651</x:v>
      </x:c>
      <x:c r="G187" s="14" t="n">
        <x:f>EXP(F187)-1</x:f>
        <x:v>-0.03412092779228093</x:v>
      </x:c>
      <x:c r="H187" s="8" t="n">
        <x:f>'Source Data'!F187</x:f>
        <x:v>64</x:v>
      </x:c>
      <x:c r="I187" s="8" t="n">
        <x:f>'Source Data'!H187</x:f>
        <x:v>55</x:v>
      </x:c>
      <x:c r="J187" s="14" t="n">
        <x:f>I187/H187-1</x:f>
        <x:v>-0.140625</x:v>
      </x:c>
      <x:c r="K187" s="8" t="n">
        <x:f>H187*('Source Data'!H$8/'Source Data'!F$8)*EXP(F187*('Source Data'!H$7-'Source Data'!F$7))</x:f>
        <x:v>56.69038058955441</x:v>
      </x:c>
      <x:c r="L187" s="14" t="n">
        <x:f>I187/K187-1</x:f>
        <x:v>-0.029817767529080053</x:v>
      </x:c>
      <x:c r="M187" s="8" t="n">
        <x:f>'Source Data'!G187</x:f>
        <x:v>73</x:v>
      </x:c>
      <x:c r="N187" s="8" t="n">
        <x:f>M187*('Source Data'!H$8/'Source Data'!G$8)*EXP(F187*('Source Data'!H$7-'Source Data'!G$7))</x:f>
        <x:v>66.80826989790462</x:v>
      </x:c>
      <x:c r="O187" s="14" t="n">
        <x:f>I187/N187-1</x:f>
        <x:v>-0.17674862582057338</x:v>
      </x:c>
      <x:c r="P187" s="2" t="str"/>
    </x:row>
    <x:row r="188">
      <x:c r="A188" s="2" t="str">
        <x:f>'Source Data'!A188</x:f>
        <x:v>325620</x:v>
      </x:c>
      <x:c r="B188" s="2" t="str">
        <x:f>'Source Data'!B188</x:f>
        <x:v>Toilet Preparation Manufacturing</x:v>
      </x:c>
      <x:c r="C188" s="13" t="n">
        <x:f>LN('Source Data'!C188/'Source Data'!C$8)</x:f>
        <x:v>-7.547979080634324</x:v>
      </x:c>
      <x:c r="D188" s="13" t="n">
        <x:f>LN('Source Data'!D188/'Source Data'!D$8)</x:f>
        <x:v>-7.5120085210123575</x:v>
      </x:c>
      <x:c r="E188" s="13" t="n">
        <x:f>LN('Source Data'!E188/'Source Data'!E$8)</x:f>
        <x:v>-7.462855753923199</x:v>
      </x:c>
      <x:c r="F188" s="13" t="n">
        <x:f>SLOPE(C188:E188,'Source Data'!C$7:E$7)</x:f>
        <x:v>0.04256166335556255</x:v>
      </x:c>
      <x:c r="G188" s="14" t="n">
        <x:f>EXP(F188)-1</x:f>
        <x:v>0.04348039889272948</x:v>
      </x:c>
      <x:c r="H188" s="8" t="n">
        <x:f>'Source Data'!F188</x:f>
        <x:v>9553</x:v>
      </x:c>
      <x:c r="I188" s="8" t="n">
        <x:f>'Source Data'!H188</x:f>
        <x:v>7849</x:v>
      </x:c>
      <x:c r="J188" s="14" t="n">
        <x:f>I188/H188-1</x:f>
        <x:v>-0.17837328587878154</x:v>
      </x:c>
      <x:c r="K188" s="8" t="n">
        <x:f>H188*('Source Data'!H$8/'Source Data'!F$8)*EXP(F188*('Source Data'!H$7-'Source Data'!F$7))</x:f>
        <x:v>11526.97452755081</x:v>
      </x:c>
      <x:c r="L188" s="14" t="n">
        <x:f>I188/K188-1</x:f>
        <x:v>-0.31907544505802654</x:v>
      </x:c>
      <x:c r="M188" s="8" t="n">
        <x:f>'Source Data'!G188</x:f>
        <x:v>9571</x:v>
      </x:c>
      <x:c r="N188" s="8" t="n">
        <x:f>M188*('Source Data'!H$8/'Source Data'!G$8)*EXP(F188*('Source Data'!H$7-'Source Data'!G$7))</x:f>
        <x:v>11044.582385113721</x:v>
      </x:c>
      <x:c r="O188" s="14" t="n">
        <x:f>I188/N188-1</x:f>
        <x:v>-0.28933483165654506</x:v>
      </x:c>
      <x:c r="P188" s="2" t="str"/>
    </x:row>
    <x:row r="189">
      <x:c r="A189" s="2" t="str">
        <x:f>'Source Data'!A189</x:f>
        <x:v>325910</x:v>
      </x:c>
      <x:c r="B189" s="2" t="str">
        <x:f>'Source Data'!B189</x:f>
        <x:v>Printing Ink Manufacturing</x:v>
      </x:c>
      <x:c r="C189" s="13" t="n">
        <x:f>LN('Source Data'!C189/'Source Data'!C$8)</x:f>
        <x:v>-9.94720255126376</x:v>
      </x:c>
      <x:c r="D189" s="13" t="n">
        <x:f>LN('Source Data'!D189/'Source Data'!D$8)</x:f>
        <x:v>-10.008624464169081</x:v>
      </x:c>
      <x:c r="E189" s="13" t="n">
        <x:f>LN('Source Data'!E189/'Source Data'!E$8)</x:f>
        <x:v>-10.041715508972336</x:v>
      </x:c>
      <x:c r="F189" s="13" t="n">
        <x:f>SLOPE(C189:E189,'Source Data'!C$7:E$7)</x:f>
        <x:v>-0.04725647885428774</x:v>
      </x:c>
      <x:c r="G189" s="14" t="n">
        <x:f>EXP(F189)-1</x:f>
        <x:v>-0.04615727427433225</x:v>
      </x:c>
      <x:c r="H189" s="8" t="n">
        <x:f>'Source Data'!F189</x:f>
        <x:v>511</x:v>
      </x:c>
      <x:c r="I189" s="8" t="n">
        <x:f>'Source Data'!H189</x:f>
        <x:v>523</x:v>
      </x:c>
      <x:c r="J189" s="14" t="n">
        <x:f>I189/H189-1</x:f>
        <x:v>0.023483365949119372</x:v>
      </x:c>
      <x:c r="K189" s="8" t="n">
        <x:f>H189*('Source Data'!H$8/'Source Data'!F$8)*EXP(F189*('Source Data'!H$7-'Source Data'!F$7))</x:f>
        <x:v>430.4932653183166</x:v>
      </x:c>
      <x:c r="L189" s="14" t="n">
        <x:f>I189/K189-1</x:f>
        <x:v>0.21488543987623543</x:v>
      </x:c>
      <x:c r="M189" s="8" t="n">
        <x:f>'Source Data'!G189</x:f>
        <x:v>506</x:v>
      </x:c>
      <x:c r="N189" s="8" t="n">
        <x:f>M189*('Source Data'!H$8/'Source Data'!G$8)*EXP(F189*('Source Data'!H$7-'Source Data'!G$7))</x:f>
        <x:v>445.98466824204644</x:v>
      </x:c>
      <x:c r="O189" s="14" t="n">
        <x:f>I189/N189-1</x:f>
        <x:v>0.17268605232894574</x:v>
      </x:c>
      <x:c r="P189" s="2" t="str"/>
    </x:row>
    <x:row r="190">
      <x:c r="A190" s="2" t="str">
        <x:f>'Source Data'!A190</x:f>
        <x:v>325920</x:v>
      </x:c>
      <x:c r="B190" s="2" t="str">
        <x:f>'Source Data'!B190</x:f>
        <x:v>Explosives Manufacturing</x:v>
      </x:c>
      <x:c r="C190" s="13" t="n">
        <x:f>LN('Source Data'!C190/'Source Data'!C$8)</x:f>
        <x:v>-9.901480301925664</x:v>
      </x:c>
      <x:c r="D190" s="13" t="n">
        <x:f>LN('Source Data'!D190/'Source Data'!D$8)</x:f>
        <x:v>-9.885788360661307</x:v>
      </x:c>
      <x:c r="E190" s="13" t="n">
        <x:f>LN('Source Data'!E190/'Source Data'!E$8)</x:f>
        <x:v>-9.861453685141392</x:v>
      </x:c>
      <x:c r="F190" s="13" t="n">
        <x:f>SLOPE(C190:E190,'Source Data'!C$7:E$7)</x:f>
        <x:v>0.02001330839213633</x:v>
      </x:c>
      <x:c r="G190" s="14" t="n">
        <x:f>EXP(F190)-1</x:f>
        <x:v>0.020214917356592865</x:v>
      </x:c>
      <x:c r="H190" s="8" t="n">
        <x:f>'Source Data'!F190</x:f>
        <x:v>814</x:v>
      </x:c>
      <x:c r="I190" s="8" t="n">
        <x:f>'Source Data'!H190</x:f>
        <x:v>933</x:v>
      </x:c>
      <x:c r="J190" s="14" t="n">
        <x:f>I190/H190-1</x:f>
        <x:v>0.14619164619164615</x:v>
      </x:c>
      <x:c r="K190" s="8" t="n">
        <x:f>H190*('Source Data'!H$8/'Source Data'!F$8)*EXP(F190*('Source Data'!H$7-'Source Data'!F$7))</x:f>
        <x:v>897.4896647256031</x:v>
      </x:c>
      <x:c r="L190" s="14" t="n">
        <x:f>I190/K190-1</x:f>
        <x:v>0.03956628880540225</x:v>
      </x:c>
      <x:c r="M190" s="8" t="n">
        <x:f>'Source Data'!G190</x:f>
        <x:v>850</x:v>
      </x:c>
      <x:c r="N190" s="8" t="n">
        <x:f>M190*('Source Data'!H$8/'Source Data'!G$8)*EXP(F190*('Source Data'!H$7-'Source Data'!G$7))</x:f>
        <x:v>916.7122400972853</x:v>
      </x:c>
      <x:c r="O190" s="14" t="n">
        <x:f>I190/N190-1</x:f>
        <x:v>0.017767582006962268</x:v>
      </x:c>
      <x:c r="P190" s="2" t="str"/>
    </x:row>
    <x:row r="191">
      <x:c r="A191" s="2" t="str">
        <x:f>'Source Data'!A191</x:f>
        <x:v>325991</x:v>
      </x:c>
      <x:c r="B191" s="2" t="str">
        <x:f>'Source Data'!B191</x:f>
        <x:v>Custom Compounding of Purchased Resins</x:v>
      </x:c>
      <x:c r="C191" s="13" t="n">
        <x:f>LN('Source Data'!C191/'Source Data'!C$8)</x:f>
        <x:v>-9.437254505439128</x:v>
      </x:c>
      <x:c r="D191" s="13" t="n">
        <x:f>LN('Source Data'!D191/'Source Data'!D$8)</x:f>
        <x:v>-9.55760692637476</x:v>
      </x:c>
      <x:c r="E191" s="13" t="n">
        <x:f>LN('Source Data'!E191/'Source Data'!E$8)</x:f>
        <x:v>-9.560967340443623</x:v>
      </x:c>
      <x:c r="F191" s="13" t="n">
        <x:f>SLOPE(C191:E191,'Source Data'!C$7:E$7)</x:f>
        <x:v>-0.061856417502247574</x:v>
      </x:c>
      <x:c r="G191" s="14" t="n">
        <x:f>EXP(F191)-1</x:f>
        <x:v>-0.05998215278768548</x:v>
      </x:c>
      <x:c r="H191" s="8" t="n">
        <x:f>'Source Data'!F191</x:f>
        <x:v>1410</x:v>
      </x:c>
      <x:c r="I191" s="8" t="n">
        <x:f>'Source Data'!H191</x:f>
        <x:v>933</x:v>
      </x:c>
      <x:c r="J191" s="14" t="n">
        <x:f>I191/H191-1</x:f>
        <x:v>-0.3382978723404255</x:v>
      </x:c>
      <x:c r="K191" s="8" t="n">
        <x:f>H191*('Source Data'!H$8/'Source Data'!F$8)*EXP(F191*('Source Data'!H$7-'Source Data'!F$7))</x:f>
        <x:v>1120.4742570560927</x:v>
      </x:c>
      <x:c r="L191" s="14" t="n">
        <x:f>I191/K191-1</x:f>
        <x:v>-0.16731688021879065</x:v>
      </x:c>
      <x:c r="M191" s="8" t="n">
        <x:f>'Source Data'!G191</x:f>
        <x:v>1044</x:v>
      </x:c>
      <x:c r="N191" s="8" t="n">
        <x:f>M191*('Source Data'!H$8/'Source Data'!G$8)*EXP(F191*('Source Data'!H$7-'Source Data'!G$7))</x:f>
        <x:v>880.740348160399</x:v>
      </x:c>
      <x:c r="O191" s="14" t="n">
        <x:f>I191/N191-1</x:f>
        <x:v>0.0593360483015859</x:v>
      </x:c>
      <x:c r="P191" s="2" t="str"/>
    </x:row>
    <x:row r="192">
      <x:c r="A192" s="2" t="str">
        <x:f>'Source Data'!A192</x:f>
        <x:v>325992</x:v>
      </x:c>
      <x:c r="B192" s="2" t="str">
        <x:f>'Source Data'!B192</x:f>
        <x:v>Photographic Film, Paper, Plate, Chemical, and Copy Toner Manufacturing</x:v>
      </x:c>
      <x:c r="C192" s="13" t="n">
        <x:f>LN('Source Data'!C192/'Source Data'!C$8)</x:f>
        <x:v>-10.973902258341584</x:v>
      </x:c>
      <x:c r="D192" s="13" t="n">
        <x:f>LN('Source Data'!D192/'Source Data'!D$8)</x:f>
        <x:v>-11.025558721822925</x:v>
      </x:c>
      <x:c r="E192" s="13" t="n">
        <x:f>LN('Source Data'!E192/'Source Data'!E$8)</x:f>
        <x:v>-11.0391426533931</x:v>
      </x:c>
      <x:c r="F192" s="13" t="n">
        <x:f>SLOPE(C192:E192,'Source Data'!C$7:E$7)</x:f>
        <x:v>-0.032620197525758066</x:v>
      </x:c>
      <x:c r="G192" s="14" t="n">
        <x:f>EXP(F192)-1</x:f>
        <x:v>-0.03209389707959642</x:v>
      </x:c>
      <x:c r="H192" s="8" t="n">
        <x:f>'Source Data'!F192</x:f>
        <x:v>214</x:v>
      </x:c>
      <x:c r="I192" s="8" t="n">
        <x:f>'Source Data'!H192</x:f>
        <x:v>110</x:v>
      </x:c>
      <x:c r="J192" s="14" t="n">
        <x:f>I192/H192-1</x:f>
        <x:v>-0.485981308411215</x:v>
      </x:c>
      <x:c r="K192" s="8" t="n">
        <x:f>H192*('Source Data'!H$8/'Source Data'!F$8)*EXP(F192*('Source Data'!H$7-'Source Data'!F$7))</x:f>
        <x:v>191.15473482031743</x:v>
      </x:c>
      <x:c r="L192" s="14" t="n">
        <x:f>I192/K192-1</x:f>
        <x:v>-0.42454995894609493</x:v>
      </x:c>
      <x:c r="M192" s="8" t="n">
        <x:f>'Source Data'!G192</x:f>
        <x:v>180</x:v>
      </x:c>
      <x:c r="N192" s="8" t="n">
        <x:f>M192*('Source Data'!H$8/'Source Data'!G$8)*EXP(F192*('Source Data'!H$7-'Source Data'!G$7))</x:f>
        <x:v>165.7720415433652</x:v>
      </x:c>
      <x:c r="O192" s="14" t="n">
        <x:f>I192/N192-1</x:f>
        <x:v>-0.3364381654718024</x:v>
      </x:c>
      <x:c r="P192" s="2" t="str"/>
    </x:row>
    <x:row r="193">
      <x:c r="A193" s="2" t="str">
        <x:f>'Source Data'!A193</x:f>
        <x:v>325998</x:v>
      </x:c>
      <x:c r="B193" s="2" t="str">
        <x:f>'Source Data'!B193</x:f>
        <x:v>All Other Miscellaneous Chemical Product and Preparation Manufacturing</x:v>
      </x:c>
      <x:c r="C193" s="13" t="n">
        <x:f>LN('Source Data'!C193/'Source Data'!C$8)</x:f>
        <x:v>-8.500283568327434</x:v>
      </x:c>
      <x:c r="D193" s="13" t="n">
        <x:f>LN('Source Data'!D193/'Source Data'!D$8)</x:f>
        <x:v>-8.308584869758498</x:v>
      </x:c>
      <x:c r="E193" s="13" t="n">
        <x:f>LN('Source Data'!E193/'Source Data'!E$8)</x:f>
        <x:v>-8.183297853105492</x:v>
      </x:c>
      <x:c r="F193" s="13" t="n">
        <x:f>SLOPE(C193:E193,'Source Data'!C$7:E$7)</x:f>
        <x:v>0.15849285761097143</x:v>
      </x:c>
      <x:c r="G193" s="14" t="n">
        <x:f>EXP(F193)-1</x:f>
        <x:v>0.1717435551469999</x:v>
      </x:c>
      <x:c r="H193" s="8" t="n">
        <x:f>'Source Data'!F193</x:f>
        <x:v>4395</x:v>
      </x:c>
      <x:c r="I193" s="8" t="n">
        <x:f>'Source Data'!H193</x:f>
        <x:v>3221</x:v>
      </x:c>
      <x:c r="J193" s="14" t="n">
        <x:f>I193/H193-1</x:f>
        <x:v>-0.2671217292377702</x:v>
      </x:c>
      <x:c r="K193" s="8" t="n">
        <x:f>H193*('Source Data'!H$8/'Source Data'!F$8)*EXP(F193*('Source Data'!H$7-'Source Data'!F$7))</x:f>
        <x:v>8431.940764404606</x:v>
      </x:c>
      <x:c r="L193" s="14" t="n">
        <x:f>I193/K193-1</x:f>
        <x:v>-0.6180001627149192</x:v>
      </x:c>
      <x:c r="M193" s="8" t="n">
        <x:f>'Source Data'!G193</x:f>
        <x:v>4102</x:v>
      </x:c>
      <x:c r="N193" s="8" t="n">
        <x:f>M193*('Source Data'!H$8/'Source Data'!G$8)*EXP(F193*('Source Data'!H$7-'Source Data'!G$7))</x:f>
        <x:v>6702.4328675654</x:v>
      </x:c>
      <x:c r="O193" s="14" t="n">
        <x:f>I193/N193-1</x:f>
        <x:v>-0.5194282339496226</x:v>
      </x:c>
      <x:c r="P193" s="2" t="str"/>
    </x:row>
    <x:row r="194">
      <x:c r="A194" s="2" t="str">
        <x:f>'Source Data'!A194</x:f>
        <x:v>326111</x:v>
      </x:c>
      <x:c r="B194" s="2" t="str">
        <x:f>'Source Data'!B194</x:f>
        <x:v>Plastics Bag and Pouch Manufacturing</x:v>
      </x:c>
      <x:c r="C194" s="13" t="n">
        <x:f>LN('Source Data'!C194/'Source Data'!C$8)</x:f>
        <x:v>-8.425095045970345</x:v>
      </x:c>
      <x:c r="D194" s="13" t="n">
        <x:f>LN('Source Data'!D194/'Source Data'!D$8)</x:f>
        <x:v>-8.503871847920834</x:v>
      </x:c>
      <x:c r="E194" s="13" t="n">
        <x:f>LN('Source Data'!E194/'Source Data'!E$8)</x:f>
        <x:v>-8.514251179497908</x:v>
      </x:c>
      <x:c r="F194" s="13" t="n">
        <x:f>SLOPE(C194:E194,'Source Data'!C$7:E$7)</x:f>
        <x:v>-0.04457806676378162</x:v>
      </x:c>
      <x:c r="G194" s="14" t="n">
        <x:f>EXP(F194)-1</x:f>
        <x:v>-0.04359906594660856</x:v>
      </x:c>
      <x:c r="H194" s="8" t="n">
        <x:f>'Source Data'!F194</x:f>
        <x:v>3071</x:v>
      </x:c>
      <x:c r="I194" s="8" t="n">
        <x:f>'Source Data'!H194</x:f>
        <x:v>3145</x:v>
      </x:c>
      <x:c r="J194" s="14" t="n">
        <x:f>I194/H194-1</x:f>
        <x:v>0.024096385542168752</x:v>
      </x:c>
      <x:c r="K194" s="8" t="n">
        <x:f>H194*('Source Data'!H$8/'Source Data'!F$8)*EXP(F194*('Source Data'!H$7-'Source Data'!F$7))</x:f>
        <x:v>2615.0389166820437</x:v>
      </x:c>
      <x:c r="L194" s="14" t="n">
        <x:f>I194/K194-1</x:f>
        <x:v>0.20265896615809065</x:v>
      </x:c>
      <x:c r="M194" s="8" t="n">
        <x:f>'Source Data'!G194</x:f>
        <x:v>3080</x:v>
      </x:c>
      <x:c r="N194" s="8" t="n">
        <x:f>M194*('Source Data'!H$8/'Source Data'!G$8)*EXP(F194*('Source Data'!H$7-'Source Data'!G$7))</x:f>
        <x:v>2736.5903269467995</x:v>
      </x:c>
      <x:c r="O194" s="14" t="n">
        <x:f>I194/N194-1</x:f>
        <x:v>0.14924034081084447</x:v>
      </x:c>
      <x:c r="P194" s="2" t="str"/>
    </x:row>
    <x:row r="195">
      <x:c r="A195" s="2" t="str">
        <x:f>'Source Data'!A195</x:f>
        <x:v>326112</x:v>
      </x:c>
      <x:c r="B195" s="2" t="str">
        <x:f>'Source Data'!B195</x:f>
        <x:v>Plastics Packaging Film and Sheet (including Laminated) Manufacturing</x:v>
      </x:c>
      <x:c r="C195" s="13" t="n">
        <x:f>LN('Source Data'!C195/'Source Data'!C$8)</x:f>
        <x:v>-9.006076583965076</x:v>
      </x:c>
      <x:c r="D195" s="13" t="n">
        <x:f>LN('Source Data'!D195/'Source Data'!D$8)</x:f>
        <x:v>-9.115705029756887</x:v>
      </x:c>
      <x:c r="E195" s="13" t="n">
        <x:f>LN('Source Data'!E195/'Source Data'!E$8)</x:f>
        <x:v>-9.124190970649252</x:v>
      </x:c>
      <x:c r="F195" s="13" t="n">
        <x:f>SLOPE(C195:E195,'Source Data'!C$7:E$7)</x:f>
        <x:v>-0.059057193342088254</x:v>
      </x:c>
      <x:c r="G195" s="14" t="n">
        <x:f>EXP(F195)-1</x:f>
        <x:v>-0.05734714585183309</x:v>
      </x:c>
      <x:c r="H195" s="8" t="n">
        <x:f>'Source Data'!F195</x:f>
        <x:v>1720</x:v>
      </x:c>
      <x:c r="I195" s="8" t="n">
        <x:f>'Source Data'!H195</x:f>
        <x:v>1531</x:v>
      </x:c>
      <x:c r="J195" s="14" t="n">
        <x:f>I195/H195-1</x:f>
        <x:v>-0.10988372093023258</x:v>
      </x:c>
      <x:c r="K195" s="8" t="n">
        <x:f>H195*('Source Data'!H$8/'Source Data'!F$8)*EXP(F195*('Source Data'!H$7-'Source Data'!F$7))</x:f>
        <x:v>1382.2097996680163</x:v>
      </x:c>
      <x:c r="L195" s="14" t="n">
        <x:f>I195/K195-1</x:f>
        <x:v>0.10764661078782733</x:v>
      </x:c>
      <x:c r="M195" s="8" t="n">
        <x:f>'Source Data'!G195</x:f>
        <x:v>1855</x:v>
      </x:c>
      <x:c r="N195" s="8" t="n">
        <x:f>M195*('Source Data'!H$8/'Source Data'!G$8)*EXP(F195*('Source Data'!H$7-'Source Data'!G$7))</x:f>
        <x:v>1578.1139928015084</x:v>
      </x:c>
      <x:c r="O195" s="14" t="n">
        <x:f>I195/N195-1</x:f>
        <x:v>-0.02985461951190893</x:v>
      </x:c>
      <x:c r="P195" s="2" t="str"/>
    </x:row>
    <x:row r="196">
      <x:c r="A196" s="2" t="str">
        <x:f>'Source Data'!A196</x:f>
        <x:v>326113</x:v>
      </x:c>
      <x:c r="B196" s="2" t="str">
        <x:f>'Source Data'!B196</x:f>
        <x:v>Unlaminated Plastics Film and Sheet (except Packaging) Manufacturing</x:v>
      </x:c>
      <x:c r="C196" s="13" t="n">
        <x:f>LN('Source Data'!C196/'Source Data'!C$8)</x:f>
        <x:v>-9.13367661652315</x:v>
      </x:c>
      <x:c r="D196" s="13" t="n">
        <x:f>LN('Source Data'!D196/'Source Data'!D$8)</x:f>
        <x:v>-9.080849774113245</x:v>
      </x:c>
      <x:c r="E196" s="13" t="n">
        <x:f>LN('Source Data'!E196/'Source Data'!E$8)</x:f>
        <x:v>-9.031799517658776</x:v>
      </x:c>
      <x:c r="F196" s="13" t="n">
        <x:f>SLOPE(C196:E196,'Source Data'!C$7:E$7)</x:f>
        <x:v>0.05093854943218723</x:v>
      </x:c>
      <x:c r="G196" s="14" t="n">
        <x:f>EXP(F196)-1</x:f>
        <x:v>0.05225822943072478</x:v>
      </x:c>
      <x:c r="H196" s="8" t="n">
        <x:f>'Source Data'!F196</x:f>
        <x:v>1505</x:v>
      </x:c>
      <x:c r="I196" s="8" t="n">
        <x:f>'Source Data'!H196</x:f>
        <x:v>1405</x:v>
      </x:c>
      <x:c r="J196" s="14" t="n">
        <x:f>I196/H196-1</x:f>
        <x:v>-0.06644518272425248</x:v>
      </x:c>
      <x:c r="K196" s="8" t="n">
        <x:f>H196*('Source Data'!H$8/'Source Data'!F$8)*EXP(F196*('Source Data'!H$7-'Source Data'!F$7))</x:f>
        <x:v>1877.8642635209565</x:v>
      </x:c>
      <x:c r="L196" s="14" t="n">
        <x:f>I196/K196-1</x:f>
        <x:v>-0.2518096077052693</x:v>
      </x:c>
      <x:c r="M196" s="8" t="n">
        <x:f>'Source Data'!G196</x:f>
        <x:v>1453</x:v>
      </x:c>
      <x:c r="N196" s="8" t="n">
        <x:f>M196*('Source Data'!H$8/'Source Data'!G$8)*EXP(F196*('Source Data'!H$7-'Source Data'!G$7))</x:f>
        <x:v>1719.3793375650885</x:v>
      </x:c>
      <x:c r="O196" s="14" t="n">
        <x:f>I196/N196-1</x:f>
        <x:v>-0.1828446641741659</x:v>
      </x:c>
      <x:c r="P196" s="2" t="str"/>
    </x:row>
    <x:row r="197">
      <x:c r="A197" s="2" t="str">
        <x:f>'Source Data'!A197</x:f>
        <x:v>326121</x:v>
      </x:c>
      <x:c r="B197" s="2" t="str">
        <x:f>'Source Data'!B197</x:f>
        <x:v>Unlaminated Plastics Profile Shape Manufacturing</x:v>
      </x:c>
      <x:c r="C197" s="13" t="n">
        <x:f>LN('Source Data'!C197/'Source Data'!C$8)</x:f>
        <x:v>-9.120798138464833</x:v>
      </x:c>
      <x:c r="D197" s="13" t="n">
        <x:f>LN('Source Data'!D197/'Source Data'!D$8)</x:f>
        <x:v>-9.099043120074452</x:v>
      </x:c>
      <x:c r="E197" s="13" t="n">
        <x:f>LN('Source Data'!E197/'Source Data'!E$8)</x:f>
        <x:v>-9.026194121815891</x:v>
      </x:c>
      <x:c r="F197" s="13" t="n">
        <x:f>SLOPE(C197:E197,'Source Data'!C$7:E$7)</x:f>
        <x:v>0.04730200832447107</x:v>
      </x:c>
      <x:c r="G197" s="14" t="n">
        <x:f>EXP(F197)-1</x:f>
        <x:v>0.04843859845536613</x:v>
      </x:c>
      <x:c r="H197" s="8" t="n">
        <x:f>'Source Data'!F197</x:f>
        <x:v>1695</x:v>
      </x:c>
      <x:c r="I197" s="8" t="n">
        <x:f>'Source Data'!H197</x:f>
        <x:v>1423</x:v>
      </x:c>
      <x:c r="J197" s="14" t="n">
        <x:f>I197/H197-1</x:f>
        <x:v>-0.16047197640117994</x:v>
      </x:c>
      <x:c r="K197" s="8" t="n">
        <x:f>H197*('Source Data'!H$8/'Source Data'!F$8)*EXP(F197*('Source Data'!H$7-'Source Data'!F$7))</x:f>
        <x:v>2084.395279206928</x:v>
      </x:c>
      <x:c r="L197" s="14" t="n">
        <x:f>I197/K197-1</x:f>
        <x:v>-0.31730799134153487</x:v>
      </x:c>
      <x:c r="M197" s="8" t="n">
        <x:f>'Source Data'!G197</x:f>
        <x:v>1648</x:v>
      </x:c>
      <x:c r="N197" s="8" t="n">
        <x:f>M197*('Source Data'!H$8/'Source Data'!G$8)*EXP(F197*('Source Data'!H$7-'Source Data'!G$7))</x:f>
        <x:v>1928.9692618281688</x:v>
      </x:c>
      <x:c r="O197" s="14" t="n">
        <x:f>I197/N197-1</x:f>
        <x:v>-0.26230032372244205</x:v>
      </x:c>
      <x:c r="P197" s="2" t="str"/>
    </x:row>
    <x:row r="198">
      <x:c r="A198" s="2" t="str">
        <x:f>'Source Data'!A198</x:f>
        <x:v>326122</x:v>
      </x:c>
      <x:c r="B198" s="2" t="str">
        <x:f>'Source Data'!B198</x:f>
        <x:v>Plastics Pipe and Pipe Fitting Manufacturing</x:v>
      </x:c>
      <x:c r="C198" s="13" t="n">
        <x:f>LN('Source Data'!C198/'Source Data'!C$8)</x:f>
        <x:v>-8.522897160229265</x:v>
      </x:c>
      <x:c r="D198" s="13" t="n">
        <x:f>LN('Source Data'!D198/'Source Data'!D$8)</x:f>
        <x:v>-8.540301993263625</x:v>
      </x:c>
      <x:c r="E198" s="13" t="n">
        <x:f>LN('Source Data'!E198/'Source Data'!E$8)</x:f>
        <x:v>-8.594070573191061</x:v>
      </x:c>
      <x:c r="F198" s="13" t="n">
        <x:f>SLOPE(C198:E198,'Source Data'!C$7:E$7)</x:f>
        <x:v>-0.03558670648089812</x:v>
      </x:c>
      <x:c r="G198" s="14" t="n">
        <x:f>EXP(F198)-1</x:f>
        <x:v>-0.034960944538121264</x:v>
      </x:c>
      <x:c r="H198" s="8" t="n">
        <x:f>'Source Data'!F198</x:f>
        <x:v>2893</x:v>
      </x:c>
      <x:c r="I198" s="8" t="n">
        <x:f>'Source Data'!H198</x:f>
        <x:v>2166</x:v>
      </x:c>
      <x:c r="J198" s="14" t="n">
        <x:f>I198/H198-1</x:f>
        <x:v>-0.25129623228482545</x:v>
      </x:c>
      <x:c r="K198" s="8" t="n">
        <x:f>H198*('Source Data'!H$8/'Source Data'!F$8)*EXP(F198*('Source Data'!H$7-'Source Data'!F$7))</x:f>
        <x:v>2553.6793591948067</x:v>
      </x:c>
      <x:c r="L198" s="14" t="n">
        <x:f>I198/K198-1</x:f>
        <x:v>-0.15181207374329275</x:v>
      </x:c>
      <x:c r="M198" s="8" t="n">
        <x:f>'Source Data'!G198</x:f>
        <x:v>2994</x:v>
      </x:c>
      <x:c r="N198" s="8" t="n">
        <x:f>M198*('Source Data'!H$8/'Source Data'!G$8)*EXP(F198*('Source Data'!H$7-'Source Data'!G$7))</x:f>
        <x:v>2732.911458177172</x:v>
      </x:c>
      <x:c r="O198" s="14" t="n">
        <x:f>I198/N198-1</x:f>
        <x:v>-0.20743864806922685</x:v>
      </x:c>
      <x:c r="P198" s="2" t="str"/>
    </x:row>
    <x:row r="199">
      <x:c r="A199" s="2" t="str">
        <x:f>'Source Data'!A199</x:f>
        <x:v>326130</x:v>
      </x:c>
      <x:c r="B199" s="2" t="str">
        <x:f>'Source Data'!B199</x:f>
        <x:v>Laminated Plastics Plate, Sheet (except Packaging), and Shape Manufacturing</x:v>
      </x:c>
      <x:c r="C199" s="13" t="n">
        <x:f>LN('Source Data'!C199/'Source Data'!C$8)</x:f>
        <x:v>-9.493225791729921</x:v>
      </x:c>
      <x:c r="D199" s="13" t="n">
        <x:f>LN('Source Data'!D199/'Source Data'!D$8)</x:f>
        <x:v>-9.598106288209527</x:v>
      </x:c>
      <x:c r="E199" s="13" t="n">
        <x:f>LN('Source Data'!E199/'Source Data'!E$8)</x:f>
        <x:v>-9.556207693190634</x:v>
      </x:c>
      <x:c r="F199" s="13" t="n">
        <x:f>SLOPE(C199:E199,'Source Data'!C$7:E$7)</x:f>
        <x:v>-0.03149095073035646</x:v>
      </x:c>
      <x:c r="G199" s="14" t="n">
        <x:f>EXP(F199)-1</x:f>
        <x:v>-0.0310002748461381</x:v>
      </x:c>
      <x:c r="H199" s="8" t="n">
        <x:f>'Source Data'!F199</x:f>
        <x:v>846</x:v>
      </x:c>
      <x:c r="I199" s="8" t="n">
        <x:f>'Source Data'!H199</x:f>
        <x:v>857</x:v>
      </x:c>
      <x:c r="J199" s="14" t="n">
        <x:f>I199/H199-1</x:f>
        <x:v>0.013002364066193817</x:v>
      </x:c>
      <x:c r="K199" s="8" t="n">
        <x:f>H199*('Source Data'!H$8/'Source Data'!F$8)*EXP(F199*('Source Data'!H$7-'Source Data'!F$7))</x:f>
        <x:v>759.1076219799774</x:v>
      </x:c>
      <x:c r="L199" s="14" t="n">
        <x:f>I199/K199-1</x:f>
        <x:v>0.12895717970093679</x:v>
      </x:c>
      <x:c r="M199" s="8" t="n">
        <x:f>'Source Data'!G199</x:f>
        <x:v>842</x:v>
      </x:c>
      <x:c r="N199" s="8" t="n">
        <x:f>M199*('Source Data'!H$8/'Source Data'!G$8)*EXP(F199*('Source Data'!H$7-'Source Data'!G$7))</x:f>
        <x:v>778.0762325157748</x:v>
      </x:c>
      <x:c r="O199" s="14" t="n">
        <x:f>I199/N199-1</x:f>
        <x:v>0.10143449213072464</x:v>
      </x:c>
      <x:c r="P199" s="2" t="str"/>
    </x:row>
    <x:row r="200">
      <x:c r="A200" s="2" t="str">
        <x:f>'Source Data'!A200</x:f>
        <x:v>326140</x:v>
      </x:c>
      <x:c r="B200" s="2" t="str">
        <x:f>'Source Data'!B200</x:f>
        <x:v>Polystyrene Foam Product Manufacturing</x:v>
      </x:c>
      <x:c r="C200" s="13" t="n">
        <x:f>LN('Source Data'!C200/'Source Data'!C$8)</x:f>
        <x:v>-8.999254499518914</x:v>
      </x:c>
      <x:c r="D200" s="13" t="n">
        <x:f>LN('Source Data'!D200/'Source Data'!D$8)</x:f>
        <x:v>-8.950327712679432</x:v>
      </x:c>
      <x:c r="E200" s="13" t="n">
        <x:f>LN('Source Data'!E200/'Source Data'!E$8)</x:f>
        <x:v>-9.0591516501484</x:v>
      </x:c>
      <x:c r="F200" s="13" t="n">
        <x:f>SLOPE(C200:E200,'Source Data'!C$7:E$7)</x:f>
        <x:v>-0.029948575314743486</x:v>
      </x:c>
      <x:c r="G200" s="14" t="n">
        <x:f>EXP(F200)-1</x:f>
        <x:v>-0.02950456031217774</x:v>
      </x:c>
      <x:c r="H200" s="8" t="n">
        <x:f>'Source Data'!F200</x:f>
        <x:v>1624</x:v>
      </x:c>
      <x:c r="I200" s="8" t="n">
        <x:f>'Source Data'!H200</x:f>
        <x:v>971</x:v>
      </x:c>
      <x:c r="J200" s="14" t="n">
        <x:f>I200/H200-1</x:f>
        <x:v>-0.4020935960591133</x:v>
      </x:c>
      <x:c r="K200" s="8" t="n">
        <x:f>H200*('Source Data'!H$8/'Source Data'!F$8)*EXP(F200*('Source Data'!H$7-'Source Data'!F$7))</x:f>
        <x:v>1466.217485671372</x:v>
      </x:c>
      <x:c r="L200" s="14" t="n">
        <x:f>I200/K200-1</x:f>
        <x:v>-0.3377517254506176</x:v>
      </x:c>
      <x:c r="M200" s="8" t="n">
        <x:f>'Source Data'!G200</x:f>
        <x:v>1621</x:v>
      </x:c>
      <x:c r="N200" s="8" t="n">
        <x:f>M200*('Source Data'!H$8/'Source Data'!G$8)*EXP(F200*('Source Data'!H$7-'Source Data'!G$7))</x:f>
        <x:v>1504.8825561497438</x:v>
      </x:c>
      <x:c r="O200" s="14" t="n">
        <x:f>I200/N200-1</x:f>
        <x:v>-0.3547669244805969</x:v>
      </x:c>
      <x:c r="P200" s="2" t="str"/>
    </x:row>
    <x:row r="201">
      <x:c r="A201" s="2" t="str">
        <x:f>'Source Data'!A201</x:f>
        <x:v>326150</x:v>
      </x:c>
      <x:c r="B201" s="2" t="str">
        <x:f>'Source Data'!B201</x:f>
        <x:v>Urethane and Other Foam Product (except Polystyrene) Manufacturing</x:v>
      </x:c>
      <x:c r="C201" s="13" t="n">
        <x:f>LN('Source Data'!C201/'Source Data'!C$8)</x:f>
        <x:v>-8.444750906755825</x:v>
      </x:c>
      <x:c r="D201" s="13" t="n">
        <x:f>LN('Source Data'!D201/'Source Data'!D$8)</x:f>
        <x:v>-8.456738391785766</x:v>
      </x:c>
      <x:c r="E201" s="13" t="n">
        <x:f>LN('Source Data'!E201/'Source Data'!E$8)</x:f>
        <x:v>-8.528081725475843</x:v>
      </x:c>
      <x:c r="F201" s="13" t="n">
        <x:f>SLOPE(C201:E201,'Source Data'!C$7:E$7)</x:f>
        <x:v>-0.041665409360009065</x:v>
      </x:c>
      <x:c r="G201" s="14" t="n">
        <x:f>EXP(F201)-1</x:f>
        <x:v>-0.040809336894813364</x:v>
      </x:c>
      <x:c r="H201" s="8" t="n">
        <x:f>'Source Data'!F201</x:f>
        <x:v>3045</x:v>
      </x:c>
      <x:c r="I201" s="8" t="n">
        <x:f>'Source Data'!H201</x:f>
        <x:v>2697</x:v>
      </x:c>
      <x:c r="J201" s="14" t="n">
        <x:f>I201/H201-1</x:f>
        <x:v>-0.11428571428571432</x:v>
      </x:c>
      <x:c r="K201" s="8" t="n">
        <x:f>H201*('Source Data'!H$8/'Source Data'!F$8)*EXP(F201*('Source Data'!H$7-'Source Data'!F$7))</x:f>
        <x:v>2623.2847891554948</x:v>
      </x:c>
      <x:c r="L201" s="14" t="n">
        <x:f>I201/K201-1</x:f>
        <x:v>0.028100346233561613</x:v>
      </x:c>
      <x:c r="M201" s="8" t="n">
        <x:f>'Source Data'!G201</x:f>
        <x:v>3067</x:v>
      </x:c>
      <x:c r="N201" s="8" t="n">
        <x:f>M201*('Source Data'!H$8/'Source Data'!G$8)*EXP(F201*('Source Data'!H$7-'Source Data'!G$7))</x:f>
        <x:v>2748.955440266023</x:v>
      </x:c>
      <x:c r="O201" s="14" t="n">
        <x:f>I201/N201-1</x:f>
        <x:v>-0.018900066368844115</x:v>
      </x:c>
      <x:c r="P201" s="2" t="str"/>
    </x:row>
    <x:row r="202">
      <x:c r="A202" s="2" t="str">
        <x:f>'Source Data'!A202</x:f>
        <x:v>326160</x:v>
      </x:c>
      <x:c r="B202" s="2" t="str">
        <x:f>'Source Data'!B202</x:f>
        <x:v>Plastics Bottle Manufacturing</x:v>
      </x:c>
      <x:c r="C202" s="13" t="n">
        <x:f>LN('Source Data'!C202/'Source Data'!C$8)</x:f>
        <x:v>-8.253144031684114</x:v>
      </x:c>
      <x:c r="D202" s="13" t="n">
        <x:f>LN('Source Data'!D202/'Source Data'!D$8)</x:f>
        <x:v>-8.242780492742105</x:v>
      </x:c>
      <x:c r="E202" s="13" t="n">
        <x:f>LN('Source Data'!E202/'Source Data'!E$8)</x:f>
        <x:v>-8.222807347124235</x:v>
      </x:c>
      <x:c r="F202" s="13" t="n">
        <x:f>SLOPE(C202:E202,'Source Data'!C$7:E$7)</x:f>
        <x:v>0.015168342279939573</x:v>
      </x:c>
      <x:c r="G202" s="14" t="n">
        <x:f>EXP(F202)-1</x:f>
        <x:v>0.015283965447927095</x:v>
      </x:c>
      <x:c r="H202" s="8" t="n">
        <x:f>'Source Data'!F202</x:f>
        <x:v>4424</x:v>
      </x:c>
      <x:c r="I202" s="8" t="n">
        <x:f>'Source Data'!H202</x:f>
        <x:v>3941</x:v>
      </x:c>
      <x:c r="J202" s="14" t="n">
        <x:f>I202/H202-1</x:f>
        <x:v>-0.10917721518987344</x:v>
      </x:c>
      <x:c r="K202" s="8" t="n">
        <x:f>H202*('Source Data'!H$8/'Source Data'!F$8)*EXP(F202*('Source Data'!H$7-'Source Data'!F$7))</x:f>
        <x:v>4784.136928605004</x:v>
      </x:c>
      <x:c r="L202" s="14" t="n">
        <x:f>I202/K202-1</x:f>
        <x:v>-0.17623595252129465</x:v>
      </x:c>
      <x:c r="M202" s="8" t="n">
        <x:f>'Source Data'!G202</x:f>
        <x:v>4294</x:v>
      </x:c>
      <x:c r="N202" s="8" t="n">
        <x:f>M202*('Source Data'!H$8/'Source Data'!G$8)*EXP(F202*('Source Data'!H$7-'Source Data'!G$7))</x:f>
        <x:v>4564.190034595541</x:v>
      </x:c>
      <x:c r="O202" s="14" t="n">
        <x:f>I202/N202-1</x:f>
        <x:v>-0.13653902003902108</x:v>
      </x:c>
      <x:c r="P202" s="2" t="str"/>
    </x:row>
    <x:row r="203">
      <x:c r="A203" s="2" t="str">
        <x:f>'Source Data'!A203</x:f>
        <x:v>326191</x:v>
      </x:c>
      <x:c r="B203" s="2" t="str">
        <x:f>'Source Data'!B203</x:f>
        <x:v>Plastics Plumbing Fixture Manufacturing</x:v>
      </x:c>
      <x:c r="C203" s="13" t="n">
        <x:f>LN('Source Data'!C203/'Source Data'!C$8)</x:f>
        <x:v>-8.848103051867376</x:v>
      </x:c>
      <x:c r="D203" s="13" t="n">
        <x:f>LN('Source Data'!D203/'Source Data'!D$8)</x:f>
        <x:v>-9.102721848931914</x:v>
      </x:c>
      <x:c r="E203" s="13" t="n">
        <x:f>LN('Source Data'!E203/'Source Data'!E$8)</x:f>
        <x:v>-9.122343110560772</x:v>
      </x:c>
      <x:c r="F203" s="13" t="n">
        <x:f>SLOPE(C203:E203,'Source Data'!C$7:E$7)</x:f>
        <x:v>-0.13712002934669787</x:v>
      </x:c>
      <x:c r="G203" s="14" t="n">
        <x:f>EXP(F203)-1</x:f>
        <x:v>-0.12813442960346777</x:v>
      </x:c>
      <x:c r="H203" s="8" t="n">
        <x:f>'Source Data'!F203</x:f>
        <x:v>1805</x:v>
      </x:c>
      <x:c r="I203" s="8" t="n">
        <x:f>'Source Data'!H203</x:f>
        <x:v>1219</x:v>
      </x:c>
      <x:c r="J203" s="14" t="n">
        <x:f>I203/H203-1</x:f>
        <x:v>-0.32465373961218835</x:v>
      </x:c>
      <x:c r="K203" s="8" t="n">
        <x:f>H203*('Source Data'!H$8/'Source Data'!F$8)*EXP(F203*('Source Data'!H$7-'Source Data'!F$7))</x:f>
        <x:v>1061.4845843039466</x:v>
      </x:c>
      <x:c r="L203" s="14" t="n">
        <x:f>I203/K203-1</x:f>
        <x:v>0.14839161870574125</x:v>
      </x:c>
      <x:c r="M203" s="8" t="n">
        <x:f>'Source Data'!G203</x:f>
        <x:v>1626</x:v>
      </x:c>
      <x:c r="N203" s="8" t="n">
        <x:f>M203*('Source Data'!H$8/'Source Data'!G$8)*EXP(F203*('Source Data'!H$7-'Source Data'!G$7))</x:f>
        <x:v>1094.480986150437</x:v>
      </x:c>
      <x:c r="O203" s="14" t="n">
        <x:f>I203/N203-1</x:f>
        <x:v>0.11376991964705341</x:v>
      </x:c>
      <x:c r="P203" s="2" t="str"/>
    </x:row>
    <x:row r="204">
      <x:c r="A204" s="2" t="str">
        <x:f>'Source Data'!A204</x:f>
        <x:v>326199</x:v>
      </x:c>
      <x:c r="B204" s="2" t="str">
        <x:f>'Source Data'!B204</x:f>
        <x:v>All Other Plastics Product Manufacturing</x:v>
      </x:c>
      <x:c r="C204" s="13" t="n">
        <x:f>LN('Source Data'!C204/'Source Data'!C$8)</x:f>
        <x:v>-6.765257665422848</x:v>
      </x:c>
      <x:c r="D204" s="13" t="n">
        <x:f>LN('Source Data'!D204/'Source Data'!D$8)</x:f>
        <x:v>-6.777603841829283</x:v>
      </x:c>
      <x:c r="E204" s="13" t="n">
        <x:f>LN('Source Data'!E204/'Source Data'!E$8)</x:f>
        <x:v>-6.821605877655206</x:v>
      </x:c>
      <x:c r="F204" s="13" t="n">
        <x:f>SLOPE(C204:E204,'Source Data'!C$7:E$7)</x:f>
        <x:v>-0.02817410611617932</x:v>
      </x:c>
      <x:c r="G204" s="14" t="n">
        <x:f>EXP(F204)-1</x:f>
        <x:v>-0.027780917223595103</x:v>
      </x:c>
      <x:c r="H204" s="8" t="n">
        <x:f>'Source Data'!F204</x:f>
        <x:v>17878</x:v>
      </x:c>
      <x:c r="I204" s="8" t="n">
        <x:f>'Source Data'!H204</x:f>
        <x:v>15633</x:v>
      </x:c>
      <x:c r="J204" s="14" t="n">
        <x:f>I204/H204-1</x:f>
        <x:v>-0.12557333035015106</x:v>
      </x:c>
      <x:c r="K204" s="8" t="n">
        <x:f>H204*('Source Data'!H$8/'Source Data'!F$8)*EXP(F204*('Source Data'!H$7-'Source Data'!F$7))</x:f>
        <x:v>16256.006760934328</x:v>
      </x:c>
      <x:c r="L204" s="14" t="n">
        <x:f>I204/K204-1</x:f>
        <x:v>-0.038324710988156596</x:v>
      </x:c>
      <x:c r="M204" s="8" t="n">
        <x:f>'Source Data'!G204</x:f>
        <x:v>17319</x:v>
      </x:c>
      <x:c r="N204" s="8" t="n">
        <x:f>M204*('Source Data'!H$8/'Source Data'!G$8)*EXP(F204*('Source Data'!H$7-'Source Data'!G$7))</x:f>
        <x:v>16164.204342503388</x:v>
      </x:c>
      <x:c r="O204" s="14" t="n">
        <x:f>I204/N204-1</x:f>
        <x:v>-0.03286300588929081</x:v>
      </x:c>
      <x:c r="P204" s="2" t="str"/>
    </x:row>
    <x:row r="205">
      <x:c r="A205" s="2" t="str">
        <x:f>'Source Data'!A205</x:f>
        <x:v>326211</x:v>
      </x:c>
      <x:c r="B205" s="2" t="str">
        <x:f>'Source Data'!B205</x:f>
        <x:v>Tire Manufacturing (except Retreading)</x:v>
      </x:c>
      <x:c r="C205" s="13" t="n">
        <x:f>LN('Source Data'!C205/'Source Data'!C$8)</x:f>
        <x:v>-12.10571261641929</x:v>
      </x:c>
      <x:c r="D205" s="13" t="n">
        <x:f>LN('Source Data'!D205/'Source Data'!D$8)</x:f>
        <x:v>-12.606009097383772</x:v>
      </x:c>
      <x:c r="E205" s="13" t="n">
        <x:f>LN('Source Data'!E205/'Source Data'!E$8)</x:f>
        <x:v>-12.64440519441672</x:v>
      </x:c>
      <x:c r="F205" s="13" t="n">
        <x:f>SLOPE(C205:E205,'Source Data'!C$7:E$7)</x:f>
        <x:v>-0.26934628899871527</x:v>
      </x:c>
      <x:c r="G205" s="14" t="n">
        <x:f>EXP(F205)-1</x:f>
        <x:v>-0.2361213129434343</x:v>
      </x:c>
      <x:c r="H205" s="8" t="n">
        <x:f>'Source Data'!F205</x:f>
        <x:v>55</x:v>
      </x:c>
      <x:c r="I205" s="8" t="n">
        <x:f>'Source Data'!H205</x:f>
        <x:v>51</x:v>
      </x:c>
      <x:c r="J205" s="14" t="n">
        <x:f>I205/H205-1</x:f>
        <x:v>-0.07272727272727275</x:v>
      </x:c>
      <x:c r="K205" s="8" t="n">
        <x:f>H205*('Source Data'!H$8/'Source Data'!F$8)*EXP(F205*('Source Data'!H$7-'Source Data'!F$7))</x:f>
        <x:v>19.058935264007083</x:v>
      </x:c>
      <x:c r="L205" s="14" t="n">
        <x:f>I205/K205-1</x:f>
        <x:v>1.6759102380873192</x:v>
      </x:c>
      <x:c r="M205" s="8" t="n">
        <x:f>'Source Data'!G205</x:f>
        <x:v>60</x:v>
      </x:c>
      <x:c r="N205" s="8" t="n">
        <x:f>M205*('Source Data'!H$8/'Source Data'!G$8)*EXP(F205*('Source Data'!H$7-'Source Data'!G$7))</x:f>
        <x:v>27.162111367409548</x:v>
      </x:c>
      <x:c r="O205" s="14" t="n">
        <x:f>I205/N205-1</x:f>
        <x:v>0.8776154515437389</x:v>
      </x:c>
      <x:c r="P205" s="2" t="str"/>
    </x:row>
    <x:row r="206">
      <x:c r="A206" s="2" t="str">
        <x:f>'Source Data'!A206</x:f>
        <x:v>326212</x:v>
      </x:c>
      <x:c r="B206" s="2" t="str">
        <x:f>'Source Data'!B206</x:f>
        <x:v>Tire Retreading</x:v>
      </x:c>
      <x:c r="C206" s="13" t="n">
        <x:f>LN('Source Data'!C206/'Source Data'!C$8)</x:f>
        <x:v>-11.00710032775118</x:v>
      </x:c>
      <x:c r="D206" s="13" t="n">
        <x:f>LN('Source Data'!D206/'Source Data'!D$8)</x:f>
        <x:v>-10.657187738121001</x:v>
      </x:c>
      <x:c r="E206" s="13" t="n">
        <x:f>LN('Source Data'!E206/'Source Data'!E$8)</x:f>
        <x:v>-10.716513550864084</x:v>
      </x:c>
      <x:c r="F206" s="13" t="n">
        <x:f>SLOPE(C206:E206,'Source Data'!C$7:E$7)</x:f>
        <x:v>0.1452933884435481</x:v>
      </x:c>
      <x:c r="G206" s="14" t="n">
        <x:f>EXP(F206)-1</x:f>
        <x:v>0.15637878867716992</x:v>
      </x:c>
      <x:c r="H206" s="8" t="n">
        <x:f>'Source Data'!F206</x:f>
        <x:v>355</x:v>
      </x:c>
      <x:c r="I206" s="8" t="n">
        <x:f>'Source Data'!H206</x:f>
        <x:v>502</x:v>
      </x:c>
      <x:c r="J206" s="14" t="n">
        <x:f>I206/H206-1</x:f>
        <x:v>0.4140845070422534</x:v>
      </x:c>
      <x:c r="K206" s="8" t="n">
        <x:f>H206*('Source Data'!H$8/'Source Data'!F$8)*EXP(F206*('Source Data'!H$7-'Source Data'!F$7))</x:f>
        <x:v>646.051581648853</x:v>
      </x:c>
      <x:c r="L206" s="14" t="n">
        <x:f>I206/K206-1</x:f>
        <x:v>-0.2229722606377722</x:v>
      </x:c>
      <x:c r="M206" s="8" t="n">
        <x:f>'Source Data'!G206</x:f>
        <x:v>353</x:v>
      </x:c>
      <x:c r="N206" s="8" t="n">
        <x:f>M206*('Source Data'!H$8/'Source Data'!G$8)*EXP(F206*('Source Data'!H$7-'Source Data'!G$7))</x:f>
        <x:v>554.3884225601437</x:v>
      </x:c>
      <x:c r="O206" s="14" t="n">
        <x:f>I206/N206-1</x:f>
        <x:v>-0.0944976850674768</x:v>
      </x:c>
      <x:c r="P206" s="2" t="str"/>
    </x:row>
    <x:row r="207">
      <x:c r="A207" s="2" t="str">
        <x:f>'Source Data'!A207</x:f>
        <x:v>326220</x:v>
      </x:c>
      <x:c r="B207" s="2" t="str">
        <x:f>'Source Data'!B207</x:f>
        <x:v>Rubber and Plastics Hoses and Belting Manufacturing</x:v>
      </x:c>
      <x:c r="C207" s="13" t="n">
        <x:f>LN('Source Data'!C207/'Source Data'!C$8)</x:f>
        <x:v>-10.178051148952376</x:v>
      </x:c>
      <x:c r="D207" s="13" t="n">
        <x:f>LN('Source Data'!D207/'Source Data'!D$8)</x:f>
        <x:v>-10.204410116647917</x:v>
      </x:c>
      <x:c r="E207" s="13" t="n">
        <x:f>LN('Source Data'!E207/'Source Data'!E$8)</x:f>
        <x:v>-10.275330360153841</x:v>
      </x:c>
      <x:c r="F207" s="13" t="n">
        <x:f>SLOPE(C207:E207,'Source Data'!C$7:E$7)</x:f>
        <x:v>-0.04863960560073277</x:v>
      </x:c>
      <x:c r="G207" s="14" t="n">
        <x:f>EXP(F207)-1</x:f>
        <x:v>-0.04747564771122914</x:v>
      </x:c>
      <x:c r="H207" s="8" t="n">
        <x:f>'Source Data'!F207</x:f>
        <x:v>417</x:v>
      </x:c>
      <x:c r="I207" s="8" t="n">
        <x:f>'Source Data'!H207</x:f>
        <x:v>783</x:v>
      </x:c>
      <x:c r="J207" s="14" t="n">
        <x:f>I207/H207-1</x:f>
        <x:v>0.8776978417266188</x:v>
      </x:c>
      <x:c r="K207" s="8" t="n">
        <x:f>H207*('Source Data'!H$8/'Source Data'!F$8)*EXP(F207*('Source Data'!H$7-'Source Data'!F$7))</x:f>
        <x:v>349.36450513718285</x:v>
      </x:c>
      <x:c r="L207" s="14" t="n">
        <x:f>I207/K207-1</x:f>
        <x:v>1.2412122253018922</x:v>
      </x:c>
      <x:c r="M207" s="8" t="n">
        <x:f>'Source Data'!G207</x:f>
        <x:v>376</x:v>
      </x:c>
      <x:c r="N207" s="8" t="n">
        <x:f>M207*('Source Data'!H$8/'Source Data'!G$8)*EXP(F207*('Source Data'!H$7-'Source Data'!G$7))</x:f>
        <x:v>330.0313563382732</x:v>
      </x:c>
      <x:c r="O207" s="14" t="n">
        <x:f>I207/N207-1</x:f>
        <x:v>1.3725018394841433</x:v>
      </x:c>
      <x:c r="P207" s="2" t="str"/>
    </x:row>
    <x:row r="208">
      <x:c r="A208" s="2" t="str">
        <x:f>'Source Data'!A208</x:f>
        <x:v>326291</x:v>
      </x:c>
      <x:c r="B208" s="2" t="str">
        <x:f>'Source Data'!B208</x:f>
        <x:v>Rubber Product Manufacturing for Mechanical Use</x:v>
      </x:c>
      <x:c r="C208" s="13" t="n">
        <x:f>LN('Source Data'!C208/'Source Data'!C$8)</x:f>
        <x:v>-9.292808357001048</x:v>
      </x:c>
      <x:c r="D208" s="13" t="n">
        <x:f>LN('Source Data'!D208/'Source Data'!D$8)</x:f>
        <x:v>-9.427105288234122</x:v>
      </x:c>
      <x:c r="E208" s="13" t="n">
        <x:f>LN('Source Data'!E208/'Source Data'!E$8)</x:f>
        <x:v>-9.444032841113078</x:v>
      </x:c>
      <x:c r="F208" s="13" t="n">
        <x:f>SLOPE(C208:E208,'Source Data'!C$7:E$7)</x:f>
        <x:v>-0.0756122420560148</x:v>
      </x:c>
      <x:c r="G208" s="14" t="n">
        <x:f>EXP(F208)-1</x:f>
        <x:v>-0.07282434340861121</x:v>
      </x:c>
      <x:c r="H208" s="8" t="n">
        <x:f>'Source Data'!F208</x:f>
        <x:v>936</x:v>
      </x:c>
      <x:c r="I208" s="8" t="n">
        <x:f>'Source Data'!H208</x:f>
        <x:v>979</x:v>
      </x:c>
      <x:c r="J208" s="14" t="n">
        <x:f>I208/H208-1</x:f>
        <x:v>0.045940170940171</x:v>
      </x:c>
      <x:c r="K208" s="8" t="n">
        <x:f>H208*('Source Data'!H$8/'Source Data'!F$8)*EXP(F208*('Source Data'!H$7-'Source Data'!F$7))</x:f>
        <x:v>703.9832148650061</x:v>
      </x:c>
      <x:c r="L208" s="14" t="n">
        <x:f>I208/K208-1</x:f>
        <x:v>0.390658156796722</x:v>
      </x:c>
      <x:c r="M208" s="8" t="n">
        <x:f>'Source Data'!G208</x:f>
        <x:v>1118</x:v>
      </x:c>
      <x:c r="N208" s="8" t="n">
        <x:f>M208*('Source Data'!H$8/'Source Data'!G$8)*EXP(F208*('Source Data'!H$7-'Source Data'!G$7))</x:f>
        <x:v>905.0383062142183</x:v>
      </x:c>
      <x:c r="O208" s="14" t="n">
        <x:f>I208/N208-1</x:f>
        <x:v>0.08172216941309807</x:v>
      </x:c>
      <x:c r="P208" s="2" t="str"/>
    </x:row>
    <x:row r="209">
      <x:c r="A209" s="2" t="str">
        <x:f>'Source Data'!A209</x:f>
        <x:v>326299</x:v>
      </x:c>
      <x:c r="B209" s="2" t="str">
        <x:f>'Source Data'!B209</x:f>
        <x:v>All Other Rubber Product Manufacturing</x:v>
      </x:c>
      <x:c r="C209" s="13" t="n">
        <x:f>LN('Source Data'!C209/'Source Data'!C$8)</x:f>
        <x:v>-8.564203086040722</x:v>
      </x:c>
      <x:c r="D209" s="13" t="n">
        <x:f>LN('Source Data'!D209/'Source Data'!D$8)</x:f>
        <x:v>-8.621190934518937</x:v>
      </x:c>
      <x:c r="E209" s="13" t="n">
        <x:f>LN('Source Data'!E209/'Source Data'!E$8)</x:f>
        <x:v>-8.592620246613414</x:v>
      </x:c>
      <x:c r="F209" s="13" t="n">
        <x:f>SLOPE(C209:E209,'Source Data'!C$7:E$7)</x:f>
        <x:v>-0.014208580286346084</x:v>
      </x:c>
      <x:c r="G209" s="14" t="n">
        <x:f>EXP(F209)-1</x:f>
        <x:v>-0.014108114796327231</x:v>
      </x:c>
      <x:c r="H209" s="8" t="n">
        <x:f>'Source Data'!F209</x:f>
        <x:v>2360</x:v>
      </x:c>
      <x:c r="I209" s="8" t="n">
        <x:f>'Source Data'!H209</x:f>
        <x:v>2269</x:v>
      </x:c>
      <x:c r="J209" s="14" t="n">
        <x:f>I209/H209-1</x:f>
        <x:v>-0.038559322033898336</x:v>
      </x:c>
      <x:c r="K209" s="8" t="n">
        <x:f>H209*('Source Data'!H$8/'Source Data'!F$8)*EXP(F209*('Source Data'!H$7-'Source Data'!F$7))</x:f>
        <x:v>2269.1726711016427</x:v>
      </x:c>
      <x:c r="L209" s="14" t="n">
        <x:f>I209/K209-1</x:f>
        <x:v>-0.00007609429808563828</x:v>
      </x:c>
      <x:c r="M209" s="8" t="n">
        <x:f>'Source Data'!G209</x:f>
        <x:v>2337</x:v>
      </x:c>
      <x:c r="N209" s="8" t="n">
        <x:f>M209*('Source Data'!H$8/'Source Data'!G$8)*EXP(F209*('Source Data'!H$7-'Source Data'!G$7))</x:f>
        <x:v>2274.498656306406</x:v>
      </x:c>
      <x:c r="O209" s="14" t="n">
        <x:f>I209/N209-1</x:f>
        <x:v>-0.0024175245349826735</x:v>
      </x:c>
      <x:c r="P209" s="2" t="str"/>
    </x:row>
    <x:row r="210">
      <x:c r="A210" s="2" t="str">
        <x:f>'Source Data'!A210</x:f>
        <x:v>327110</x:v>
      </x:c>
      <x:c r="B210" s="2" t="str">
        <x:f>'Source Data'!B210</x:f>
        <x:v>Pottery, Ceramics, and Plumbing Fixture Manufacturing</x:v>
      </x:c>
      <x:c r="C210" s="13" t="n">
        <x:f>LN('Source Data'!C210/'Source Data'!C$8)</x:f>
        <x:v>-9.832673667519055</x:v>
      </x:c>
      <x:c r="D210" s="13" t="n">
        <x:f>LN('Source Data'!D210/'Source Data'!D$8)</x:f>
        <x:v>-9.863196037632713</x:v>
      </x:c>
      <x:c r="E210" s="13" t="n">
        <x:f>LN('Source Data'!E210/'Source Data'!E$8)</x:f>
        <x:v>-9.928056190499815</x:v>
      </x:c>
      <x:c r="F210" s="13" t="n">
        <x:f>SLOPE(C210:E210,'Source Data'!C$7:E$7)</x:f>
        <x:v>-0.047691261490379944</x:v>
      </x:c>
      <x:c r="G210" s="14" t="n">
        <x:f>EXP(F210)-1</x:f>
        <x:v>-0.04657189838682674</x:v>
      </x:c>
      <x:c r="H210" s="8" t="n">
        <x:f>'Source Data'!F210</x:f>
        <x:v>964</x:v>
      </x:c>
      <x:c r="I210" s="8" t="n">
        <x:f>'Source Data'!H210</x:f>
        <x:v>882</x:v>
      </x:c>
      <x:c r="J210" s="14" t="n">
        <x:f>I210/H210-1</x:f>
        <x:v>-0.08506224066390045</x:v>
      </x:c>
      <x:c r="K210" s="8" t="n">
        <x:f>H210*('Source Data'!H$8/'Source Data'!F$8)*EXP(F210*('Source Data'!H$7-'Source Data'!F$7))</x:f>
        <x:v>810.7131186543832</x:v>
      </x:c>
      <x:c r="L210" s="14" t="n">
        <x:f>I210/K210-1</x:f>
        <x:v>0.08793108154452756</x:v>
      </x:c>
      <x:c r="M210" s="8" t="n">
        <x:f>'Source Data'!G210</x:f>
        <x:v>1092</x:v>
      </x:c>
      <x:c r="N210" s="8" t="n">
        <x:f>M210*('Source Data'!H$8/'Source Data'!G$8)*EXP(F210*('Source Data'!H$7-'Source Data'!G$7))</x:f>
        <x:v>961.2261551240833</x:v>
      </x:c>
      <x:c r="O210" s="14" t="n">
        <x:f>I210/N210-1</x:f>
        <x:v>-0.08242197187596934</x:v>
      </x:c>
      <x:c r="P210" s="2" t="str"/>
    </x:row>
    <x:row r="211">
      <x:c r="A211" s="2" t="str">
        <x:f>'Source Data'!A211</x:f>
        <x:v>327120</x:v>
      </x:c>
      <x:c r="B211" s="2" t="str">
        <x:f>'Source Data'!B211</x:f>
        <x:v>Clay Building Material and Refractories Manufacturing</x:v>
      </x:c>
      <x:c r="C211" s="13" t="n">
        <x:f>LN('Source Data'!C211/'Source Data'!C$8)</x:f>
        <x:v>-9.312762971530592</x:v>
      </x:c>
      <x:c r="D211" s="13" t="n">
        <x:f>LN('Source Data'!D211/'Source Data'!D$8)</x:f>
        <x:v>-9.325404818369554</x:v>
      </x:c>
      <x:c r="E211" s="13" t="n">
        <x:f>LN('Source Data'!E211/'Source Data'!E$8)</x:f>
        <x:v>-9.298162773628079</x:v>
      </x:c>
      <x:c r="F211" s="13" t="n">
        <x:f>SLOPE(C211:E211,'Source Data'!C$7:E$7)</x:f>
        <x:v>0.007300098951256828</x:v>
      </x:c>
      <x:c r="G211" s="14" t="n">
        <x:f>EXP(F211)-1</x:f>
        <x:v>0.007326809630914477</x:v>
      </x:c>
      <x:c r="H211" s="8" t="n">
        <x:f>'Source Data'!F211</x:f>
        <x:v>1275</x:v>
      </x:c>
      <x:c r="I211" s="8" t="n">
        <x:f>'Source Data'!H211</x:f>
        <x:v>1020</x:v>
      </x:c>
      <x:c r="J211" s="14" t="n">
        <x:f>I211/H211-1</x:f>
        <x:v>-0.19999999999999996</x:v>
      </x:c>
      <x:c r="K211" s="8" t="n">
        <x:f>H211*('Source Data'!H$8/'Source Data'!F$8)*EXP(F211*('Source Data'!H$7-'Source Data'!F$7))</x:f>
        <x:v>1336.072819862799</x:v>
      </x:c>
      <x:c r="L211" s="14" t="n">
        <x:f>I211/K211-1</x:f>
        <x:v>-0.2365685576144393</x:v>
      </x:c>
      <x:c r="M211" s="8" t="n">
        <x:f>'Source Data'!G211</x:f>
        <x:v>1058</x:v>
      </x:c>
      <x:c r="N211" s="8" t="n">
        <x:f>M211*('Source Data'!H$8/'Source Data'!G$8)*EXP(F211*('Source Data'!H$7-'Source Data'!G$7))</x:f>
        <x:v>1098.337829446037</x:v>
      </x:c>
      <x:c r="O211" s="14" t="n">
        <x:f>I211/N211-1</x:f>
        <x:v>-0.07132398370139703</x:v>
      </x:c>
      <x:c r="P211" s="2" t="str"/>
    </x:row>
    <x:row r="212">
      <x:c r="A212" s="2" t="str">
        <x:f>'Source Data'!A212</x:f>
        <x:v>327211</x:v>
      </x:c>
      <x:c r="B212" s="2" t="str">
        <x:f>'Source Data'!B212</x:f>
        <x:v>Flat Glass Manufacturing</x:v>
      </x:c>
      <x:c r="C212" s="13" t="n">
        <x:f>LN('Source Data'!C212/'Source Data'!C$8)</x:f>
        <x:v>-10.808733780773878</x:v>
      </x:c>
      <x:c r="D212" s="13" t="n">
        <x:f>LN('Source Data'!D212/'Source Data'!D$8)</x:f>
        <x:v>-9.941051039336356</x:v>
      </x:c>
      <x:c r="E212" s="13" t="n">
        <x:f>LN('Source Data'!E212/'Source Data'!E$8)</x:f>
        <x:v>-9.880972847462925</x:v>
      </x:c>
      <x:c r="F212" s="13" t="n">
        <x:f>SLOPE(C212:E212,'Source Data'!C$7:E$7)</x:f>
        <x:v>0.46388046665547655</x:v>
      </x:c>
      <x:c r="G212" s="14" t="n">
        <x:f>EXP(F212)-1</x:f>
        <x:v>0.5902328732248798</x:v>
      </x:c>
      <x:c r="H212" s="8" t="n">
        <x:f>'Source Data'!F212</x:f>
        <x:v>780</x:v>
      </x:c>
      <x:c r="I212" s="8" t="n">
        <x:f>'Source Data'!H212</x:f>
        <x:v>659</x:v>
      </x:c>
      <x:c r="J212" s="14" t="n">
        <x:f>I212/H212-1</x:f>
        <x:v>-0.15512820512820513</x:v>
      </x:c>
      <x:c r="K212" s="8" t="n">
        <x:f>H212*('Source Data'!H$8/'Source Data'!F$8)*EXP(F212*('Source Data'!H$7-'Source Data'!F$7))</x:f>
        <x:v>5076.63434964069</x:v>
      </x:c>
      <x:c r="L212" s="14" t="n">
        <x:f>I212/K212-1</x:f>
        <x:v>-0.8701895873106082</x:v>
      </x:c>
      <x:c r="M212" s="8" t="n">
        <x:f>'Source Data'!G212</x:f>
        <x:v>836</x:v>
      </x:c>
      <x:c r="N212" s="8" t="n">
        <x:f>M212*('Source Data'!H$8/'Source Data'!G$8)*EXP(F212*('Source Data'!H$7-'Source Data'!G$7))</x:f>
        <x:v>3414.503439139626</x:v>
      </x:c>
      <x:c r="O212" s="14" t="n">
        <x:f>I212/N212-1</x:f>
        <x:v>-0.8069997550899957</x:v>
      </x:c>
      <x:c r="P212" s="2" t="str"/>
    </x:row>
    <x:row r="213">
      <x:c r="A213" s="2" t="str">
        <x:f>'Source Data'!A213</x:f>
        <x:v>327212</x:v>
      </x:c>
      <x:c r="B213" s="2" t="str">
        <x:f>'Source Data'!B213</x:f>
        <x:v>Other Pressed and Blown Glass and Glassware Manufacturing</x:v>
      </x:c>
      <x:c r="C213" s="13" t="n">
        <x:f>LN('Source Data'!C213/'Source Data'!C$8)</x:f>
        <x:v>-9.742949762419105</x:v>
      </x:c>
      <x:c r="D213" s="13" t="n">
        <x:f>LN('Source Data'!D213/'Source Data'!D$8)</x:f>
        <x:v>-9.68548430131692</x:v>
      </x:c>
      <x:c r="E213" s="13" t="n">
        <x:f>LN('Source Data'!E213/'Source Data'!E$8)</x:f>
        <x:v>-9.799011431803633</x:v>
      </x:c>
      <x:c r="F213" s="13" t="n">
        <x:f>SLOPE(C213:E213,'Source Data'!C$7:E$7)</x:f>
        <x:v>-0.028030834692263973</x:v>
      </x:c>
      <x:c r="G213" s="14" t="n">
        <x:f>EXP(F213)-1</x:f>
        <x:v>-0.027641616032546334</x:v>
      </x:c>
      <x:c r="H213" s="8" t="n">
        <x:f>'Source Data'!F213</x:f>
        <x:v>719</x:v>
      </x:c>
      <x:c r="I213" s="8" t="n">
        <x:f>'Source Data'!H213</x:f>
        <x:v>357</x:v>
      </x:c>
      <x:c r="J213" s="14" t="n">
        <x:f>I213/H213-1</x:f>
        <x:v>-0.5034770514603616</x:v>
      </x:c>
      <x:c r="K213" s="8" t="n">
        <x:f>H213*('Source Data'!H$8/'Source Data'!F$8)*EXP(F213*('Source Data'!H$7-'Source Data'!F$7))</x:f>
        <x:v>654.1430275138517</x:v>
      </x:c>
      <x:c r="L213" s="14" t="n">
        <x:f>I213/K213-1</x:f>
        <x:v>-0.4542477944665696</x:v>
      </x:c>
      <x:c r="M213" s="8" t="n">
        <x:f>'Source Data'!G213</x:f>
        <x:v>607</x:v>
      </x:c>
      <x:c r="N213" s="8" t="n">
        <x:f>M213*('Source Data'!H$8/'Source Data'!G$8)*EXP(F213*('Source Data'!H$7-'Source Data'!G$7))</x:f>
        <x:v>566.7700293900224</x:v>
      </x:c>
      <x:c r="O213" s="14" t="n">
        <x:f>I213/N213-1</x:f>
        <x:v>-0.37011489407050013</x:v>
      </x:c>
      <x:c r="P213" s="2" t="str"/>
    </x:row>
    <x:row r="214">
      <x:c r="A214" s="2" t="str">
        <x:f>'Source Data'!A214</x:f>
        <x:v>327213</x:v>
      </x:c>
      <x:c r="B214" s="2" t="str">
        <x:f>'Source Data'!B214</x:f>
        <x:v>Glass Container Manufacturing</x:v>
      </x:c>
      <x:c r="C214" s="13" t="n">
        <x:f>LN('Source Data'!C214/'Source Data'!C$8)</x:f>
        <x:v>-9.00893291267083</x:v>
      </x:c>
      <x:c r="D214" s="13" t="n">
        <x:f>LN('Source Data'!D214/'Source Data'!D$8)</x:f>
        <x:v>-9.060034273822467</x:v>
      </x:c>
      <x:c r="E214" s="13" t="n">
        <x:f>LN('Source Data'!E214/'Source Data'!E$8)</x:f>
        <x:v>-9.070772931432417</x:v>
      </x:c>
      <x:c r="F214" s="13" t="n">
        <x:f>SLOPE(C214:E214,'Source Data'!C$7:E$7)</x:f>
        <x:v>-0.030920009380793978</x:v>
      </x:c>
      <x:c r="G214" s="14" t="n">
        <x:f>EXP(F214)-1</x:f>
        <x:v>-0.030446874870901586</x:v>
      </x:c>
      <x:c r="H214" s="8" t="n">
        <x:f>'Source Data'!F214</x:f>
        <x:v>1795</x:v>
      </x:c>
      <x:c r="I214" s="8" t="n">
        <x:f>'Source Data'!H214</x:f>
        <x:v>1562</x:v>
      </x:c>
      <x:c r="J214" s="14" t="n">
        <x:f>I214/H214-1</x:f>
        <x:v>-0.1298050139275766</x:v>
      </x:c>
      <x:c r="K214" s="8" t="n">
        <x:f>H214*('Source Data'!H$8/'Source Data'!F$8)*EXP(F214*('Source Data'!H$7-'Source Data'!F$7))</x:f>
        <x:v>1614.3186667991208</x:v>
      </x:c>
      <x:c r="L214" s="14" t="n">
        <x:f>I214/K214-1</x:f>
        <x:v>-0.032409132022773735</x:v>
      </x:c>
      <x:c r="M214" s="8" t="n">
        <x:f>'Source Data'!G214</x:f>
        <x:v>1829</x:v>
      </x:c>
      <x:c r="N214" s="8" t="n">
        <x:f>M214*('Source Data'!H$8/'Source Data'!G$8)*EXP(F214*('Source Data'!H$7-'Source Data'!G$7))</x:f>
        <x:v>1693.041615604448</x:v>
      </x:c>
      <x:c r="O214" s="14" t="n">
        <x:f>I214/N214-1</x:f>
        <x:v>-0.0774001149154645</x:v>
      </x:c>
      <x:c r="P214" s="2" t="str"/>
    </x:row>
    <x:row r="215">
      <x:c r="A215" s="2" t="str">
        <x:f>'Source Data'!A215</x:f>
        <x:v>327215</x:v>
      </x:c>
      <x:c r="B215" s="2" t="str">
        <x:f>'Source Data'!B215</x:f>
        <x:v>Glass Product Manufacturing Made of Purchased Glass</x:v>
      </x:c>
      <x:c r="C215" s="13" t="n">
        <x:f>LN('Source Data'!C215/'Source Data'!C$8)</x:f>
        <x:v>-8.170418199245539</x:v>
      </x:c>
      <x:c r="D215" s="13" t="n">
        <x:f>LN('Source Data'!D215/'Source Data'!D$8)</x:f>
        <x:v>-8.189630332287951</x:v>
      </x:c>
      <x:c r="E215" s="13" t="n">
        <x:f>LN('Source Data'!E215/'Source Data'!E$8)</x:f>
        <x:v>-8.228329449510012</x:v>
      </x:c>
      <x:c r="F215" s="13" t="n">
        <x:f>SLOPE(C215:E215,'Source Data'!C$7:E$7)</x:f>
        <x:v>-0.028955625132236484</x:v>
      </x:c>
      <x:c r="G215" s="14" t="n">
        <x:f>EXP(F215)-1</x:f>
        <x:v>-0.02854042809980495</x:v>
      </x:c>
      <x:c r="H215" s="8" t="n">
        <x:f>'Source Data'!F215</x:f>
        <x:v>3833</x:v>
      </x:c>
      <x:c r="I215" s="8" t="n">
        <x:f>'Source Data'!H215</x:f>
        <x:v>3452</x:v>
      </x:c>
      <x:c r="J215" s="14" t="n">
        <x:f>I215/H215-1</x:f>
        <x:v>-0.0993999478215497</x:v>
      </x:c>
      <x:c r="K215" s="8" t="n">
        <x:f>H215*('Source Data'!H$8/'Source Data'!F$8)*EXP(F215*('Source Data'!H$7-'Source Data'!F$7))</x:f>
        <x:v>3474.370428569256</x:v>
      </x:c>
      <x:c r="L215" s="14" t="n">
        <x:f>I215/K215-1</x:f>
        <x:v>-0.0064386999110133125</x:v>
      </x:c>
      <x:c r="M215" s="8" t="n">
        <x:f>'Source Data'!G215</x:f>
        <x:v>3913</x:v>
      </x:c>
      <x:c r="N215" s="8" t="n">
        <x:f>M215*('Source Data'!H$8/'Source Data'!G$8)*EXP(F215*('Source Data'!H$7-'Source Data'!G$7))</x:f>
        <x:v>3643.5366256263524</x:v>
      </x:c>
      <x:c r="O215" s="14" t="n">
        <x:f>I215/N215-1</x:f>
        <x:v>-0.05256887615159511</x:v>
      </x:c>
      <x:c r="P215" s="2" t="str"/>
    </x:row>
    <x:row r="216">
      <x:c r="A216" s="2" t="str">
        <x:f>'Source Data'!A216</x:f>
        <x:v>327310</x:v>
      </x:c>
      <x:c r="B216" s="2" t="str">
        <x:f>'Source Data'!B216</x:f>
        <x:v>Cement Manufacturing</x:v>
      </x:c>
      <x:c r="C216" s="13" t="n">
        <x:f>LN('Source Data'!C216/'Source Data'!C$8)</x:f>
        <x:v>-9.334707425785153</x:v>
      </x:c>
      <x:c r="D216" s="13" t="n">
        <x:f>LN('Source Data'!D216/'Source Data'!D$8)</x:f>
        <x:v>-9.338537490696835</x:v>
      </x:c>
      <x:c r="E216" s="13" t="n">
        <x:f>LN('Source Data'!E216/'Source Data'!E$8)</x:f>
        <x:v>-9.182583190938129</x:v>
      </x:c>
      <x:c r="F216" s="13" t="n">
        <x:f>SLOPE(C216:E216,'Source Data'!C$7:E$7)</x:f>
        <x:v>0.0760621174235121</x:v>
      </x:c>
      <x:c r="G216" s="14" t="n">
        <x:f>EXP(F216)-1</x:f>
        <x:v>0.07902959861412828</x:v>
      </x:c>
      <x:c r="H216" s="8" t="n">
        <x:f>'Source Data'!F216</x:f>
        <x:v>1359</x:v>
      </x:c>
      <x:c r="I216" s="8" t="n">
        <x:f>'Source Data'!H216</x:f>
        <x:v>1300</x:v>
      </x:c>
      <x:c r="J216" s="14" t="n">
        <x:f>I216/H216-1</x:f>
        <x:v>-0.043414275202354635</x:v>
      </x:c>
      <x:c r="K216" s="8" t="n">
        <x:f>H216*('Source Data'!H$8/'Source Data'!F$8)*EXP(F216*('Source Data'!H$7-'Source Data'!F$7))</x:f>
        <x:v>1874.956782759922</x:v>
      </x:c>
      <x:c r="L216" s="14" t="n">
        <x:f>I216/K216-1</x:f>
        <x:v>-0.3066506855233164</x:v>
      </x:c>
      <x:c r="M216" s="8" t="n">
        <x:f>'Source Data'!G216</x:f>
        <x:v>1316</x:v>
      </x:c>
      <x:c r="N216" s="8" t="n">
        <x:f>M216*('Source Data'!H$8/'Source Data'!G$8)*EXP(F216*('Source Data'!H$7-'Source Data'!G$7))</x:f>
        <x:v>1679.1715180122735</x:v>
      </x:c>
      <x:c r="O216" s="14" t="n">
        <x:f>I216/N216-1</x:f>
        <x:v>-0.22580868835907808</x:v>
      </x:c>
      <x:c r="P216" s="2" t="str"/>
    </x:row>
    <x:row r="217">
      <x:c r="A217" s="2" t="str">
        <x:f>'Source Data'!A217</x:f>
        <x:v>327320</x:v>
      </x:c>
      <x:c r="B217" s="2" t="str">
        <x:f>'Source Data'!B217</x:f>
        <x:v>Ready-Mix Concrete Manufacturing</x:v>
      </x:c>
      <x:c r="C217" s="13" t="n">
        <x:f>LN('Source Data'!C217/'Source Data'!C$8)</x:f>
        <x:v>-7.557581715105207</x:v>
      </x:c>
      <x:c r="D217" s="13" t="n">
        <x:f>LN('Source Data'!D217/'Source Data'!D$8)</x:f>
        <x:v>-7.559297746813707</x:v>
      </x:c>
      <x:c r="E217" s="13" t="n">
        <x:f>LN('Source Data'!E217/'Source Data'!E$8)</x:f>
        <x:v>-7.547210014126355</x:v>
      </x:c>
      <x:c r="F217" s="13" t="n">
        <x:f>SLOPE(C217:E217,'Source Data'!C$7:E$7)</x:f>
        <x:v>0.005185850489425992</x:v>
      </x:c>
      <x:c r="G217" s="14" t="n">
        <x:f>EXP(F217)-1</x:f>
        <x:v>0.005199320286126685</x:v>
      </x:c>
      <x:c r="H217" s="8" t="n">
        <x:f>'Source Data'!F217</x:f>
        <x:v>7711</x:v>
      </x:c>
      <x:c r="I217" s="8" t="n">
        <x:f>'Source Data'!H217</x:f>
        <x:v>8039</x:v>
      </x:c>
      <x:c r="J217" s="14" t="n">
        <x:f>I217/H217-1</x:f>
        <x:v>0.04253663597458179</x:v>
      </x:c>
      <x:c r="K217" s="8" t="n">
        <x:f>H217*('Source Data'!H$8/'Source Data'!F$8)*EXP(F217*('Source Data'!H$7-'Source Data'!F$7))</x:f>
        <x:v>8012.311433325367</x:v>
      </x:c>
      <x:c r="L217" s="14" t="n">
        <x:f>I217/K217-1</x:f>
        <x:v>0.003330944746309683</x:v>
      </x:c>
      <x:c r="M217" s="8" t="n">
        <x:f>'Source Data'!G217</x:f>
        <x:v>8282</x:v>
      </x:c>
      <x:c r="N217" s="8" t="n">
        <x:f>M217*('Source Data'!H$8/'Source Data'!G$8)*EXP(F217*('Source Data'!H$7-'Source Data'!G$7))</x:f>
        <x:v>8543.40276912541</x:v>
      </x:c>
      <x:c r="O217" s="14" t="n">
        <x:f>I217/N217-1</x:f>
        <x:v>-0.059040031560755546</x:v>
      </x:c>
      <x:c r="P217" s="2" t="str"/>
    </x:row>
    <x:row r="218">
      <x:c r="A218" s="2" t="str">
        <x:f>'Source Data'!A218</x:f>
        <x:v>327331</x:v>
      </x:c>
      <x:c r="B218" s="2" t="str">
        <x:f>'Source Data'!B218</x:f>
        <x:v>Concrete Block and Brick Manufacturing</x:v>
      </x:c>
      <x:c r="C218" s="13" t="n">
        <x:f>LN('Source Data'!C218/'Source Data'!C$8)</x:f>
        <x:v>-8.951139053680185</x:v>
      </x:c>
      <x:c r="D218" s="13" t="n">
        <x:f>LN('Source Data'!D218/'Source Data'!D$8)</x:f>
        <x:v>-9.409420616819004</x:v>
      </x:c>
      <x:c r="E218" s="13" t="n">
        <x:f>LN('Source Data'!E218/'Source Data'!E$8)</x:f>
        <x:v>-9.444032841113078</x:v>
      </x:c>
      <x:c r="F218" s="13" t="n">
        <x:f>SLOPE(C218:E218,'Source Data'!C$7:E$7)</x:f>
        <x:v>-0.24644689371644635</x:v>
      </x:c>
      <x:c r="G218" s="14" t="n">
        <x:f>EXP(F218)-1</x:f>
        <x:v>-0.21842713313481643</x:v>
      </x:c>
      <x:c r="H218" s="8" t="n">
        <x:f>'Source Data'!F218</x:f>
        <x:v>1236</x:v>
      </x:c>
      <x:c r="I218" s="8" t="n">
        <x:f>'Source Data'!H218</x:f>
        <x:v>1109</x:v>
      </x:c>
      <x:c r="J218" s="14" t="n">
        <x:f>I218/H218-1</x:f>
        <x:v>-0.1027508090614887</x:v>
      </x:c>
      <x:c r="K218" s="8" t="n">
        <x:f>H218*('Source Data'!H$8/'Source Data'!F$8)*EXP(F218*('Source Data'!H$7-'Source Data'!F$7))</x:f>
        <x:v>469.3909804876893</x:v>
      </x:c>
      <x:c r="L218" s="14" t="n">
        <x:f>I218/K218-1</x:f>
        <x:v>1.362635939122153</x:v>
      </x:c>
      <x:c r="M218" s="8" t="n">
        <x:f>'Source Data'!G218</x:f>
        <x:v>1105</x:v>
      </x:c>
      <x:c r="N218" s="8" t="n">
        <x:f>M218*('Source Data'!H$8/'Source Data'!G$8)*EXP(F218*('Source Data'!H$7-'Source Data'!G$7))</x:f>
        <x:v>535.8087433938059</x:v>
      </x:c>
      <x:c r="O218" s="14" t="n">
        <x:f>I218/N218-1</x:f>
        <x:v>1.069768389697428</x:v>
      </x:c>
      <x:c r="P218" s="2" t="str"/>
    </x:row>
    <x:row r="219">
      <x:c r="A219" s="2" t="str">
        <x:f>'Source Data'!A219</x:f>
        <x:v>327332</x:v>
      </x:c>
      <x:c r="B219" s="2" t="str">
        <x:f>'Source Data'!B219</x:f>
        <x:v>Concrete Pipe Manufacturing</x:v>
      </x:c>
      <x:c r="C219" s="13" t="n">
        <x:f>LN('Source Data'!C219/'Source Data'!C$8)</x:f>
        <x:v>-10.194764629926116</x:v>
      </x:c>
      <x:c r="D219" s="13" t="n">
        <x:f>LN('Source Data'!D219/'Source Data'!D$8)</x:f>
        <x:v>-10.153948961368068</x:v>
      </x:c>
      <x:c r="E219" s="13" t="n">
        <x:f>LN('Source Data'!E219/'Source Data'!E$8)</x:f>
        <x:v>-10.107077414265111</x:v>
      </x:c>
      <x:c r="F219" s="13" t="n">
        <x:f>SLOPE(C219:E219,'Source Data'!C$7:E$7)</x:f>
        <x:v>0.04384360783050223</x:v>
      </x:c>
      <x:c r="G219" s="14" t="n">
        <x:f>EXP(F219)-1</x:f>
        <x:v>0.044818940609565816</x:v>
      </x:c>
      <x:c r="H219" s="8" t="n">
        <x:f>'Source Data'!F219</x:f>
        <x:v>587</x:v>
      </x:c>
      <x:c r="I219" s="8" t="n">
        <x:f>'Source Data'!H219</x:f>
        <x:v>447</x:v>
      </x:c>
      <x:c r="J219" s="14" t="n">
        <x:f>I219/H219-1</x:f>
        <x:v>-0.23850085178875635</x:v>
      </x:c>
      <x:c r="K219" s="8" t="n">
        <x:f>H219*('Source Data'!H$8/'Source Data'!F$8)*EXP(F219*('Source Data'!H$7-'Source Data'!F$7))</x:f>
        <x:v>711.9354564496649</x:v>
      </x:c>
      <x:c r="L219" s="14" t="n">
        <x:f>I219/K219-1</x:f>
        <x:v>-0.37213409452995305</x:v>
      </x:c>
      <x:c r="M219" s="8" t="n">
        <x:f>'Source Data'!G219</x:f>
        <x:v>545</x:v>
      </x:c>
      <x:c r="N219" s="8" t="n">
        <x:f>M219*('Source Data'!H$8/'Source Data'!G$8)*EXP(F219*('Source Data'!H$7-'Source Data'!G$7))</x:f>
        <x:v>631.3333179556421</x:v>
      </x:c>
      <x:c r="O219" s="14" t="n">
        <x:f>I219/N219-1</x:f>
        <x:v>-0.29197463956526604</x:v>
      </x:c>
      <x:c r="P219" s="2" t="str"/>
    </x:row>
    <x:row r="220">
      <x:c r="A220" s="2" t="str">
        <x:f>'Source Data'!A220</x:f>
        <x:v>327390</x:v>
      </x:c>
      <x:c r="B220" s="2" t="str">
        <x:f>'Source Data'!B220</x:f>
        <x:v>Other Concrete Product Manufacturing</x:v>
      </x:c>
      <x:c r="C220" s="13" t="n">
        <x:f>LN('Source Data'!C220/'Source Data'!C$8)</x:f>
        <x:v>-8.071359964825163</x:v>
      </x:c>
      <x:c r="D220" s="13" t="n">
        <x:f>LN('Source Data'!D220/'Source Data'!D$8)</x:f>
        <x:v>-7.950106999043339</x:v>
      </x:c>
      <x:c r="E220" s="13" t="n">
        <x:f>LN('Source Data'!E220/'Source Data'!E$8)</x:f>
        <x:v>-7.956503610831163</x:v>
      </x:c>
      <x:c r="F220" s="13" t="n">
        <x:f>SLOPE(C220:E220,'Source Data'!C$7:E$7)</x:f>
        <x:v>0.05742817699699998</x:v>
      </x:c>
      <x:c r="G220" s="14" t="n">
        <x:f>EXP(F220)-1</x:f>
        <x:v>0.05910919951972171</x:v>
      </x:c>
      <x:c r="H220" s="8" t="n">
        <x:f>'Source Data'!F220</x:f>
        <x:v>4643</x:v>
      </x:c>
      <x:c r="I220" s="8" t="n">
        <x:f>'Source Data'!H220</x:f>
        <x:v>3567</x:v>
      </x:c>
      <x:c r="J220" s="14" t="n">
        <x:f>I220/H220-1</x:f>
        <x:v>-0.23174671548567738</x:v>
      </x:c>
      <x:c r="K220" s="8" t="n">
        <x:f>H220*('Source Data'!H$8/'Source Data'!F$8)*EXP(F220*('Source Data'!H$7-'Source Data'!F$7))</x:f>
        <x:v>5945.659289387346</x:v>
      </x:c>
      <x:c r="L220" s="14" t="n">
        <x:f>I220/K220-1</x:f>
        <x:v>-0.40006653150023475</x:v>
      </x:c>
      <x:c r="M220" s="8" t="n">
        <x:f>'Source Data'!G220</x:f>
        <x:v>4472</x:v>
      </x:c>
      <x:c r="N220" s="8" t="n">
        <x:f>M220*('Source Data'!H$8/'Source Data'!G$8)*EXP(F220*('Source Data'!H$7-'Source Data'!G$7))</x:f>
        <x:v>5395.890306176154</x:v>
      </x:c>
      <x:c r="O220" s="14" t="n">
        <x:f>I220/N220-1</x:f>
        <x:v>-0.33894134283693644</x:v>
      </x:c>
      <x:c r="P220" s="2" t="str"/>
    </x:row>
    <x:row r="221">
      <x:c r="A221" s="2" t="str">
        <x:f>'Source Data'!A221</x:f>
        <x:v>327910</x:v>
      </x:c>
      <x:c r="B221" s="2" t="str">
        <x:f>'Source Data'!B221</x:f>
        <x:v>Abrasive Product Manufacturing</x:v>
      </x:c>
      <x:c r="C221" s="13" t="n">
        <x:f>LN('Source Data'!C221/'Source Data'!C$8)</x:f>
        <x:v>-10.370367236471326</x:v>
      </x:c>
      <x:c r="D221" s="13" t="n">
        <x:f>LN('Source Data'!D221/'Source Data'!D$8)</x:f>
        <x:v>-10.388581812730035</x:v>
      </x:c>
      <x:c r="E221" s="13" t="n">
        <x:f>LN('Source Data'!E221/'Source Data'!E$8)</x:f>
        <x:v>-10.382208162327961</x:v>
      </x:c>
      <x:c r="F221" s="13" t="n">
        <x:f>SLOPE(C221:E221,'Source Data'!C$7:E$7)</x:f>
        <x:v>-0.005920462928317605</x:v>
      </x:c>
      <x:c r="G221" s="14" t="n">
        <x:f>EXP(F221)-1</x:f>
        <x:v>-0.005902971523769507</x:v>
      </x:c>
      <x:c r="H221" s="8" t="n">
        <x:f>'Source Data'!F221</x:f>
        <x:v>495</x:v>
      </x:c>
      <x:c r="I221" s="8" t="n">
        <x:f>'Source Data'!H221</x:f>
        <x:v>361</x:v>
      </x:c>
      <x:c r="J221" s="14" t="n">
        <x:f>I221/H221-1</x:f>
        <x:v>-0.2707070707070707</x:v>
      </x:c>
      <x:c r="K221" s="8" t="n">
        <x:f>H221*('Source Data'!H$8/'Source Data'!F$8)*EXP(F221*('Source Data'!H$7-'Source Data'!F$7))</x:f>
        <x:v>491.99271818923364</x:v>
      </x:c>
      <x:c r="L221" s="14" t="n">
        <x:f>I221/K221-1</x:f>
        <x:v>-0.2662493027769779</x:v>
      </x:c>
      <x:c r="M221" s="8" t="n">
        <x:f>'Source Data'!G221</x:f>
        <x:v>499</x:v>
      </x:c>
      <x:c r="N221" s="8" t="n">
        <x:f>M221*('Source Data'!H$8/'Source Data'!G$8)*EXP(F221*('Source Data'!H$7-'Source Data'!G$7))</x:f>
        <x:v>497.8814764152764</x:v>
      </x:c>
      <x:c r="O221" s="14" t="n">
        <x:f>I221/N221-1</x:f>
        <x:v>-0.27492783503579343</x:v>
      </x:c>
      <x:c r="P221" s="2" t="str"/>
    </x:row>
    <x:row r="222">
      <x:c r="A222" s="2" t="str">
        <x:f>'Source Data'!A222</x:f>
        <x:v>327991</x:v>
      </x:c>
      <x:c r="B222" s="2" t="str">
        <x:f>'Source Data'!B222</x:f>
        <x:v>Cut Stone and Stone Product Manufacturing</x:v>
      </x:c>
      <x:c r="C222" s="13" t="n">
        <x:f>LN('Source Data'!C222/'Source Data'!C$8)</x:f>
        <x:v>-8.949520493844775</x:v>
      </x:c>
      <x:c r="D222" s="13" t="n">
        <x:f>LN('Source Data'!D222/'Source Data'!D$8)</x:f>
        <x:v>-9.050078115446492</x:v>
      </x:c>
      <x:c r="E222" s="13" t="n">
        <x:f>LN('Source Data'!E222/'Source Data'!E$8)</x:f>
        <x:v>-9.018953767156328</x:v>
      </x:c>
      <x:c r="F222" s="13" t="n">
        <x:f>SLOPE(C222:E222,'Source Data'!C$7:E$7)</x:f>
        <x:v>-0.03471663665577651</x:v>
      </x:c>
      <x:c r="G222" s="14" t="n">
        <x:f>EXP(F222)-1</x:f>
        <x:v>-0.03412092779228093</x:v>
      </x:c>
      <x:c r="H222" s="8" t="n">
        <x:f>'Source Data'!F222</x:f>
        <x:v>2053</x:v>
      </x:c>
      <x:c r="I222" s="8" t="n">
        <x:f>'Source Data'!H222</x:f>
        <x:v>1918</x:v>
      </x:c>
      <x:c r="J222" s="14" t="n">
        <x:f>I222/H222-1</x:f>
        <x:v>-0.06575742815392105</x:v>
      </x:c>
      <x:c r="K222" s="8" t="n">
        <x:f>H222*('Source Data'!H$8/'Source Data'!F$8)*EXP(F222*('Source Data'!H$7-'Source Data'!F$7))</x:f>
        <x:v>1818.5211148493</x:v>
      </x:c>
      <x:c r="L222" s="14" t="n">
        <x:f>I222/K222-1</x:f>
        <x:v>0.05470317849949402</x:v>
      </x:c>
      <x:c r="M222" s="8" t="n">
        <x:f>'Source Data'!G222</x:f>
        <x:v>1947</x:v>
      </x:c>
      <x:c r="N222" s="8" t="n">
        <x:f>M222*('Source Data'!H$8/'Source Data'!G$8)*EXP(F222*('Source Data'!H$7-'Source Data'!G$7))</x:f>
        <x:v>1781.8589245372646</x:v>
      </x:c>
      <x:c r="O222" s="14" t="n">
        <x:f>I222/N222-1</x:f>
        <x:v>0.07640395857830895</x:v>
      </x:c>
      <x:c r="P222" s="2" t="str"/>
    </x:row>
    <x:row r="223">
      <x:c r="A223" s="2" t="str">
        <x:f>'Source Data'!A223</x:f>
        <x:v>327992</x:v>
      </x:c>
      <x:c r="B223" s="2" t="str">
        <x:f>'Source Data'!B223</x:f>
        <x:v>Ground or Treated Mineral and Earth Manufacturing</x:v>
      </x:c>
      <x:c r="C223" s="13" t="n">
        <x:f>LN('Source Data'!C223/'Source Data'!C$8)</x:f>
        <x:v>-11.464525174790055</x:v>
      </x:c>
      <x:c r="D223" s="13" t="n">
        <x:f>LN('Source Data'!D223/'Source Data'!D$8)</x:f>
        <x:v>-11.240334023466618</x:v>
      </x:c>
      <x:c r="E223" s="13" t="n">
        <x:f>LN('Source Data'!E223/'Source Data'!E$8)</x:f>
        <x:v>-11.300670447715625</x:v>
      </x:c>
      <x:c r="F223" s="13" t="n">
        <x:f>SLOPE(C223:E223,'Source Data'!C$7:E$7)</x:f>
        <x:v>0.08192736353721486</x:v>
      </x:c>
      <x:c r="G223" s="14" t="n">
        <x:f>EXP(F223)-1</x:f>
        <x:v>0.08537696902240688</x:v>
      </x:c>
      <x:c r="H223" s="8" t="n">
        <x:f>'Source Data'!F223</x:f>
        <x:v>170</x:v>
      </x:c>
      <x:c r="I223" s="8" t="n">
        <x:f>'Source Data'!H223</x:f>
        <x:v>204</x:v>
      </x:c>
      <x:c r="J223" s="14" t="n">
        <x:f>I223/H223-1</x:f>
        <x:v>0.19999999999999996</x:v>
      </x:c>
      <x:c r="K223" s="8" t="n">
        <x:f>H223*('Source Data'!H$8/'Source Data'!F$8)*EXP(F223*('Source Data'!H$7-'Source Data'!F$7))</x:f>
        <x:v>240.10969857219632</x:v>
      </x:c>
      <x:c r="L223" s="14" t="n">
        <x:f>I223/K223-1</x:f>
        <x:v>-0.15038833827588538</x:v>
      </x:c>
      <x:c r="M223" s="8" t="n">
        <x:f>'Source Data'!G223</x:f>
        <x:v>173</x:v>
      </x:c>
      <x:c r="N223" s="8" t="n">
        <x:f>M223*('Source Data'!H$8/'Source Data'!G$8)*EXP(F223*('Source Data'!H$7-'Source Data'!G$7))</x:f>
        <x:v>224.66064690079233</x:v>
      </x:c>
      <x:c r="O223" s="14" t="n">
        <x:f>I223/N223-1</x:f>
        <x:v>-0.09196380045106811</x:v>
      </x:c>
      <x:c r="P223" s="2" t="str"/>
    </x:row>
    <x:row r="224">
      <x:c r="A224" s="2" t="str">
        <x:f>'Source Data'!A224</x:f>
        <x:v>327993</x:v>
      </x:c>
      <x:c r="B224" s="2" t="str">
        <x:f>'Source Data'!B224</x:f>
        <x:v>Mineral Wool Manufacturing</x:v>
      </x:c>
      <x:c r="C224" s="13" t="n">
        <x:f>LN('Source Data'!C224/'Source Data'!C$8)</x:f>
        <x:v>-8.998121996566613</x:v>
      </x:c>
      <x:c r="D224" s="13" t="n">
        <x:f>LN('Source Data'!D224/'Source Data'!D$8)</x:f>
        <x:v>-9.02022515229681</x:v>
      </x:c>
      <x:c r="E224" s="13" t="n">
        <x:f>LN('Source Data'!E224/'Source Data'!E$8)</x:f>
        <x:v>-9.048806730306008</x:v>
      </x:c>
      <x:c r="F224" s="13" t="n">
        <x:f>SLOPE(C224:E224,'Source Data'!C$7:E$7)</x:f>
        <x:v>-0.025342366869697486</x:v>
      </x:c>
      <x:c r="G224" s="14" t="n">
        <x:f>EXP(F224)-1</x:f>
        <x:v>-0.02502394461924462</x:v>
      </x:c>
      <x:c r="H224" s="8" t="n">
        <x:f>'Source Data'!F224</x:f>
        <x:v>1048</x:v>
      </x:c>
      <x:c r="I224" s="8" t="n">
        <x:f>'Source Data'!H224</x:f>
        <x:v>980</x:v>
      </x:c>
      <x:c r="J224" s="14" t="n">
        <x:f>I224/H224-1</x:f>
        <x:v>-0.06488549618320616</x:v>
      </x:c>
      <x:c r="K224" s="8" t="n">
        <x:f>H224*('Source Data'!H$8/'Source Data'!F$8)*EXP(F224*('Source Data'!H$7-'Source Data'!F$7))</x:f>
        <x:v>963.7745543725676</x:v>
      </x:c>
      <x:c r="L224" s="14" t="n">
        <x:f>I224/K224-1</x:f>
        <x:v>0.01683531231844504</x:v>
      </x:c>
      <x:c r="M224" s="8" t="n">
        <x:f>'Source Data'!G224</x:f>
        <x:v>1055</x:v>
      </x:c>
      <x:c r="N224" s="8" t="n">
        <x:f>M224*('Source Data'!H$8/'Source Data'!G$8)*EXP(F224*('Source Data'!H$7-'Source Data'!G$7))</x:f>
        <x:v>993.0552359910344</x:v>
      </x:c>
      <x:c r="O224" s="14" t="n">
        <x:f>I224/N224-1</x:f>
        <x:v>-0.013146535578160146</x:v>
      </x:c>
      <x:c r="P224" s="2" t="str"/>
    </x:row>
    <x:row r="225">
      <x:c r="A225" s="2" t="str">
        <x:f>'Source Data'!A225</x:f>
        <x:v>327999</x:v>
      </x:c>
      <x:c r="B225" s="2" t="str">
        <x:f>'Source Data'!B225</x:f>
        <x:v>All Other Miscellaneous Nonmetallic Mineral Product Manufacturing</x:v>
      </x:c>
      <x:c r="C225" s="13" t="n">
        <x:f>LN('Source Data'!C225/'Source Data'!C$8)</x:f>
        <x:v>-9.240262048571479</x:v>
      </x:c>
      <x:c r="D225" s="13" t="n">
        <x:f>LN('Source Data'!D225/'Source Data'!D$8)</x:f>
        <x:v>-9.281854392842932</x:v>
      </x:c>
      <x:c r="E225" s="13" t="n">
        <x:f>LN('Source Data'!E225/'Source Data'!E$8)</x:f>
        <x:v>-9.28576742717336</x:v>
      </x:c>
      <x:c r="F225" s="13" t="n">
        <x:f>SLOPE(C225:E225,'Source Data'!C$7:E$7)</x:f>
        <x:v>-0.022752689300940432</x:v>
      </x:c>
      <x:c r="G225" s="14" t="n">
        <x:f>EXP(F225)-1</x:f>
        <x:v>-0.02249579887028408</x:v>
      </x:c>
      <x:c r="H225" s="8" t="n">
        <x:f>'Source Data'!F225</x:f>
        <x:v>1377</x:v>
      </x:c>
      <x:c r="I225" s="8" t="n">
        <x:f>'Source Data'!H225</x:f>
        <x:v>1290</x:v>
      </x:c>
      <x:c r="J225" s="14" t="n">
        <x:f>I225/H225-1</x:f>
        <x:v>-0.0631808278867102</x:v>
      </x:c>
      <x:c r="K225" s="8" t="n">
        <x:f>H225*('Source Data'!H$8/'Source Data'!F$8)*EXP(F225*('Source Data'!H$7-'Source Data'!F$7))</x:f>
        <x:v>1279.519309110935</x:v>
      </x:c>
      <x:c r="L225" s="14" t="n">
        <x:f>I225/K225-1</x:f>
        <x:v>0.008191115846737373</x:v>
      </x:c>
      <x:c r="M225" s="8" t="n">
        <x:f>'Source Data'!G225</x:f>
        <x:v>1396</x:v>
      </x:c>
      <x:c r="N225" s="8" t="n">
        <x:f>M225*('Source Data'!H$8/'Source Data'!G$8)*EXP(F225*('Source Data'!H$7-'Source Data'!G$7))</x:f>
        <x:v>1324.2818056364902</x:v>
      </x:c>
      <x:c r="O225" s="14" t="n">
        <x:f>I225/N225-1</x:f>
        <x:v>-0.025887092528627864</x:v>
      </x:c>
      <x:c r="P225" s="2" t="str"/>
    </x:row>
    <x:row r="226">
      <x:c r="A226" s="2" t="str">
        <x:f>'Source Data'!A226</x:f>
        <x:v>331110</x:v>
      </x:c>
      <x:c r="B226" s="2" t="str">
        <x:f>'Source Data'!B226</x:f>
        <x:v>Iron and Steel Mills and Ferroalloy Manufacturing</x:v>
      </x:c>
      <x:c r="C226" s="13" t="n">
        <x:f>LN('Source Data'!C226/'Source Data'!C$8)</x:f>
        <x:v>-8.502694452911745</x:v>
      </x:c>
      <x:c r="D226" s="13" t="n">
        <x:f>LN('Source Data'!D226/'Source Data'!D$8)</x:f>
        <x:v>-8.623851015889898</x:v>
      </x:c>
      <x:c r="E226" s="13" t="n">
        <x:f>LN('Source Data'!E226/'Source Data'!E$8)</x:f>
        <x:v>-8.647351939803999</x:v>
      </x:c>
      <x:c r="F226" s="13" t="n">
        <x:f>SLOPE(C226:E226,'Source Data'!C$7:E$7)</x:f>
        <x:v>-0.07232874344612661</x:v>
      </x:c>
      <x:c r="G226" s="14" t="n">
        <x:f>EXP(F226)-1</x:f>
        <x:v>-0.06977495984543469</x:v>
      </x:c>
      <x:c r="H226" s="8" t="n">
        <x:f>'Source Data'!F226</x:f>
        <x:v>2120</x:v>
      </x:c>
      <x:c r="I226" s="8" t="n">
        <x:f>'Source Data'!H226</x:f>
        <x:v>1401</x:v>
      </x:c>
      <x:c r="J226" s="14" t="n">
        <x:f>I226/H226-1</x:f>
        <x:v>-0.3391509433962264</x:v>
      </x:c>
      <x:c r="K226" s="8" t="n">
        <x:f>H226*('Source Data'!H$8/'Source Data'!F$8)*EXP(F226*('Source Data'!H$7-'Source Data'!F$7))</x:f>
        <x:v>1615.5720750659098</x:v>
      </x:c>
      <x:c r="L226" s="14" t="n">
        <x:f>I226/K226-1</x:f>
        <x:v>-0.13281491948117263</x:v>
      </x:c>
      <x:c r="M226" s="8" t="n">
        <x:f>'Source Data'!G226</x:f>
        <x:v>2212</x:v>
      </x:c>
      <x:c r="N226" s="8" t="n">
        <x:f>M226*('Source Data'!H$8/'Source Data'!G$8)*EXP(F226*('Source Data'!H$7-'Source Data'!G$7))</x:f>
        <x:v>1808.3741752361036</x:v>
      </x:c>
      <x:c r="O226" s="14" t="n">
        <x:f>I226/N226-1</x:f>
        <x:v>-0.2252709537742189</x:v>
      </x:c>
      <x:c r="P226" s="2" t="str"/>
    </x:row>
    <x:row r="227">
      <x:c r="A227" s="2" t="str">
        <x:f>'Source Data'!A227</x:f>
        <x:v>331210</x:v>
      </x:c>
      <x:c r="B227" s="2" t="str">
        <x:f>'Source Data'!B227</x:f>
        <x:v>Iron and Steel Pipe and Tube Manufacturing from Purchased Steel</x:v>
      </x:c>
      <x:c r="C227" s="13" t="n">
        <x:f>LN('Source Data'!C227/'Source Data'!C$8)</x:f>
        <x:v>-9.1986040661676</x:v>
      </x:c>
      <x:c r="D227" s="13" t="n">
        <x:f>LN('Source Data'!D227/'Source Data'!D$8)</x:f>
        <x:v>-9.230303967666227</x:v>
      </x:c>
      <x:c r="E227" s="13" t="n">
        <x:f>LN('Source Data'!E227/'Source Data'!E$8)</x:f>
        <x:v>-9.262843787271423</x:v>
      </x:c>
      <x:c r="F227" s="13" t="n">
        <x:f>SLOPE(C227:E227,'Source Data'!C$7:E$7)</x:f>
        <x:v>-0.032119860551911295</x:v>
      </x:c>
      <x:c r="G227" s="14" t="n">
        <x:f>EXP(F227)-1</x:f>
        <x:v>-0.031609496697488026</x:v>
      </x:c>
      <x:c r="H227" s="8" t="n">
        <x:f>'Source Data'!F227</x:f>
        <x:v>1352</x:v>
      </x:c>
      <x:c r="I227" s="8" t="n">
        <x:f>'Source Data'!H227</x:f>
        <x:v>1310</x:v>
      </x:c>
      <x:c r="J227" s="14" t="n">
        <x:f>I227/H227-1</x:f>
        <x:v>-0.031065088757396442</x:v>
      </x:c>
      <x:c r="K227" s="8" t="n">
        <x:f>H227*('Source Data'!H$8/'Source Data'!F$8)*EXP(F227*('Source Data'!H$7-'Source Data'!F$7))</x:f>
        <x:v>1210.0885521332991</x:v>
      </x:c>
      <x:c r="L227" s="14" t="n">
        <x:f>I227/K227-1</x:f>
        <x:v>0.08256540208612351</x:v>
      </x:c>
      <x:c r="M227" s="8" t="n">
        <x:f>'Source Data'!G227</x:f>
        <x:v>1284</x:v>
      </x:c>
      <x:c r="N227" s="8" t="n">
        <x:f>M227*('Source Data'!H$8/'Source Data'!G$8)*EXP(F227*('Source Data'!H$7-'Source Data'!G$7))</x:f>
        <x:v>1184.283518723676</x:v>
      </x:c>
      <x:c r="O227" s="14" t="n">
        <x:f>I227/N227-1</x:f>
        <x:v>0.10615404106257498</x:v>
      </x:c>
      <x:c r="P227" s="2" t="str"/>
    </x:row>
    <x:row r="228">
      <x:c r="A228" s="2" t="str">
        <x:f>'Source Data'!A228</x:f>
        <x:v>331221</x:v>
      </x:c>
      <x:c r="B228" s="2" t="str">
        <x:f>'Source Data'!B228</x:f>
        <x:v>Rolled Steel Shape Manufacturing</x:v>
      </x:c>
      <x:c r="C228" s="13" t="n">
        <x:f>LN('Source Data'!C228/'Source Data'!C$8)</x:f>
        <x:v>-10.53498921616588</x:v>
      </x:c>
      <x:c r="D228" s="13" t="n">
        <x:f>LN('Source Data'!D228/'Source Data'!D$8)</x:f>
        <x:v>-10.476806046144873</x:v>
      </x:c>
      <x:c r="E228" s="13" t="n">
        <x:f>LN('Source Data'!E228/'Source Data'!E$8)</x:f>
        <x:v>-10.504339030920448</x:v>
      </x:c>
      <x:c r="F228" s="13" t="n">
        <x:f>SLOPE(C228:E228,'Source Data'!C$7:E$7)</x:f>
        <x:v>0.01532509262271553</x:v>
      </x:c>
      <x:c r="G228" s="14" t="n">
        <x:f>EXP(F228)-1</x:f>
        <x:v>0.015443124031281341</x:v>
      </x:c>
      <x:c r="H228" s="8" t="n">
        <x:f>'Source Data'!F228</x:f>
        <x:v>328</x:v>
      </x:c>
      <x:c r="I228" s="8" t="n">
        <x:f>'Source Data'!H228</x:f>
        <x:v>620</x:v>
      </x:c>
      <x:c r="J228" s="14" t="n">
        <x:f>I228/H228-1</x:f>
        <x:v>0.8902439024390243</x:v>
      </x:c>
      <x:c r="K228" s="8" t="n">
        <x:f>H228*('Source Data'!H$8/'Source Data'!F$8)*EXP(F228*('Source Data'!H$7-'Source Data'!F$7))</x:f>
        <x:v>354.9233973129281</x:v>
      </x:c>
      <x:c r="L228" s="14" t="n">
        <x:f>I228/K228-1</x:f>
        <x:v>0.7468558136598691</x:v>
      </x:c>
      <x:c r="M228" s="8" t="n">
        <x:f>'Source Data'!G228</x:f>
        <x:v>359</x:v>
      </x:c>
      <x:c r="N228" s="8" t="n">
        <x:f>M228*('Source Data'!H$8/'Source Data'!G$8)*EXP(F228*('Source Data'!H$7-'Source Data'!G$7))</x:f>
        <x:v>381.76873095583056</x:v>
      </x:c>
      <x:c r="O228" s="14" t="n">
        <x:f>I228/N228-1</x:f>
        <x:v>0.6240198573825368</x:v>
      </x:c>
      <x:c r="P228" s="2" t="str"/>
    </x:row>
    <x:row r="229">
      <x:c r="A229" s="2" t="str">
        <x:f>'Source Data'!A229</x:f>
        <x:v>331222</x:v>
      </x:c>
      <x:c r="B229" s="2" t="str">
        <x:f>'Source Data'!B229</x:f>
        <x:v>Steel Wire Drawing</x:v>
      </x:c>
      <x:c r="C229" s="13" t="n">
        <x:f>LN('Source Data'!C229/'Source Data'!C$8)</x:f>
        <x:v>-10.016822185541521</x:v>
      </x:c>
      <x:c r="D229" s="13" t="n">
        <x:f>LN('Source Data'!D229/'Source Data'!D$8)</x:f>
        <x:v>-10.079464459558189</x:v>
      </x:c>
      <x:c r="E229" s="13" t="n">
        <x:f>LN('Source Data'!E229/'Source Data'!E$8)</x:f>
        <x:v>-10.271439304660873</x:v>
      </x:c>
      <x:c r="F229" s="13" t="n">
        <x:f>SLOPE(C229:E229,'Source Data'!C$7:E$7)</x:f>
        <x:v>-0.12730855955967613</x:v>
      </x:c>
      <x:c r="G229" s="14" t="n">
        <x:f>EXP(F229)-1</x:f>
        <x:v>-0.11953804427447667</x:v>
      </x:c>
      <x:c r="H229" s="8" t="n">
        <x:f>'Source Data'!F229</x:f>
        <x:v>471</x:v>
      </x:c>
      <x:c r="I229" s="8" t="n">
        <x:f>'Source Data'!H229</x:f>
        <x:v>369</x:v>
      </x:c>
      <x:c r="J229" s="14" t="n">
        <x:f>I229/H229-1</x:f>
        <x:v>-0.21656050955414008</x:v>
      </x:c>
      <x:c r="K229" s="8" t="n">
        <x:f>H229*('Source Data'!H$8/'Source Data'!F$8)*EXP(F229*('Source Data'!H$7-'Source Data'!F$7))</x:f>
        <x:v>288.07240675378387</x:v>
      </x:c>
      <x:c r="L229" s="14" t="n">
        <x:f>I229/K229-1</x:f>
        <x:v>0.2809279589050857</x:v>
      </x:c>
      <x:c r="M229" s="8" t="n">
        <x:f>'Source Data'!G229</x:f>
        <x:v>470</x:v>
      </x:c>
      <x:c r="N229" s="8" t="n">
        <x:f>M229*('Source Data'!H$8/'Source Data'!G$8)*EXP(F229*('Source Data'!H$7-'Source Data'!G$7))</x:f>
        <x:v>325.8132480866995</x:v>
      </x:c>
      <x:c r="O229" s="14" t="n">
        <x:f>I229/N229-1</x:f>
        <x:v>0.1325506318939138</x:v>
      </x:c>
      <x:c r="P229" s="2" t="str"/>
    </x:row>
    <x:row r="230">
      <x:c r="A230" s="2" t="str">
        <x:f>'Source Data'!A230</x:f>
        <x:v>331313</x:v>
      </x:c>
      <x:c r="B230" s="2" t="str">
        <x:f>'Source Data'!B230</x:f>
        <x:v>Alumina Refining and Primary Aluminum Production</x:v>
      </x:c>
      <x:c r="C230" s="13" t="n">
        <x:f>LN('Source Data'!C230/'Source Data'!C$8)</x:f>
        <x:v>-11.276663437620485</x:v>
      </x:c>
      <x:c r="D230" s="13" t="n">
        <x:f>LN('Source Data'!D230/'Source Data'!D$8)</x:f>
        <x:v>-11.26138743266445</x:v>
      </x:c>
      <x:c r="E230" s="13" t="n">
        <x:f>LN('Source Data'!E230/'Source Data'!E$8)</x:f>
        <x:v>-12.13357957065073</x:v>
      </x:c>
      <x:c r="F230" s="13" t="n">
        <x:f>SLOPE(C230:E230,'Source Data'!C$7:E$7)</x:f>
        <x:v>-0.4284580665151223</x:v>
      </x:c>
      <x:c r="G230" s="14" t="n">
        <x:f>EXP(F230)-1</x:f>
        <x:v>-0.34848708981185905</x:v>
      </x:c>
      <x:c r="H230" s="8" t="n">
        <x:f>'Source Data'!F230</x:f>
        <x:v>180</x:v>
      </x:c>
      <x:c r="I230" s="8" t="n">
        <x:f>'Source Data'!H230</x:f>
        <x:v>107</x:v>
      </x:c>
      <x:c r="J230" s="14" t="n">
        <x:f>I230/H230-1</x:f>
        <x:v>-0.40555555555555556</x:v>
      </x:c>
      <x:c r="K230" s="8" t="n">
        <x:f>H230*('Source Data'!H$8/'Source Data'!F$8)*EXP(F230*('Source Data'!H$7-'Source Data'!F$7))</x:f>
        <x:v>33.00676663290556</x:v>
      </x:c>
      <x:c r="L230" s="14" t="n">
        <x:f>I230/K230-1</x:f>
        <x:v>2.241759521313672</x:v>
      </x:c>
      <x:c r="M230" s="8" t="n">
        <x:f>'Source Data'!G230</x:f>
        <x:v>165</x:v>
      </x:c>
      <x:c r="N230" s="8" t="n">
        <x:f>M230*('Source Data'!H$8/'Source Data'!G$8)*EXP(F230*('Source Data'!H$7-'Source Data'!G$7))</x:f>
        <x:v>46.34385091745756</x:v>
      </x:c>
      <x:c r="O230" s="14" t="n">
        <x:f>I230/N230-1</x:f>
        <x:v>1.3088284180478729</x:v>
      </x:c>
      <x:c r="P230" s="2" t="str"/>
    </x:row>
    <x:row r="231">
      <x:c r="A231" s="2" t="str">
        <x:f>'Source Data'!A231</x:f>
        <x:v>331314</x:v>
      </x:c>
      <x:c r="B231" s="2" t="str">
        <x:f>'Source Data'!B231</x:f>
        <x:v>Secondary Smelting and Alloying of Aluminum</x:v>
      </x:c>
      <x:c r="C231" s="13" t="n">
        <x:f>LN('Source Data'!C231/'Source Data'!C$8)</x:f>
        <x:v>-10.703719345756294</x:v>
      </x:c>
      <x:c r="D231" s="13" t="n">
        <x:f>LN('Source Data'!D231/'Source Data'!D$8)</x:f>
        <x:v>-10.78409658998503</x:v>
      </x:c>
      <x:c r="E231" s="13" t="n">
        <x:f>LN('Source Data'!E231/'Source Data'!E$8)</x:f>
        <x:v>-10.594027785680796</x:v>
      </x:c>
      <x:c r="F231" s="13" t="n">
        <x:f>SLOPE(C231:E231,'Source Data'!C$7:E$7)</x:f>
        <x:v>0.054845780037749314</x:v>
      </x:c>
      <x:c r="G231" s="14" t="n">
        <x:f>EXP(F231)-1</x:f>
        <x:v>0.05637768758541051</x:v>
      </x:c>
      <x:c r="H231" s="8" t="n">
        <x:f>'Source Data'!F231</x:f>
        <x:v>301</x:v>
      </x:c>
      <x:c r="I231" s="8" t="n">
        <x:f>'Source Data'!H231</x:f>
        <x:v>534</x:v>
      </x:c>
      <x:c r="J231" s="14" t="n">
        <x:f>I231/H231-1</x:f>
        <x:v>0.7740863787375416</x:v>
      </x:c>
      <x:c r="K231" s="8" t="n">
        <x:f>H231*('Source Data'!H$8/'Source Data'!F$8)*EXP(F231*('Source Data'!H$7-'Source Data'!F$7))</x:f>
        <x:v>381.4887608987157</x:v>
      </x:c>
      <x:c r="L231" s="14" t="n">
        <x:f>I231/K231-1</x:f>
        <x:v>0.39977911470313443</x:v>
      </x:c>
      <x:c r="M231" s="8" t="n">
        <x:f>'Source Data'!G231</x:f>
        <x:v>295</x:v>
      </x:c>
      <x:c r="N231" s="8" t="n">
        <x:f>M231*('Source Data'!H$8/'Source Data'!G$8)*EXP(F231*('Source Data'!H$7-'Source Data'!G$7))</x:f>
        <x:v>353.1984354295197</x:v>
      </x:c>
      <x:c r="O231" s="14" t="n">
        <x:f>I231/N231-1</x:f>
        <x:v>0.5118979769845526</x:v>
      </x:c>
      <x:c r="P231" s="2" t="str"/>
    </x:row>
    <x:row r="232">
      <x:c r="A232" s="2" t="str">
        <x:f>'Source Data'!A232</x:f>
        <x:v>331315</x:v>
      </x:c>
      <x:c r="B232" s="2" t="str">
        <x:f>'Source Data'!B232</x:f>
        <x:v>Aluminum Sheet, Plate, and Foil Manufacturing</x:v>
      </x:c>
      <x:c r="C232" s="13" t="n">
        <x:f>LN('Source Data'!C232/'Source Data'!C$8)</x:f>
        <x:v>-11.095263115345851</x:v>
      </x:c>
      <x:c r="D232" s="13" t="n">
        <x:f>LN('Source Data'!D232/'Source Data'!D$8)</x:f>
        <x:v>-11.072879378012997</x:v>
      </x:c>
      <x:c r="E232" s="13" t="n">
        <x:f>LN('Source Data'!E232/'Source Data'!E$8)</x:f>
        <x:v>-11.140327797640445</x:v>
      </x:c>
      <x:c r="F232" s="13" t="n">
        <x:f>SLOPE(C232:E232,'Source Data'!C$7:E$7)</x:f>
        <x:v>-0.022532341147297075</x:v>
      </x:c>
      <x:c r="G232" s="14" t="n">
        <x:f>EXP(F232)-1</x:f>
        <x:v>-0.022280383892111733</x:v>
      </x:c>
      <x:c r="H232" s="8" t="n">
        <x:f>'Source Data'!F232</x:f>
        <x:v>302</x:v>
      </x:c>
      <x:c r="I232" s="8" t="n">
        <x:f>'Source Data'!H232</x:f>
        <x:v>309</x:v>
      </x:c>
      <x:c r="J232" s="14" t="n">
        <x:f>I232/H232-1</x:f>
        <x:v>0.023178807947019875</x:v>
      </x:c>
      <x:c r="K232" s="8" t="n">
        <x:f>H232*('Source Data'!H$8/'Source Data'!F$8)*EXP(F232*('Source Data'!H$7-'Source Data'!F$7))</x:f>
        <x:v>280.86823868400376</x:v>
      </x:c>
      <x:c r="L232" s="14" t="n">
        <x:f>I232/K232-1</x:f>
        <x:v>0.10015999476411586</x:v>
      </x:c>
      <x:c r="M232" s="8" t="n">
        <x:f>'Source Data'!G232</x:f>
        <x:v>315</x:v>
      </x:c>
      <x:c r="N232" s="8" t="n">
        <x:f>M232*('Source Data'!H$8/'Source Data'!G$8)*EXP(F232*('Source Data'!H$7-'Source Data'!G$7))</x:f>
        <x:v>299.01476634767346</x:v>
      </x:c>
      <x:c r="O232" s="14" t="n">
        <x:f>I232/N232-1</x:f>
        <x:v>0.03339378109747404</x:v>
      </x:c>
      <x:c r="P232" s="2" t="str"/>
    </x:row>
    <x:row r="233">
      <x:c r="A233" s="2" t="str">
        <x:f>'Source Data'!A233</x:f>
        <x:v>331318</x:v>
      </x:c>
      <x:c r="B233" s="2" t="str">
        <x:f>'Source Data'!B233</x:f>
        <x:v>Other Aluminum Rolling, Drawing, and Extruding</x:v>
      </x:c>
      <x:c r="C233" s="13" t="n">
        <x:f>LN('Source Data'!C233/'Source Data'!C$8)</x:f>
        <x:v>-8.443775138260776</x:v>
      </x:c>
      <x:c r="D233" s="13" t="n">
        <x:f>LN('Source Data'!D233/'Source Data'!D$8)</x:f>
        <x:v>-8.609870058894455</x:v>
      </x:c>
      <x:c r="E233" s="13" t="n">
        <x:f>LN('Source Data'!E233/'Source Data'!E$8)</x:f>
        <x:v>-8.565456317672592</x:v>
      </x:c>
      <x:c r="F233" s="13" t="n">
        <x:f>SLOPE(C233:E233,'Source Data'!C$7:E$7)</x:f>
        <x:v>-0.06084058970590789</x:v>
      </x:c>
      <x:c r="G233" s="14" t="n">
        <x:f>EXP(F233)-1</x:f>
        <x:v>-0.05902677136008205</x:v>
      </x:c>
      <x:c r="H233" s="8" t="n">
        <x:f>'Source Data'!F233</x:f>
        <x:v>2563</x:v>
      </x:c>
      <x:c r="I233" s="8" t="n">
        <x:f>'Source Data'!H233</x:f>
        <x:v>2175</x:v>
      </x:c>
      <x:c r="J233" s="14" t="n">
        <x:f>I233/H233-1</x:f>
        <x:v>-0.15138509559110414</x:v>
      </x:c>
      <x:c r="K233" s="8" t="n">
        <x:f>H233*('Source Data'!H$8/'Source Data'!F$8)*EXP(F233*('Source Data'!H$7-'Source Data'!F$7))</x:f>
        <x:v>2045.0128920529726</x:v>
      </x:c>
      <x:c r="L233" s="14" t="n">
        <x:f>I233/K233-1</x:f>
        <x:v>0.06356297725660509</x:v>
      </x:c>
      <x:c r="M233" s="8" t="n">
        <x:f>'Source Data'!G233</x:f>
        <x:v>2537</x:v>
      </x:c>
      <x:c r="N233" s="8" t="n">
        <x:f>M233*('Source Data'!H$8/'Source Data'!G$8)*EXP(F233*('Source Data'!H$7-'Source Data'!G$7))</x:f>
        <x:v>2146.798911024306</x:v>
      </x:c>
      <x:c r="O233" s="14" t="n">
        <x:f>I233/N233-1</x:f>
        <x:v>0.013136343991453803</x:v>
      </x:c>
      <x:c r="P233" s="2" t="str"/>
    </x:row>
    <x:row r="234">
      <x:c r="A234" s="2" t="str">
        <x:f>'Source Data'!A234</x:f>
        <x:v>331410</x:v>
      </x:c>
      <x:c r="B234" s="2" t="str">
        <x:f>'Source Data'!B234</x:f>
        <x:v>Nonferrous Metal (except Aluminum) Smelting and Refining</x:v>
      </x:c>
      <x:c r="C234" s="13" t="n">
        <x:f>LN('Source Data'!C234/'Source Data'!C$8)</x:f>
        <x:v>-12.10571261641929</x:v>
      </x:c>
      <x:c r="D234" s="13" t="n">
        <x:f>LN('Source Data'!D234/'Source Data'!D$8)</x:f>
        <x:v>-12.103380240821961</x:v>
      </x:c>
      <x:c r="E234" s="13" t="n">
        <x:f>LN('Source Data'!E234/'Source Data'!E$8)</x:f>
        <x:v>-12.061258909071103</x:v>
      </x:c>
      <x:c r="F234" s="13" t="n">
        <x:f>SLOPE(C234:E234,'Source Data'!C$7:E$7)</x:f>
        <x:v>0.02222685367409305</x:v>
      </x:c>
      <x:c r="G234" s="14" t="n">
        <x:f>EXP(F234)-1</x:f>
        <x:v>0.022475710534409332</x:v>
      </x:c>
      <x:c r="H234" s="8" t="n">
        <x:f>'Source Data'!F234</x:f>
        <x:v>57</x:v>
      </x:c>
      <x:c r="I234" s="8" t="n">
        <x:f>'Source Data'!H234</x:f>
        <x:v>42</x:v>
      </x:c>
      <x:c r="J234" s="14" t="n">
        <x:f>I234/H234-1</x:f>
        <x:v>-0.26315789473684215</x:v>
      </x:c>
      <x:c r="K234" s="8" t="n">
        <x:f>H234*('Source Data'!H$8/'Source Data'!F$8)*EXP(F234*('Source Data'!H$7-'Source Data'!F$7))</x:f>
        <x:v>63.40525139771142</x:v>
      </x:c>
      <x:c r="L234" s="14" t="n">
        <x:f>I234/K234-1</x:f>
        <x:v>-0.337594298987103</x:v>
      </x:c>
      <x:c r="M234" s="8" t="n">
        <x:f>'Source Data'!G234</x:f>
        <x:v>81</x:v>
      </x:c>
      <x:c r="N234" s="8" t="n">
        <x:f>M234*('Source Data'!H$8/'Source Data'!G$8)*EXP(F234*('Source Data'!H$7-'Source Data'!G$7))</x:f>
        <x:v>87.93932238162077</x:v>
      </x:c>
      <x:c r="O234" s="14" t="n">
        <x:f>I234/N234-1</x:f>
        <x:v>-0.5223979573354325</x:v>
      </x:c>
      <x:c r="P234" s="2" t="str"/>
    </x:row>
    <x:row r="235">
      <x:c r="A235" s="2" t="str">
        <x:f>'Source Data'!A235</x:f>
        <x:v>331420</x:v>
      </x:c>
      <x:c r="B235" s="2" t="str">
        <x:f>'Source Data'!B235</x:f>
        <x:v>Copper Rolling, Drawing, Extruding, and Alloying</x:v>
      </x:c>
      <x:c r="C235" s="13" t="n">
        <x:f>LN('Source Data'!C235/'Source Data'!C$8)</x:f>
        <x:v>-10.301374364984374</x:v>
      </x:c>
      <x:c r="D235" s="13" t="n">
        <x:f>LN('Source Data'!D235/'Source Data'!D$8)</x:f>
        <x:v>-10.562935199874811</x:v>
      </x:c>
      <x:c r="E235" s="13" t="n">
        <x:f>LN('Source Data'!E235/'Source Data'!E$8)</x:f>
        <x:v>-10.612972871923244</x:v>
      </x:c>
      <x:c r="F235" s="13" t="n">
        <x:f>SLOPE(C235:E235,'Source Data'!C$7:E$7)</x:f>
        <x:v>-0.1557992534694348</x:v>
      </x:c>
      <x:c r="G235" s="14" t="n">
        <x:f>EXP(F235)-1</x:f>
        <x:v>-0.1442690418495053</x:v>
      </x:c>
      <x:c r="H235" s="8" t="n">
        <x:f>'Source Data'!F235</x:f>
        <x:v>338</x:v>
      </x:c>
      <x:c r="I235" s="8" t="n">
        <x:f>'Source Data'!H235</x:f>
        <x:v>286</x:v>
      </x:c>
      <x:c r="J235" s="14" t="n">
        <x:f>I235/H235-1</x:f>
        <x:v>-0.15384615384615385</x:v>
      </x:c>
      <x:c r="K235" s="8" t="n">
        <x:f>H235*('Source Data'!H$8/'Source Data'!F$8)*EXP(F235*('Source Data'!H$7-'Source Data'!F$7))</x:f>
        <x:v>184.46078375314676</x:v>
      </x:c>
      <x:c r="L235" s="14" t="n">
        <x:f>I235/K235-1</x:f>
        <x:v>0.5504650591896938</x:v>
      </x:c>
      <x:c r="M235" s="8" t="n">
        <x:f>'Source Data'!G235</x:f>
        <x:v>251</x:v>
      </x:c>
      <x:c r="N235" s="8" t="n">
        <x:f>M235*('Source Data'!H$8/'Source Data'!G$8)*EXP(F235*('Source Data'!H$7-'Source Data'!G$7))</x:f>
        <x:v>159.7439979907888</x:v>
      </x:c>
      <x:c r="O235" s="14" t="n">
        <x:f>I235/N235-1</x:f>
        <x:v>0.790364605851992</x:v>
      </x:c>
      <x:c r="P235" s="2" t="str"/>
    </x:row>
    <x:row r="236">
      <x:c r="A236" s="2" t="str">
        <x:f>'Source Data'!A236</x:f>
        <x:v>331491</x:v>
      </x:c>
      <x:c r="B236" s="2" t="str">
        <x:f>'Source Data'!B236</x:f>
        <x:v>Nonferrous Metal (except Copper and Aluminum) Rolling, Drawing, and Extruding</x:v>
      </x:c>
      <x:c r="C236" s="13" t="n">
        <x:f>LN('Source Data'!C236/'Source Data'!C$8)</x:f>
        <x:v>-9.683939006160125</x:v>
      </x:c>
      <x:c r="D236" s="13" t="n">
        <x:f>LN('Source Data'!D236/'Source Data'!D$8)</x:f>
        <x:v>-9.192641180101361</x:v>
      </x:c>
      <x:c r="E236" s="13" t="n">
        <x:f>LN('Source Data'!E236/'Source Data'!E$8)</x:f>
        <x:v>-9.273523846067649</x:v>
      </x:c>
      <x:c r="F236" s="13" t="n">
        <x:f>SLOPE(C236:E236,'Source Data'!C$7:E$7)</x:f>
        <x:v>0.2052075800462383</x:v>
      </x:c>
      <x:c r="G236" s="14" t="n">
        <x:f>EXP(F236)-1</x:f>
        <x:v>0.22777990112145718</x:v>
      </x:c>
      <x:c r="H236" s="8" t="n">
        <x:f>'Source Data'!F236</x:f>
        <x:v>1267</x:v>
      </x:c>
      <x:c r="I236" s="8" t="n">
        <x:f>'Source Data'!H236</x:f>
        <x:v>778</x:v>
      </x:c>
      <x:c r="J236" s="14" t="n">
        <x:f>I236/H236-1</x:f>
        <x:v>-0.38595106550907654</x:v>
      </x:c>
      <x:c r="K236" s="8" t="n">
        <x:f>H236*('Source Data'!H$8/'Source Data'!F$8)*EXP(F236*('Source Data'!H$7-'Source Data'!F$7))</x:f>
        <x:v>2930.19867126552</x:v>
      </x:c>
      <x:c r="L236" s="14" t="n">
        <x:f>I236/K236-1</x:f>
        <x:v>-0.7344889929719371</x:v>
      </x:c>
      <x:c r="M236" s="8" t="n">
        <x:f>'Source Data'!G236</x:f>
        <x:v>1292</x:v>
      </x:c>
      <x:c r="N236" s="8" t="n">
        <x:f>M236*('Source Data'!H$8/'Source Data'!G$8)*EXP(F236*('Source Data'!H$7-'Source Data'!G$7))</x:f>
        <x:v>2428.6401412700884</x:v>
      </x:c>
      <x:c r="O236" s="14" t="n">
        <x:f>I236/N236-1</x:f>
        <x:v>-0.6796561224615455</x:v>
      </x:c>
      <x:c r="P236" s="2" t="str"/>
    </x:row>
    <x:row r="237">
      <x:c r="A237" s="2" t="str">
        <x:f>'Source Data'!A237</x:f>
        <x:v>331492</x:v>
      </x:c>
      <x:c r="B237" s="2" t="str">
        <x:f>'Source Data'!B237</x:f>
        <x:v>Secondary Smelting, Refining, and Alloying of Nonferrous Metal (except Copper and Aluminum)</x:v>
      </x:c>
      <x:c r="C237" s="13" t="n">
        <x:f>LN('Source Data'!C237/'Source Data'!C$8)</x:f>
        <x:v>-9.722890092744569</x:v>
      </x:c>
      <x:c r="D237" s="13" t="n">
        <x:f>LN('Source Data'!D237/'Source Data'!D$8)</x:f>
        <x:v>-9.55567268979493</x:v>
      </x:c>
      <x:c r="E237" s="13" t="n">
        <x:f>LN('Source Data'!E237/'Source Data'!E$8)</x:f>
        <x:v>-9.533671528168222</x:v>
      </x:c>
      <x:c r="F237" s="13" t="n">
        <x:f>SLOPE(C237:E237,'Source Data'!C$7:E$7)</x:f>
        <x:v>0.09460928228817345</x:v>
      </x:c>
      <x:c r="G237" s="14" t="n">
        <x:f>EXP(F237)-1</x:f>
        <x:v>0.09922928286064936</x:v>
      </x:c>
      <x:c r="H237" s="8" t="n">
        <x:f>'Source Data'!F237</x:f>
        <x:v>1048</x:v>
      </x:c>
      <x:c r="I237" s="8" t="n">
        <x:f>'Source Data'!H237</x:f>
        <x:v>699</x:v>
      </x:c>
      <x:c r="J237" s="14" t="n">
        <x:f>I237/H237-1</x:f>
        <x:v>-0.3330152671755725</x:v>
      </x:c>
      <x:c r="K237" s="8" t="n">
        <x:f>H237*('Source Data'!H$8/'Source Data'!F$8)*EXP(F237*('Source Data'!H$7-'Source Data'!F$7))</x:f>
        <x:v>1557.2301841173373</x:v>
      </x:c>
      <x:c r="L237" s="14" t="n">
        <x:f>I237/K237-1</x:f>
        <x:v>-0.5511260909727329</x:v>
      </x:c>
      <x:c r="M237" s="8" t="n">
        <x:f>'Source Data'!G237</x:f>
        <x:v>1148</x:v>
      </x:c>
      <x:c r="N237" s="8" t="n">
        <x:f>M237*('Source Data'!H$8/'Source Data'!G$8)*EXP(F237*('Source Data'!H$7-'Source Data'!G$7))</x:f>
        <x:v>1548.6235239656553</x:v>
      </x:c>
      <x:c r="O237" s="14" t="n">
        <x:f>I237/N237-1</x:f>
        <x:v>-0.5486314206244085</x:v>
      </x:c>
      <x:c r="P237" s="2" t="str"/>
    </x:row>
    <x:row r="238">
      <x:c r="A238" s="2" t="str">
        <x:f>'Source Data'!A238</x:f>
        <x:v>331511</x:v>
      </x:c>
      <x:c r="B238" s="2" t="str">
        <x:f>'Source Data'!B238</x:f>
        <x:v>Iron Foundries</x:v>
      </x:c>
      <x:c r="C238" s="13" t="n">
        <x:f>LN('Source Data'!C238/'Source Data'!C$8)</x:f>
        <x:v>-9.822297439532964</x:v>
      </x:c>
      <x:c r="D238" s="13" t="n">
        <x:f>LN('Source Data'!D238/'Source Data'!D$8)</x:f>
        <x:v>-9.819487280840068</x:v>
      </x:c>
      <x:c r="E238" s="13" t="n">
        <x:f>LN('Source Data'!E238/'Source Data'!E$8)</x:f>
        <x:v>-9.792976410469162</x:v>
      </x:c>
      <x:c r="F238" s="13" t="n">
        <x:f>SLOPE(C238:E238,'Source Data'!C$7:E$7)</x:f>
        <x:v>0.014660514531900759</x:v>
      </x:c>
      <x:c r="G238" s="14" t="n">
        <x:f>EXP(F238)-1</x:f>
        <x:v>0.014768506971269968</x:v>
      </x:c>
      <x:c r="H238" s="8" t="n">
        <x:f>'Source Data'!F238</x:f>
        <x:v>777</x:v>
      </x:c>
      <x:c r="I238" s="8" t="n">
        <x:f>'Source Data'!H238</x:f>
        <x:v>607</x:v>
      </x:c>
      <x:c r="J238" s="14" t="n">
        <x:f>I238/H238-1</x:f>
        <x:v>-0.21879021879021876</x:v>
      </x:c>
      <x:c r="K238" s="8" t="n">
        <x:f>H238*('Source Data'!H$8/'Source Data'!F$8)*EXP(F238*('Source Data'!H$7-'Source Data'!F$7))</x:f>
        <x:v>838.5468167164416</x:v>
      </x:c>
      <x:c r="L238" s="14" t="n">
        <x:f>I238/K238-1</x:f>
        <x:v>-0.2761286693844075</x:v>
      </x:c>
      <x:c r="M238" s="8" t="n">
        <x:f>'Source Data'!G238</x:f>
        <x:v>572</x:v>
      </x:c>
      <x:c r="N238" s="8" t="n">
        <x:f>M238*('Source Data'!H$8/'Source Data'!G$8)*EXP(F238*('Source Data'!H$7-'Source Data'!G$7))</x:f>
        <x:v>607.0662191061194</x:v>
      </x:c>
      <x:c r="O238" s="14" t="n">
        <x:f>I238/N238-1</x:f>
        <x:v>-0.00010908053196723166</x:v>
      </x:c>
      <x:c r="P238" s="2" t="str"/>
    </x:row>
    <x:row r="239">
      <x:c r="A239" s="2" t="str">
        <x:f>'Source Data'!A239</x:f>
        <x:v>331512</x:v>
      </x:c>
      <x:c r="B239" s="2" t="str">
        <x:f>'Source Data'!B239</x:f>
        <x:v>Steel Investment Foundries</x:v>
      </x:c>
      <x:c r="C239" s="13" t="n">
        <x:f>LN('Source Data'!C239/'Source Data'!C$8)</x:f>
        <x:v>-9.267300597453836</x:v>
      </x:c>
      <x:c r="D239" s="13" t="n">
        <x:f>LN('Source Data'!D239/'Source Data'!D$8)</x:f>
        <x:v>-9.246484412122186</x:v>
      </x:c>
      <x:c r="E239" s="13" t="n">
        <x:f>LN('Source Data'!E239/'Source Data'!E$8)</x:f>
        <x:v>-9.247383184165045</x:v>
      </x:c>
      <x:c r="F239" s="13" t="n">
        <x:f>SLOPE(C239:E239,'Source Data'!C$7:E$7)</x:f>
        <x:v>0.009958706644395576</x:v>
      </x:c>
      <x:c r="G239" s="14" t="n">
        <x:f>EXP(F239)-1</x:f>
        <x:v>0.01000845958456753</x:v>
      </x:c>
      <x:c r="H239" s="8" t="n">
        <x:f>'Source Data'!F239</x:f>
        <x:v>1244</x:v>
      </x:c>
      <x:c r="I239" s="8" t="n">
        <x:f>'Source Data'!H239</x:f>
        <x:v>1084</x:v>
      </x:c>
      <x:c r="J239" s="14" t="n">
        <x:f>I239/H239-1</x:f>
        <x:v>-0.1286173633440515</x:v>
      </x:c>
      <x:c r="K239" s="8" t="n">
        <x:f>H239*('Source Data'!H$8/'Source Data'!F$8)*EXP(F239*('Source Data'!H$7-'Source Data'!F$7))</x:f>
        <x:v>1317.5248015914542</x:v>
      </x:c>
      <x:c r="L239" s="14" t="n">
        <x:f>I239/K239-1</x:f>
        <x:v>-0.17724508966311436</x:v>
      </x:c>
      <x:c r="M239" s="8" t="n">
        <x:f>'Source Data'!G239</x:f>
        <x:v>1095</x:v>
      </x:c>
      <x:c r="N239" s="8" t="n">
        <x:f>M239*('Source Data'!H$8/'Source Data'!G$8)*EXP(F239*('Source Data'!H$7-'Source Data'!G$7))</x:f>
        <x:v>1145.851267418498</x:v>
      </x:c>
      <x:c r="O239" s="14" t="n">
        <x:f>I239/N239-1</x:f>
        <x:v>-0.05397844308174793</x:v>
      </x:c>
      <x:c r="P239" s="2" t="str"/>
    </x:row>
    <x:row r="240">
      <x:c r="A240" s="2" t="str">
        <x:f>'Source Data'!A240</x:f>
        <x:v>331513</x:v>
      </x:c>
      <x:c r="B240" s="2" t="str">
        <x:f>'Source Data'!B240</x:f>
        <x:v>Steel Foundries (except Investment)</x:v>
      </x:c>
      <x:c r="C240" s="13" t="n">
        <x:f>LN('Source Data'!C240/'Source Data'!C$8)</x:f>
        <x:v>-9.61554556523211</x:v>
      </x:c>
      <x:c r="D240" s="13" t="n">
        <x:f>LN('Source Data'!D240/'Source Data'!D$8)</x:f>
        <x:v>-9.65194952023035</x:v>
      </x:c>
      <x:c r="E240" s="13" t="n">
        <x:f>LN('Source Data'!E240/'Source Data'!E$8)</x:f>
        <x:v>-9.799011431803633</x:v>
      </x:c>
      <x:c r="F240" s="13" t="n">
        <x:f>SLOPE(C240:E240,'Source Data'!C$7:E$7)</x:f>
        <x:v>-0.09173293328576193</x:v>
      </x:c>
      <x:c r="G240" s="14" t="n">
        <x:f>EXP(F240)-1</x:f>
        <x:v>-0.08765122499890399</x:v>
      </x:c>
      <x:c r="H240" s="8" t="n">
        <x:f>'Source Data'!F240</x:f>
        <x:v>756</x:v>
      </x:c>
      <x:c r="I240" s="8" t="n">
        <x:f>'Source Data'!H240</x:f>
        <x:v>722</x:v>
      </x:c>
      <x:c r="J240" s="14" t="n">
        <x:f>I240/H240-1</x:f>
        <x:v>-0.044973544973545</x:v>
      </x:c>
      <x:c r="K240" s="8" t="n">
        <x:f>H240*('Source Data'!H$8/'Source Data'!F$8)*EXP(F240*('Source Data'!H$7-'Source Data'!F$7))</x:f>
        <x:v>533.0939356524182</x:v>
      </x:c>
      <x:c r="L240" s="14" t="n">
        <x:f>I240/K240-1</x:f>
        <x:v>0.35435793152738126</x:v>
      </x:c>
      <x:c r="M240" s="8" t="n">
        <x:f>'Source Data'!G240</x:f>
        <x:v>731</x:v>
      </x:c>
      <x:c r="N240" s="8" t="n">
        <x:f>M240*('Source Data'!H$8/'Source Data'!G$8)*EXP(F240*('Source Data'!H$7-'Source Data'!G$7))</x:f>
        <x:v>563.8182808224916</x:v>
      </x:c>
      <x:c r="O240" s="14" t="n">
        <x:f>I240/N240-1</x:f>
        <x:v>0.2805544349267193</x:v>
      </x:c>
      <x:c r="P240" s="2" t="str"/>
    </x:row>
    <x:row r="241">
      <x:c r="A241" s="2" t="str">
        <x:f>'Source Data'!A241</x:f>
        <x:v>331523</x:v>
      </x:c>
      <x:c r="B241" s="2" t="str">
        <x:f>'Source Data'!B241</x:f>
        <x:v>Nonferrous Metal Die-Casting Foundries</x:v>
      </x:c>
      <x:c r="C241" s="13" t="n">
        <x:f>LN('Source Data'!C241/'Source Data'!C$8)</x:f>
        <x:v>-9.606146018220604</x:v>
      </x:c>
      <x:c r="D241" s="13" t="n">
        <x:f>LN('Source Data'!D241/'Source Data'!D$8)</x:f>
        <x:v>-9.662644809347098</x:v>
      </x:c>
      <x:c r="E241" s="13" t="n">
        <x:f>LN('Source Data'!E241/'Source Data'!E$8)</x:f>
        <x:v>-9.63625040086417</x:v>
      </x:c>
      <x:c r="F241" s="13" t="n">
        <x:f>SLOPE(C241:E241,'Source Data'!C$7:E$7)</x:f>
        <x:v>-0.015052191321783148</x:v>
      </x:c>
      <x:c r="G241" s="14" t="n">
        <x:f>EXP(F241)-1</x:f>
        <x:v>-0.014939473349502963</x:v>
      </x:c>
      <x:c r="H241" s="8" t="n">
        <x:f>'Source Data'!F241</x:f>
        <x:v>772</x:v>
      </x:c>
      <x:c r="I241" s="8" t="n">
        <x:f>'Source Data'!H241</x:f>
        <x:v>673</x:v>
      </x:c>
      <x:c r="J241" s="14" t="n">
        <x:f>I241/H241-1</x:f>
        <x:v>-0.12823834196891193</x:v>
      </x:c>
      <x:c r="K241" s="8" t="n">
        <x:f>H241*('Source Data'!H$8/'Source Data'!F$8)*EXP(F241*('Source Data'!H$7-'Source Data'!F$7))</x:f>
        <x:v>739.7880970379846</x:v>
      </x:c>
      <x:c r="L241" s="14" t="n">
        <x:f>I241/K241-1</x:f>
        <x:v>-0.0902800373585293</x:v>
      </x:c>
      <x:c r="M241" s="8" t="n">
        <x:f>'Source Data'!G241</x:f>
        <x:v>753</x:v>
      </x:c>
      <x:c r="N241" s="8" t="n">
        <x:f>M241*('Source Data'!H$8/'Source Data'!G$8)*EXP(F241*('Source Data'!H$7-'Source Data'!G$7))</x:f>
        <x:v>731.0091643489203</x:v>
      </x:c>
      <x:c r="O241" s="14" t="n">
        <x:f>I241/N241-1</x:f>
        <x:v>-0.07935490713113924</x:v>
      </x:c>
      <x:c r="P241" s="2" t="str"/>
    </x:row>
    <x:row r="242">
      <x:c r="A242" s="2" t="str">
        <x:f>'Source Data'!A242</x:f>
        <x:v>331524</x:v>
      </x:c>
      <x:c r="B242" s="2" t="str">
        <x:f>'Source Data'!B242</x:f>
        <x:v>Aluminum Foundries (except Die-Casting)</x:v>
      </x:c>
      <x:c r="C242" s="13" t="n">
        <x:f>LN('Source Data'!C242/'Source Data'!C$8)</x:f>
        <x:v>-9.25040706311834</x:v>
      </x:c>
      <x:c r="D242" s="13" t="n">
        <x:f>LN('Source Data'!D242/'Source Data'!D$8)</x:f>
        <x:v>-9.287010942022178</x:v>
      </x:c>
      <x:c r="E242" s="13" t="n">
        <x:f>LN('Source Data'!E242/'Source Data'!E$8)</x:f>
        <x:v>-9.312200684241516</x:v>
      </x:c>
      <x:c r="F242" s="13" t="n">
        <x:f>SLOPE(C242:E242,'Source Data'!C$7:E$7)</x:f>
        <x:v>-0.030896810561587884</x:v>
      </x:c>
      <x:c r="G242" s="14" t="n">
        <x:f>EXP(F242)-1</x:f>
        <x:v>-0.030424382122339444</x:v>
      </x:c>
      <x:c r="H242" s="8" t="n">
        <x:f>'Source Data'!F242</x:f>
        <x:v>1039</x:v>
      </x:c>
      <x:c r="I242" s="8" t="n">
        <x:f>'Source Data'!H242</x:f>
        <x:v>907</x:v>
      </x:c>
      <x:c r="J242" s="14" t="n">
        <x:f>I242/H242-1</x:f>
        <x:v>-0.12704523580365734</x:v>
      </x:c>
      <x:c r="K242" s="8" t="n">
        <x:f>H242*('Source Data'!H$8/'Source Data'!F$8)*EXP(F242*('Source Data'!H$7-'Source Data'!F$7))</x:f>
        <x:v>934.502922238618</x:v>
      </x:c>
      <x:c r="L242" s="14" t="n">
        <x:f>I242/K242-1</x:f>
        <x:v>-0.02943053636764914</x:v>
      </x:c>
      <x:c r="M242" s="8" t="n">
        <x:f>'Source Data'!G242</x:f>
        <x:v>948</x:v>
      </x:c>
      <x:c r="N242" s="8" t="n">
        <x:f>M242*('Source Data'!H$8/'Source Data'!G$8)*EXP(F242*('Source Data'!H$7-'Source Data'!G$7))</x:f>
        <x:v>877.591666503474</x:v>
      </x:c>
      <x:c r="O242" s="14" t="n">
        <x:f>I242/N242-1</x:f>
        <x:v>0.033510269774661205</x:v>
      </x:c>
      <x:c r="P242" s="2" t="str"/>
    </x:row>
    <x:row r="243">
      <x:c r="A243" s="2" t="str">
        <x:f>'Source Data'!A243</x:f>
        <x:v>331529</x:v>
      </x:c>
      <x:c r="B243" s="2" t="str">
        <x:f>'Source Data'!B243</x:f>
        <x:v>Other Nonferrous Metal Foundries (except Die-Casting)</x:v>
      </x:c>
      <x:c r="C243" s="13" t="n">
        <x:f>LN('Source Data'!C243/'Source Data'!C$8)</x:f>
        <x:v>-11.08608873906981</x:v>
      </x:c>
      <x:c r="D243" s="13" t="n">
        <x:f>LN('Source Data'!D243/'Source Data'!D$8)</x:f>
        <x:v>-11.06848376653996</x:v>
      </x:c>
      <x:c r="E243" s="13" t="n">
        <x:f>LN('Source Data'!E243/'Source Data'!E$8)</x:f>
        <x:v>-11.192596226186202</x:v>
      </x:c>
      <x:c r="F243" s="13" t="n">
        <x:f>SLOPE(C243:E243,'Source Data'!C$7:E$7)</x:f>
        <x:v>-0.05325374355819612</x:v>
      </x:c>
      <x:c r="G243" s="14" t="n">
        <x:f>EXP(F243)-1</x:f>
        <x:v>-0.051860602308073656</x:v>
      </x:c>
      <x:c r="H243" s="8" t="n">
        <x:f>'Source Data'!F243</x:f>
        <x:v>327</x:v>
      </x:c>
      <x:c r="I243" s="8" t="n">
        <x:f>'Source Data'!H243</x:f>
        <x:v>293</x:v>
      </x:c>
      <x:c r="J243" s="14" t="n">
        <x:f>I243/H243-1</x:f>
        <x:v>-0.10397553516819569</x:v>
      </x:c>
      <x:c r="K243" s="8" t="n">
        <x:f>H243*('Source Data'!H$8/'Source Data'!F$8)*EXP(F243*('Source Data'!H$7-'Source Data'!F$7))</x:f>
        <x:v>268.9520744312353</x:v>
      </x:c>
      <x:c r="L243" s="14" t="n">
        <x:f>I243/K243-1</x:f>
        <x:v>0.08941342289186616</x:v>
      </x:c>
      <x:c r="M243" s="8" t="n">
        <x:f>'Source Data'!G243</x:f>
        <x:v>298</x:v>
      </x:c>
      <x:c r="N243" s="8" t="n">
        <x:f>M243*('Source Data'!H$8/'Source Data'!G$8)*EXP(F243*('Source Data'!H$7-'Source Data'!G$7))</x:f>
        <x:v>257.97162503697893</x:v>
      </x:c>
      <x:c r="O243" s="14" t="n">
        <x:f>I243/N243-1</x:f>
        <x:v>0.13578382877574202</x:v>
      </x:c>
      <x:c r="P243" s="2" t="str"/>
    </x:row>
    <x:row r="244">
      <x:c r="A244" s="2" t="str">
        <x:f>'Source Data'!A244</x:f>
        <x:v>332111</x:v>
      </x:c>
      <x:c r="B244" s="2" t="str">
        <x:f>'Source Data'!B244</x:f>
        <x:v>Iron and Steel Forging</x:v>
      </x:c>
      <x:c r="C244" s="13" t="n">
        <x:f>LN('Source Data'!C244/'Source Data'!C$8)</x:f>
        <x:v>-9.050398707063101</x:v>
      </x:c>
      <x:c r="D244" s="13" t="n">
        <x:f>LN('Source Data'!D244/'Source Data'!D$8)</x:f>
        <x:v>-9.050078115446492</x:v>
      </x:c>
      <x:c r="E244" s="13" t="n">
        <x:f>LN('Source Data'!E244/'Source Data'!E$8)</x:f>
        <x:v>-8.993205973937485</x:v>
      </x:c>
      <x:c r="F244" s="13" t="n">
        <x:f>SLOPE(C244:E244,'Source Data'!C$7:E$7)</x:f>
        <x:v>0.02859636656280795</x:v>
      </x:c>
      <x:c r="G244" s="14" t="n">
        <x:f>EXP(F244)-1</x:f>
        <x:v>0.02900916813335397</x:v>
      </x:c>
      <x:c r="H244" s="8" t="n">
        <x:f>'Source Data'!F244</x:f>
        <x:v>1108</x:v>
      </x:c>
      <x:c r="I244" s="8" t="n">
        <x:f>'Source Data'!H244</x:f>
        <x:v>1105</x:v>
      </x:c>
      <x:c r="J244" s="14" t="n">
        <x:f>I244/H244-1</x:f>
        <x:v>-0.0027075812274368616</x:v>
      </x:c>
      <x:c r="K244" s="8" t="n">
        <x:f>H244*('Source Data'!H$8/'Source Data'!F$8)*EXP(F244*('Source Data'!H$7-'Source Data'!F$7))</x:f>
        <x:v>1264.3144767472163</x:v>
      </x:c>
      <x:c r="L244" s="14" t="n">
        <x:f>I244/K244-1</x:f>
        <x:v>-0.126008583843076</x:v>
      </x:c>
      <x:c r="M244" s="8" t="n">
        <x:f>'Source Data'!G244</x:f>
        <x:v>1147</x:v>
      </x:c>
      <x:c r="N244" s="8" t="n">
        <x:f>M244*('Source Data'!H$8/'Source Data'!G$8)*EXP(F244*('Source Data'!H$7-'Source Data'!G$7))</x:f>
        <x:v>1269.2882120521097</x:v>
      </x:c>
      <x:c r="O244" s="14" t="n">
        <x:f>I244/N244-1</x:f>
        <x:v>-0.12943333948284153</x:v>
      </x:c>
      <x:c r="P244" s="2" t="str"/>
    </x:row>
    <x:row r="245">
      <x:c r="A245" s="2" t="str">
        <x:f>'Source Data'!A245</x:f>
        <x:v>332112</x:v>
      </x:c>
      <x:c r="B245" s="2" t="str">
        <x:f>'Source Data'!B245</x:f>
        <x:v>Nonferrous Forging</x:v>
      </x:c>
      <x:c r="C245" s="13" t="n">
        <x:f>LN('Source Data'!C245/'Source Data'!C$8)</x:f>
        <x:v>-8.720678921415928</x:v>
      </x:c>
      <x:c r="D245" s="13" t="n">
        <x:f>LN('Source Data'!D245/'Source Data'!D$8)</x:f>
        <x:v>-8.75499344006365</x:v>
      </x:c>
      <x:c r="E245" s="13" t="n">
        <x:f>LN('Source Data'!E245/'Source Data'!E$8)</x:f>
        <x:v>-8.729885308789987</x:v>
      </x:c>
      <x:c r="F245" s="13" t="n">
        <x:f>SLOPE(C245:E245,'Source Data'!C$7:E$7)</x:f>
        <x:v>-0.004603193687029439</x:v>
      </x:c>
      <x:c r="G245" s="14" t="n">
        <x:f>EXP(F245)-1</x:f>
        <x:v>-0.004592615228757868</x:v>
      </x:c>
      <x:c r="H245" s="8" t="n">
        <x:f>'Source Data'!F245</x:f>
        <x:v>1597</x:v>
      </x:c>
      <x:c r="I245" s="8" t="n">
        <x:f>'Source Data'!H245</x:f>
        <x:v>1918</x:v>
      </x:c>
      <x:c r="J245" s="14" t="n">
        <x:f>I245/H245-1</x:f>
        <x:v>0.20100187852222917</x:v>
      </x:c>
      <x:c r="K245" s="8" t="n">
        <x:f>H245*('Source Data'!H$8/'Source Data'!F$8)*EXP(F245*('Source Data'!H$7-'Source Data'!F$7))</x:f>
        <x:v>1595.6833858966286</x:v>
      </x:c>
      <x:c r="L245" s="14" t="n">
        <x:f>I245/K245-1</x:f>
        <x:v>0.2019928370202706</x:v>
      </x:c>
      <x:c r="M245" s="8" t="n">
        <x:f>'Source Data'!G245</x:f>
        <x:v>1651</x:v>
      </x:c>
      <x:c r="N245" s="8" t="n">
        <x:f>M245*('Source Data'!H$8/'Source Data'!G$8)*EXP(F245*('Source Data'!H$7-'Source Data'!G$7))</x:f>
        <x:v>1653.8219231441042</x:v>
      </x:c>
      <x:c r="O245" s="14" t="n">
        <x:f>I245/N245-1</x:f>
        <x:v>0.1597379216945336</x:v>
      </x:c>
      <x:c r="P245" s="2" t="str"/>
    </x:row>
    <x:row r="246">
      <x:c r="A246" s="2" t="str">
        <x:f>'Source Data'!A246</x:f>
        <x:v>332114</x:v>
      </x:c>
      <x:c r="B246" s="2" t="str">
        <x:f>'Source Data'!B246</x:f>
        <x:v>Custom Roll Forming</x:v>
      </x:c>
      <x:c r="C246" s="13" t="n">
        <x:f>LN('Source Data'!C246/'Source Data'!C$8)</x:f>
        <x:v>-9.029158970562191</x:v>
      </x:c>
      <x:c r="D246" s="13" t="n">
        <x:f>LN('Source Data'!D246/'Source Data'!D$8)</x:f>
        <x:v>-9.025897317249276</x:v>
      </x:c>
      <x:c r="E246" s="13" t="n">
        <x:f>LN('Source Data'!E246/'Source Data'!E$8)</x:f>
        <x:v>-9.089057132927305</x:v>
      </x:c>
      <x:c r="F246" s="13" t="n">
        <x:f>SLOPE(C246:E246,'Source Data'!C$7:E$7)</x:f>
        <x:v>-0.029949081182556903</x:v>
      </x:c>
      <x:c r="G246" s="14" t="n">
        <x:f>EXP(F246)-1</x:f>
        <x:v>-0.02950505125445957</x:v>
      </x:c>
      <x:c r="H246" s="8" t="n">
        <x:f>'Source Data'!F246</x:f>
        <x:v>1429</x:v>
      </x:c>
      <x:c r="I246" s="8" t="n">
        <x:f>'Source Data'!H246</x:f>
        <x:v>405</x:v>
      </x:c>
      <x:c r="J246" s="14" t="n">
        <x:f>I246/H246-1</x:f>
        <x:v>-0.7165850244926522</x:v>
      </x:c>
      <x:c r="K246" s="8" t="n">
        <x:f>H246*('Source Data'!H$8/'Source Data'!F$8)*EXP(F246*('Source Data'!H$7-'Source Data'!F$7))</x:f>
        <x:v>1290.1604355920897</x:v>
      </x:c>
      <x:c r="L246" s="14" t="n">
        <x:f>I246/K246-1</x:f>
        <x:v>-0.6860855527521006</x:v>
      </x:c>
      <x:c r="M246" s="8" t="n">
        <x:f>'Source Data'!G246</x:f>
        <x:v>613</x:v>
      </x:c>
      <x:c r="N246" s="8" t="n">
        <x:f>M246*('Source Data'!H$8/'Source Data'!G$8)*EXP(F246*('Source Data'!H$7-'Source Data'!G$7))</x:f>
        <x:v>569.0879746713722</x:v>
      </x:c>
      <x:c r="O246" s="14" t="n">
        <x:f>I246/N246-1</x:f>
        <x:v>-0.288334988568555</x:v>
      </x:c>
      <x:c r="P246" s="2" t="str"/>
    </x:row>
    <x:row r="247">
      <x:c r="A247" s="2" t="str">
        <x:f>'Source Data'!A247</x:f>
        <x:v>332117</x:v>
      </x:c>
      <x:c r="B247" s="2" t="str">
        <x:f>'Source Data'!B247</x:f>
        <x:v>Powder Metallurgy Part Manufacturing</x:v>
      </x:c>
      <x:c r="C247" s="13" t="n">
        <x:f>LN('Source Data'!C247/'Source Data'!C$8)</x:f>
        <x:v>-11.123302335410244</x:v>
      </x:c>
      <x:c r="D247" s="13" t="n">
        <x:f>LN('Source Data'!D247/'Source Data'!D$8)</x:f>
        <x:v>-10.774244293542019</x:v>
      </x:c>
      <x:c r="E247" s="13" t="n">
        <x:f>LN('Source Data'!E247/'Source Data'!E$8)</x:f>
        <x:v>-10.747285209530839</x:v>
      </x:c>
      <x:c r="F247" s="13" t="n">
        <x:f>SLOPE(C247:E247,'Source Data'!C$7:E$7)</x:f>
        <x:v>0.1880085629397028</x:v>
      </x:c>
      <x:c r="G247" s="14" t="n">
        <x:f>EXP(F247)-1</x:f>
        <x:v>0.20684384943647371</x:v>
      </x:c>
      <x:c r="H247" s="8" t="n">
        <x:f>'Source Data'!F247</x:f>
        <x:v>303</x:v>
      </x:c>
      <x:c r="I247" s="8" t="n">
        <x:f>'Source Data'!H247</x:f>
        <x:v>238</x:v>
      </x:c>
      <x:c r="J247" s="14" t="n">
        <x:f>I247/H247-1</x:f>
        <x:v>-0.21452145214521456</x:v>
      </x:c>
      <x:c r="K247" s="8" t="n">
        <x:f>H247*('Source Data'!H$8/'Source Data'!F$8)*EXP(F247*('Source Data'!H$7-'Source Data'!F$7))</x:f>
        <x:v>654.1620230017149</x:v>
      </x:c>
      <x:c r="L247" s="14" t="n">
        <x:f>I247/K247-1</x:f>
        <x:v>-0.636175761307721</x:v>
      </x:c>
      <x:c r="M247" s="8" t="n">
        <x:f>'Source Data'!G247</x:f>
        <x:v>289</x:v>
      </x:c>
      <x:c r="N247" s="8" t="n">
        <x:f>M247*('Source Data'!H$8/'Source Data'!G$8)*EXP(F247*('Source Data'!H$7-'Source Data'!G$7))</x:f>
        <x:v>515.9292891175111</x:v>
      </x:c>
      <x:c r="O247" s="14" t="n">
        <x:f>I247/N247-1</x:f>
        <x:v>-0.5386964744585537</x:v>
      </x:c>
      <x:c r="P247" s="2" t="str"/>
    </x:row>
    <x:row r="248">
      <x:c r="A248" s="2" t="str">
        <x:f>'Source Data'!A248</x:f>
        <x:v>332119</x:v>
      </x:c>
      <x:c r="B248" s="2" t="str">
        <x:f>'Source Data'!B248</x:f>
        <x:v>Metal Crown, Closure, and Other Metal Stamping (except Automotive)</x:v>
      </x:c>
      <x:c r="C248" s="13" t="n">
        <x:f>LN('Source Data'!C248/'Source Data'!C$8)</x:f>
        <x:v>-8.216738006427434</x:v>
      </x:c>
      <x:c r="D248" s="13" t="n">
        <x:f>LN('Source Data'!D248/'Source Data'!D$8)</x:f>
        <x:v>-8.366298684890147</x:v>
      </x:c>
      <x:c r="E248" s="13" t="n">
        <x:f>LN('Source Data'!E248/'Source Data'!E$8)</x:f>
        <x:v>-8.42673741616262</x:v>
      </x:c>
      <x:c r="F248" s="13" t="n">
        <x:f>SLOPE(C248:E248,'Source Data'!C$7:E$7)</x:f>
        <x:v>-0.10499970486759302</x:v>
      </x:c>
      <x:c r="G248" s="14" t="n">
        <x:f>EXP(F248)-1</x:f>
        <x:v>-0.09967521169875182</x:v>
      </x:c>
      <x:c r="H248" s="8" t="n">
        <x:f>'Source Data'!F248</x:f>
        <x:v>3098</x:v>
      </x:c>
      <x:c r="I248" s="8" t="n">
        <x:f>'Source Data'!H248</x:f>
        <x:v>2634</x:v>
      </x:c>
      <x:c r="J248" s="14" t="n">
        <x:f>I248/H248-1</x:f>
        <x:v>-0.1497740477727566</x:v>
      </x:c>
      <x:c r="K248" s="8" t="n">
        <x:f>H248*('Source Data'!H$8/'Source Data'!F$8)*EXP(F248*('Source Data'!H$7-'Source Data'!F$7))</x:f>
        <x:v>2071.651111261053</x:v>
      </x:c>
      <x:c r="L248" s="14" t="n">
        <x:f>I248/K248-1</x:f>
        <x:v>0.2714496112217635</x:v>
      </x:c>
      <x:c r="M248" s="8" t="n">
        <x:f>'Source Data'!G248</x:f>
        <x:v>2926</x:v>
      </x:c>
      <x:c r="N248" s="8" t="n">
        <x:f>M248*('Source Data'!H$8/'Source Data'!G$8)*EXP(F248*('Source Data'!H$7-'Source Data'!G$7))</x:f>
        <x:v>2168.7577334462057</x:v>
      </x:c>
      <x:c r="O248" s="14" t="n">
        <x:f>I248/N248-1</x:f>
        <x:v>0.2145201648754531</x:v>
      </x:c>
      <x:c r="P248" s="2" t="str"/>
    </x:row>
    <x:row r="249">
      <x:c r="A249" s="2" t="str">
        <x:f>'Source Data'!A249</x:f>
        <x:v>332215</x:v>
      </x:c>
      <x:c r="B249" s="2" t="str">
        <x:f>'Source Data'!B249</x:f>
        <x:v>Metal Kitchen Cookware, Utensil, Cutlery, and Flatware (except Precious) Manufacturing</x:v>
      </x:c>
      <x:c r="C249" s="13" t="n">
        <x:f>LN('Source Data'!C249/'Source Data'!C$8)</x:f>
        <x:v>-11.254804643807987</x:v>
      </x:c>
      <x:c r="D249" s="13" t="n">
        <x:f>LN('Source Data'!D249/'Source Data'!D$8)</x:f>
        <x:v>-11.029769254359268</x:v>
      </x:c>
      <x:c r="E249" s="13" t="n">
        <x:f>LN('Source Data'!E249/'Source Data'!E$8)</x:f>
        <x:v>-11.0688688336583</x:v>
      </x:c>
      <x:c r="F249" s="13" t="n">
        <x:f>SLOPE(C249:E249,'Source Data'!C$7:E$7)</x:f>
        <x:v>0.09296790507484332</x:v>
      </x:c>
      <x:c r="G249" s="14" t="n">
        <x:f>EXP(F249)-1</x:f>
        <x:v>0.09742651288105919</x:v>
      </x:c>
      <x:c r="H249" s="8" t="n">
        <x:f>'Source Data'!F249</x:f>
        <x:v>369</x:v>
      </x:c>
      <x:c r="I249" s="8" t="n">
        <x:f>'Source Data'!H249</x:f>
        <x:v>286</x:v>
      </x:c>
      <x:c r="J249" s="14" t="n">
        <x:f>I249/H249-1</x:f>
        <x:v>-0.22493224932249323</x:v>
      </x:c>
      <x:c r="K249" s="8" t="n">
        <x:f>H249*('Source Data'!H$8/'Source Data'!F$8)*EXP(F249*('Source Data'!H$7-'Source Data'!F$7))</x:f>
        <x:v>544.711485147406</x:v>
      </x:c>
      <x:c r="L249" s="14" t="n">
        <x:f>I249/K249-1</x:f>
        <x:v>-0.47495140492107546</x:v>
      </x:c>
      <x:c r="M249" s="8" t="n">
        <x:f>'Source Data'!G249</x:f>
        <x:v>354</x:v>
      </x:c>
      <x:c r="N249" s="8" t="n">
        <x:f>M249*('Source Data'!H$8/'Source Data'!G$8)*EXP(F249*('Source Data'!H$7-'Source Data'!G$7))</x:f>
        <x:v>475.19154288171706</x:v>
      </x:c>
      <x:c r="O249" s="14" t="n">
        <x:f>I249/N249-1</x:f>
        <x:v>-0.39813743682052427</x:v>
      </x:c>
      <x:c r="P249" s="2" t="str"/>
    </x:row>
    <x:row r="250">
      <x:c r="A250" s="2" t="str">
        <x:f>'Source Data'!A250</x:f>
        <x:v>332216</x:v>
      </x:c>
      <x:c r="B250" s="2" t="str">
        <x:f>'Source Data'!B250</x:f>
        <x:v>Saw Blade and Handtool Manufacturing</x:v>
      </x:c>
      <x:c r="C250" s="13" t="n">
        <x:f>LN('Source Data'!C250/'Source Data'!C$8)</x:f>
        <x:v>-8.768097813515837</x:v>
      </x:c>
      <x:c r="D250" s="13" t="n">
        <x:f>LN('Source Data'!D250/'Source Data'!D$8)</x:f>
        <x:v>-8.864459745814816</x:v>
      </x:c>
      <x:c r="E250" s="13" t="n">
        <x:f>LN('Source Data'!E250/'Source Data'!E$8)</x:f>
        <x:v>-9.008465125597002</x:v>
      </x:c>
      <x:c r="F250" s="13" t="n">
        <x:f>SLOPE(C250:E250,'Source Data'!C$7:E$7)</x:f>
        <x:v>-0.12018365604058268</x:v>
      </x:c>
      <x:c r="G250" s="14" t="n">
        <x:f>EXP(F250)-1</x:f>
        <x:v>-0.1132424366217677</x:v>
      </x:c>
      <x:c r="H250" s="8" t="n">
        <x:f>'Source Data'!F250</x:f>
        <x:v>1563</x:v>
      </x:c>
      <x:c r="I250" s="8" t="n">
        <x:f>'Source Data'!H250</x:f>
        <x:v>1008</x:v>
      </x:c>
      <x:c r="J250" s="14" t="n">
        <x:f>I250/H250-1</x:f>
        <x:v>-0.3550863723608445</x:v>
      </x:c>
      <x:c r="K250" s="8" t="n">
        <x:f>H250*('Source Data'!H$8/'Source Data'!F$8)*EXP(F250*('Source Data'!H$7-'Source Data'!F$7))</x:f>
        <x:v>983.5964600457887</x:v>
      </x:c>
      <x:c r="L250" s="14" t="n">
        <x:f>I250/K250-1</x:f>
        <x:v>0.024810520315491136</x:v>
      </x:c>
      <x:c r="M250" s="8" t="n">
        <x:f>'Source Data'!G250</x:f>
        <x:v>1397</x:v>
      </x:c>
      <x:c r="N250" s="8" t="n">
        <x:f>M250*('Source Data'!H$8/'Source Data'!G$8)*EXP(F250*('Source Data'!H$7-'Source Data'!G$7))</x:f>
        <x:v>989.3505657722708</x:v>
      </x:c>
      <x:c r="O250" s="14" t="n">
        <x:f>I250/N250-1</x:f>
        <x:v>0.018850177958074754</x:v>
      </x:c>
      <x:c r="P250" s="2" t="str"/>
    </x:row>
    <x:row r="251">
      <x:c r="A251" s="2" t="str">
        <x:f>'Source Data'!A251</x:f>
        <x:v>332311</x:v>
      </x:c>
      <x:c r="B251" s="2" t="str">
        <x:f>'Source Data'!B251</x:f>
        <x:v>Prefabricated Metal Building and Component Manufacturing</x:v>
      </x:c>
      <x:c r="C251" s="13" t="n">
        <x:f>LN('Source Data'!C251/'Source Data'!C$8)</x:f>
        <x:v>-9.002659724148753</x:v>
      </x:c>
      <x:c r="D251" s="13" t="n">
        <x:f>LN('Source Data'!D251/'Source Data'!D$8)</x:f>
        <x:v>-9.040797306372019</x:v>
      </x:c>
      <x:c r="E251" s="13" t="n">
        <x:f>LN('Source Data'!E251/'Source Data'!E$8)</x:f>
        <x:v>-8.996998988509358</x:v>
      </x:c>
      <x:c r="F251" s="13" t="n">
        <x:f>SLOPE(C251:E251,'Source Data'!C$7:E$7)</x:f>
        <x:v>0.002830367819697699</x:v>
      </x:c>
      <x:c r="G251" s="14" t="n">
        <x:f>EXP(F251)-1</x:f>
        <x:v>0.0028343770923748846</x:v>
      </x:c>
      <x:c r="H251" s="8" t="n">
        <x:f>'Source Data'!F251</x:f>
        <x:v>2650</x:v>
      </x:c>
      <x:c r="I251" s="8" t="n">
        <x:f>'Source Data'!H251</x:f>
        <x:v>2309</x:v>
      </x:c>
      <x:c r="J251" s="14" t="n">
        <x:f>I251/H251-1</x:f>
        <x:v>-0.12867924528301888</x:v>
      </x:c>
      <x:c r="K251" s="8" t="n">
        <x:f>H251*('Source Data'!H$8/'Source Data'!F$8)*EXP(F251*('Source Data'!H$7-'Source Data'!F$7))</x:f>
        <x:v>2727.72824034175</x:v>
      </x:c>
      <x:c r="L251" s="14" t="n">
        <x:f>I251/K251-1</x:f>
        <x:v>-0.15350804898705317</x:v>
      </x:c>
      <x:c r="M251" s="8" t="n">
        <x:f>'Source Data'!G251</x:f>
        <x:v>2569</x:v>
      </x:c>
      <x:c r="N251" s="8" t="n">
        <x:f>M251*('Source Data'!H$8/'Source Data'!G$8)*EXP(F251*('Source Data'!H$7-'Source Data'!G$7))</x:f>
        <x:v>2631.4240516398772</x:v>
      </x:c>
      <x:c r="O251" s="14" t="n">
        <x:f>I251/N251-1</x:f>
        <x:v>-0.12252835168810816</x:v>
      </x:c>
      <x:c r="P251" s="2" t="str"/>
    </x:row>
    <x:row r="252">
      <x:c r="A252" s="2" t="str">
        <x:f>'Source Data'!A252</x:f>
        <x:v>332312</x:v>
      </x:c>
      <x:c r="B252" s="2" t="str">
        <x:f>'Source Data'!B252</x:f>
        <x:v>Fabricated Structural Metal Manufacturing</x:v>
      </x:c>
      <x:c r="C252" s="13" t="n">
        <x:f>LN('Source Data'!C252/'Source Data'!C$8)</x:f>
        <x:v>-7.838763029991597</x:v>
      </x:c>
      <x:c r="D252" s="13" t="n">
        <x:f>LN('Source Data'!D252/'Source Data'!D$8)</x:f>
        <x:v>-7.713360941404043</x:v>
      </x:c>
      <x:c r="E252" s="13" t="n">
        <x:f>LN('Source Data'!E252/'Source Data'!E$8)</x:f>
        <x:v>-7.7661907986609595</x:v>
      </x:c>
      <x:c r="F252" s="13" t="n">
        <x:f>SLOPE(C252:E252,'Source Data'!C$7:E$7)</x:f>
        <x:v>0.0362861156653187</x:v>
      </x:c>
      <x:c r="G252" s="14" t="n">
        <x:f>EXP(F252)-1</x:f>
        <x:v>0.03695249240364662</x:v>
      </x:c>
      <x:c r="H252" s="8" t="n">
        <x:f>'Source Data'!F252</x:f>
        <x:v>5103</x:v>
      </x:c>
      <x:c r="I252" s="8" t="n">
        <x:f>'Source Data'!H252</x:f>
        <x:v>4856</x:v>
      </x:c>
      <x:c r="J252" s="14" t="n">
        <x:f>I252/H252-1</x:f>
        <x:v>-0.048402900254752135</x:v>
      </x:c>
      <x:c r="K252" s="8" t="n">
        <x:f>H252*('Source Data'!H$8/'Source Data'!F$8)*EXP(F252*('Source Data'!H$7-'Source Data'!F$7))</x:f>
        <x:v>6004.8115318899845</x:v>
      </x:c>
      <x:c r="L252" s="14" t="n">
        <x:f>I252/K252-1</x:f>
        <x:v>-0.19131516880903698</x:v>
      </x:c>
      <x:c r="M252" s="8" t="n">
        <x:f>'Source Data'!G252</x:f>
        <x:v>4968</x:v>
      </x:c>
      <x:c r="N252" s="8" t="n">
        <x:f>M252*('Source Data'!H$8/'Source Data'!G$8)*EXP(F252*('Source Data'!H$7-'Source Data'!G$7))</x:f>
        <x:v>5625.9680676187045</x:v>
      </x:c>
      <x:c r="O252" s="14" t="n">
        <x:f>I252/N252-1</x:f>
        <x:v>-0.13685965834935987</x:v>
      </x:c>
      <x:c r="P252" s="2" t="str"/>
    </x:row>
    <x:row r="253">
      <x:c r="A253" s="2" t="str">
        <x:f>'Source Data'!A253</x:f>
        <x:v>332313</x:v>
      </x:c>
      <x:c r="B253" s="2" t="str">
        <x:f>'Source Data'!B253</x:f>
        <x:v>Plate Work Manufacturing</x:v>
      </x:c>
      <x:c r="C253" s="13" t="n">
        <x:f>LN('Source Data'!C253/'Source Data'!C$8)</x:f>
        <x:v>-9.25113566060048</x:v>
      </x:c>
      <x:c r="D253" s="13" t="n">
        <x:f>LN('Source Data'!D253/'Source Data'!D$8)</x:f>
        <x:v>-9.118197242884847</x:v>
      </x:c>
      <x:c r="E253" s="13" t="n">
        <x:f>LN('Source Data'!E253/'Source Data'!E$8)</x:f>
        <x:v>-9.170241364907742</x:v>
      </x:c>
      <x:c r="F253" s="13" t="n">
        <x:f>SLOPE(C253:E253,'Source Data'!C$7:E$7)</x:f>
        <x:v>0.04044714784636927</x:v>
      </x:c>
      <x:c r="G253" s="14" t="n">
        <x:f>EXP(F253)-1</x:f>
        <x:v>0.04127627455453253</x:v>
      </x:c>
      <x:c r="H253" s="8" t="n">
        <x:f>'Source Data'!F253</x:f>
        <x:v>1689</x:v>
      </x:c>
      <x:c r="I253" s="8" t="n">
        <x:f>'Source Data'!H253</x:f>
        <x:v>2405</x:v>
      </x:c>
      <x:c r="J253" s="14" t="n">
        <x:f>I253/H253-1</x:f>
        <x:v>0.42391947898164584</x:v>
      </x:c>
      <x:c r="K253" s="8" t="n">
        <x:f>H253*('Source Data'!H$8/'Source Data'!F$8)*EXP(F253*('Source Data'!H$7-'Source Data'!F$7))</x:f>
        <x:v>2020.839934829915</x:v>
      </x:c>
      <x:c r="L253" s="14" t="n">
        <x:f>I253/K253-1</x:f>
        <x:v>0.1900992050626802</x:v>
      </x:c>
      <x:c r="M253" s="8" t="n">
        <x:f>'Source Data'!G253</x:f>
        <x:v>2339</x:v>
      </x:c>
      <x:c r="N253" s="8" t="n">
        <x:f>M253*('Source Data'!H$8/'Source Data'!G$8)*EXP(F253*('Source Data'!H$7-'Source Data'!G$7))</x:f>
        <x:v>2682.0522695979075</x:v>
      </x:c>
      <x:c r="O253" s="14" t="n">
        <x:f>I253/N253-1</x:f>
        <x:v>-0.1032986093292817</x:v>
      </x:c>
      <x:c r="P253" s="2" t="str"/>
    </x:row>
    <x:row r="254">
      <x:c r="A254" s="2" t="str">
        <x:f>'Source Data'!A254</x:f>
        <x:v>332321</x:v>
      </x:c>
      <x:c r="B254" s="2" t="str">
        <x:f>'Source Data'!B254</x:f>
        <x:v>Metal Window and Door Manufacturing</x:v>
      </x:c>
      <x:c r="C254" s="13" t="n">
        <x:f>LN('Source Data'!C254/'Source Data'!C$8)</x:f>
        <x:v>-7.860296250296627</x:v>
      </x:c>
      <x:c r="D254" s="13" t="n">
        <x:f>LN('Source Data'!D254/'Source Data'!D$8)</x:f>
        <x:v>-7.80517143474742</x:v>
      </x:c>
      <x:c r="E254" s="13" t="n">
        <x:f>LN('Source Data'!E254/'Source Data'!E$8)</x:f>
        <x:v>-7.824459706784935</x:v>
      </x:c>
      <x:c r="F254" s="13" t="n">
        <x:f>SLOPE(C254:E254,'Source Data'!C$7:E$7)</x:f>
        <x:v>0.01791827175584615</x:v>
      </x:c>
      <x:c r="G254" s="14" t="n">
        <x:f>EXP(F254)-1</x:f>
        <x:v>0.018079767117791024</x:v>
      </x:c>
      <x:c r="H254" s="8" t="n">
        <x:f>'Source Data'!F254</x:f>
        <x:v>6019</x:v>
      </x:c>
      <x:c r="I254" s="8" t="n">
        <x:f>'Source Data'!H254</x:f>
        <x:v>5371</x:v>
      </x:c>
      <x:c r="J254" s="14" t="n">
        <x:f>I254/H254-1</x:f>
        <x:v>-0.10765907958132581</x:v>
      </x:c>
      <x:c r="K254" s="8" t="n">
        <x:f>H254*('Source Data'!H$8/'Source Data'!F$8)*EXP(F254*('Source Data'!H$7-'Source Data'!F$7))</x:f>
        <x:v>6580.970485689584</x:v>
      </x:c>
      <x:c r="L254" s="14" t="n">
        <x:f>I254/K254-1</x:f>
        <x:v>-0.18385897464829581</x:v>
      </x:c>
      <x:c r="M254" s="8" t="n">
        <x:f>'Source Data'!G254</x:f>
        <x:v>6103</x:v>
      </x:c>
      <x:c r="N254" s="8" t="n">
        <x:f>M254*('Source Data'!H$8/'Source Data'!G$8)*EXP(F254*('Source Data'!H$7-'Source Data'!G$7))</x:f>
        <x:v>6540.755059942561</x:v>
      </x:c>
      <x:c r="O254" s="14" t="n">
        <x:f>I254/N254-1</x:f>
        <x:v>-0.1788409823059226</x:v>
      </x:c>
      <x:c r="P254" s="2" t="str"/>
    </x:row>
    <x:row r="255">
      <x:c r="A255" s="2" t="str">
        <x:f>'Source Data'!A255</x:f>
        <x:v>332322</x:v>
      </x:c>
      <x:c r="B255" s="2" t="str">
        <x:f>'Source Data'!B255</x:f>
        <x:v>Sheet Metal Work Manufacturing</x:v>
      </x:c>
      <x:c r="C255" s="13" t="n">
        <x:f>LN('Source Data'!C255/'Source Data'!C$8)</x:f>
        <x:v>-6.965456519684509</x:v>
      </x:c>
      <x:c r="D255" s="13" t="n">
        <x:f>LN('Source Data'!D255/'Source Data'!D$8)</x:f>
        <x:v>-6.924653097466011</x:v>
      </x:c>
      <x:c r="E255" s="13" t="n">
        <x:f>LN('Source Data'!E255/'Source Data'!E$8)</x:f>
        <x:v>-6.963024555407299</x:v>
      </x:c>
      <x:c r="F255" s="13" t="n">
        <x:f>SLOPE(C255:E255,'Source Data'!C$7:E$7)</x:f>
        <x:v>0.0012159821386052982</x:v>
      </x:c>
      <x:c r="G255" s="14" t="n">
        <x:f>EXP(F255)-1</x:f>
        <x:v>0.0012167217446381606</x:v>
      </x:c>
      <x:c r="H255" s="8" t="n">
        <x:f>'Source Data'!F255</x:f>
        <x:v>13829</x:v>
      </x:c>
      <x:c r="I255" s="8" t="n">
        <x:f>'Source Data'!H255</x:f>
        <x:v>12881</x:v>
      </x:c>
      <x:c r="J255" s="14" t="n">
        <x:f>I255/H255-1</x:f>
        <x:v>-0.06855159447537784</x:v>
      </x:c>
      <x:c r="K255" s="8" t="n">
        <x:f>H255*('Source Data'!H$8/'Source Data'!F$8)*EXP(F255*('Source Data'!H$7-'Source Data'!F$7))</x:f>
        <x:v>14142.999548803708</x:v>
      </x:c>
      <x:c r="L255" s="14" t="n">
        <x:f>I255/K255-1</x:f>
        <x:v>-0.08923139284908299</x:v>
      </x:c>
      <x:c r="M255" s="8" t="n">
        <x:f>'Source Data'!G255</x:f>
        <x:v>13583</x:v>
      </x:c>
      <x:c r="N255" s="8" t="n">
        <x:f>M255*('Source Data'!H$8/'Source Data'!G$8)*EXP(F255*('Source Data'!H$7-'Source Data'!G$7))</x:f>
        <x:v>13845.8327076297</x:v>
      </x:c>
      <x:c r="O255" s="14" t="n">
        <x:f>I255/N255-1</x:f>
        <x:v>-0.06968397842175511</x:v>
      </x:c>
      <x:c r="P255" s="2" t="str"/>
    </x:row>
    <x:row r="256">
      <x:c r="A256" s="2" t="str">
        <x:f>'Source Data'!A256</x:f>
        <x:v>332323</x:v>
      </x:c>
      <x:c r="B256" s="2" t="str">
        <x:f>'Source Data'!B256</x:f>
        <x:v>Ornamental and Architectural Metal Work Manufacturing</x:v>
      </x:c>
      <x:c r="C256" s="13" t="n">
        <x:f>LN('Source Data'!C256/'Source Data'!C$8)</x:f>
        <x:v>-8.369249270899802</x:v>
      </x:c>
      <x:c r="D256" s="13" t="n">
        <x:f>LN('Source Data'!D256/'Source Data'!D$8)</x:f>
        <x:v>-8.29891495050741</x:v>
      </x:c>
      <x:c r="E256" s="13" t="n">
        <x:f>LN('Source Data'!E256/'Source Data'!E$8)</x:f>
        <x:v>-8.290906643357376</x:v>
      </x:c>
      <x:c r="F256" s="13" t="n">
        <x:f>SLOPE(C256:E256,'Source Data'!C$7:E$7)</x:f>
        <x:v>0.03917131377121308</x:v>
      </x:c>
      <x:c r="G256" s="14" t="n">
        <x:f>EXP(F256)-1</x:f>
        <x:v>0.039948625911583546</x:v>
      </x:c>
      <x:c r="H256" s="8" t="n">
        <x:f>'Source Data'!F256</x:f>
        <x:v>3574</x:v>
      </x:c>
      <x:c r="I256" s="8" t="n">
        <x:f>'Source Data'!H256</x:f>
        <x:v>3545</x:v>
      </x:c>
      <x:c r="J256" s="14" t="n">
        <x:f>I256/H256-1</x:f>
        <x:v>-0.008114157806379363</x:v>
      </x:c>
      <x:c r="K256" s="8" t="n">
        <x:f>H256*('Source Data'!H$8/'Source Data'!F$8)*EXP(F256*('Source Data'!H$7-'Source Data'!F$7))</x:f>
        <x:v>4254.420997279027</x:v>
      </x:c>
      <x:c r="L256" s="14" t="n">
        <x:f>I256/K256-1</x:f>
        <x:v>-0.16674912937218644</x:v>
      </x:c>
      <x:c r="M256" s="8" t="n">
        <x:f>'Source Data'!G256</x:f>
        <x:v>3590</x:v>
      </x:c>
      <x:c r="N256" s="8" t="n">
        <x:f>M256*('Source Data'!H$8/'Source Data'!G$8)*EXP(F256*('Source Data'!H$7-'Source Data'!G$7))</x:f>
        <x:v>4100.805781114405</x:v>
      </x:c>
      <x:c r="O256" s="14" t="n">
        <x:f>I256/N256-1</x:f>
        <x:v>-0.1355357485287595</x:v>
      </x:c>
      <x:c r="P256" s="2" t="str"/>
    </x:row>
    <x:row r="257">
      <x:c r="A257" s="2" t="str">
        <x:f>'Source Data'!A257</x:f>
        <x:v>332410</x:v>
      </x:c>
      <x:c r="B257" s="2" t="str">
        <x:f>'Source Data'!B257</x:f>
        <x:v>Power Boiler and Heat Exchanger Manufacturing</x:v>
      </x:c>
      <x:c r="C257" s="13" t="n">
        <x:f>LN('Source Data'!C257/'Source Data'!C$8)</x:f>
        <x:v>-10.36147828905408</x:v>
      </x:c>
      <x:c r="D257" s="13" t="n">
        <x:f>LN('Source Data'!D257/'Source Data'!D$8)</x:f>
        <x:v>-10.508867978604536</x:v>
      </x:c>
      <x:c r="E257" s="13" t="n">
        <x:f>LN('Source Data'!E257/'Source Data'!E$8)</x:f>
        <x:v>-10.53166992463742</x:v>
      </x:c>
      <x:c r="F257" s="13" t="n">
        <x:f>SLOPE(C257:E257,'Source Data'!C$7:E$7)</x:f>
        <x:v>-0.08509581779166986</x:v>
      </x:c>
      <x:c r="G257" s="14" t="n">
        <x:f>EXP(F257)-1</x:f>
        <x:v>-0.08157572120093703</x:v>
      </x:c>
      <x:c r="H257" s="8" t="n">
        <x:f>'Source Data'!F257</x:f>
        <x:v>380</x:v>
      </x:c>
      <x:c r="I257" s="8" t="n">
        <x:f>'Source Data'!H257</x:f>
        <x:v>337</x:v>
      </x:c>
      <x:c r="J257" s="14" t="n">
        <x:f>I257/H257-1</x:f>
        <x:v>-0.11315789473684212</x:v>
      </x:c>
      <x:c r="K257" s="8" t="n">
        <x:f>H257*('Source Data'!H$8/'Source Data'!F$8)*EXP(F257*('Source Data'!H$7-'Source Data'!F$7))</x:f>
        <x:v>275.1663947913073</x:v>
      </x:c>
      <x:c r="L257" s="14" t="n">
        <x:f>I257/K257-1</x:f>
        <x:v>0.22471350564297188</x:v>
      </x:c>
      <x:c r="M257" s="8" t="n">
        <x:f>'Source Data'!G257</x:f>
        <x:v>393</x:v>
      </x:c>
      <x:c r="N257" s="8" t="n">
        <x:f>M257*('Source Data'!H$8/'Source Data'!G$8)*EXP(F257*('Source Data'!H$7-'Source Data'!G$7))</x:f>
        <x:v>309.2158266050223</x:v>
      </x:c>
      <x:c r="O257" s="14" t="n">
        <x:f>I257/N257-1</x:f>
        <x:v>0.08985365885061203</x:v>
      </x:c>
      <x:c r="P257" s="2" t="str"/>
    </x:row>
    <x:row r="258">
      <x:c r="A258" s="2" t="str">
        <x:f>'Source Data'!A258</x:f>
        <x:v>332420</x:v>
      </x:c>
      <x:c r="B258" s="2" t="str">
        <x:f>'Source Data'!B258</x:f>
        <x:v>Metal Tank (Heavy Gauge) Manufacturing</x:v>
      </x:c>
      <x:c r="C258" s="13" t="n">
        <x:f>LN('Source Data'!C258/'Source Data'!C$8)</x:f>
        <x:v>-8.877262518364526</x:v>
      </x:c>
      <x:c r="D258" s="13" t="n">
        <x:f>LN('Source Data'!D258/'Source Data'!D$8)</x:f>
        <x:v>-8.885492558326654</x:v>
      </x:c>
      <x:c r="E258" s="13" t="n">
        <x:f>LN('Source Data'!E258/'Source Data'!E$8)</x:f>
        <x:v>-8.876926381448499</x:v>
      </x:c>
      <x:c r="F258" s="13" t="n">
        <x:f>SLOPE(C258:E258,'Source Data'!C$7:E$7)</x:f>
        <x:v>0.00016806845801387027</x:v>
      </x:c>
      <x:c r="G258" s="14" t="n">
        <x:f>EXP(F258)-1</x:f>
        <x:v>0.00016808258230849304</x:v>
      </x:c>
      <x:c r="H258" s="8" t="n">
        <x:f>'Source Data'!F258</x:f>
        <x:v>2000</x:v>
      </x:c>
      <x:c r="I258" s="8" t="n">
        <x:f>'Source Data'!H258</x:f>
        <x:v>2327</x:v>
      </x:c>
      <x:c r="J258" s="14" t="n">
        <x:f>I258/H258-1</x:f>
        <x:v>0.16349999999999998</x:v>
      </x:c>
      <x:c r="K258" s="8" t="n">
        <x:f>H258*('Source Data'!H$8/'Source Data'!F$8)*EXP(F258*('Source Data'!H$7-'Source Data'!F$7))</x:f>
        <x:v>2036.8560345033643</x:v>
      </x:c>
      <x:c r="L258" s="14" t="n">
        <x:f>I258/K258-1</x:f>
        <x:v>0.14244696757244313</x:v>
      </x:c>
      <x:c r="M258" s="8" t="n">
        <x:f>'Source Data'!G258</x:f>
        <x:v>2014</x:v>
      </x:c>
      <x:c r="N258" s="8" t="n">
        <x:f>M258*('Source Data'!H$8/'Source Data'!G$8)*EXP(F258*('Source Data'!H$7-'Source Data'!G$7))</x:f>
        <x:v>2046.5272703790226</x:v>
      </x:c>
      <x:c r="O258" s="14" t="n">
        <x:f>I258/N258-1</x:f>
        <x:v>0.1370481271764501</x:v>
      </x:c>
      <x:c r="P258" s="2" t="str"/>
    </x:row>
    <x:row r="259">
      <x:c r="A259" s="2" t="str">
        <x:f>'Source Data'!A259</x:f>
        <x:v>332431</x:v>
      </x:c>
      <x:c r="B259" s="2" t="str">
        <x:f>'Source Data'!B259</x:f>
        <x:v>Metal Can Manufacturing</x:v>
      </x:c>
      <x:c r="C259" s="13" t="n">
        <x:f>LN('Source Data'!C259/'Source Data'!C$8)</x:f>
        <x:v>-9.174687654618511</x:v>
      </x:c>
      <x:c r="D259" s="13" t="n">
        <x:f>LN('Source Data'!D259/'Source Data'!D$8)</x:f>
        <x:v>-9.225431002924353</x:v>
      </x:c>
      <x:c r="E259" s="13" t="n">
        <x:f>LN('Source Data'!E259/'Source Data'!E$8)</x:f>
        <x:v>-9.327949041209655</x:v>
      </x:c>
      <x:c r="F259" s="13" t="n">
        <x:f>SLOPE(C259:E259,'Source Data'!C$7:E$7)</x:f>
        <x:v>-0.07663069329557182</x:v>
      </x:c>
      <x:c r="G259" s="14" t="n">
        <x:f>EXP(F259)-1</x:f>
        <x:v>-0.07376814591535807</x:v>
      </x:c>
      <x:c r="H259" s="8" t="n">
        <x:f>'Source Data'!F259</x:f>
        <x:v>1318</x:v>
      </x:c>
      <x:c r="I259" s="8" t="n">
        <x:f>'Source Data'!H259</x:f>
        <x:v>1292</x:v>
      </x:c>
      <x:c r="J259" s="14" t="n">
        <x:f>I259/H259-1</x:f>
        <x:v>-0.019726858877086473</x:v>
      </x:c>
      <x:c r="K259" s="8" t="n">
        <x:f>H259*('Source Data'!H$8/'Source Data'!F$8)*EXP(F259*('Source Data'!H$7-'Source Data'!F$7))</x:f>
        <x:v>987.262485644474</x:v>
      </x:c>
      <x:c r="L259" s="14" t="n">
        <x:f>I259/K259-1</x:f>
        <x:v>0.3086691926277303</x:v>
      </x:c>
      <x:c r="M259" s="8" t="n">
        <x:f>'Source Data'!G259</x:f>
        <x:v>1241</x:v>
      </x:c>
      <x:c r="N259" s="8" t="n">
        <x:f>M259*('Source Data'!H$8/'Source Data'!G$8)*EXP(F259*('Source Data'!H$7-'Source Data'!G$7))</x:f>
        <x:v>1001.5439595816118</x:v>
      </x:c>
      <x:c r="O259" s="14" t="n">
        <x:f>I259/N259-1</x:f>
        <x:v>0.2900082793567287</x:v>
      </x:c>
      <x:c r="P259" s="2" t="str"/>
    </x:row>
    <x:row r="260">
      <x:c r="A260" s="2" t="str">
        <x:f>'Source Data'!A260</x:f>
        <x:v>332439</x:v>
      </x:c>
      <x:c r="B260" s="2" t="str">
        <x:f>'Source Data'!B260</x:f>
        <x:v>Other Metal Container Manufacturing</x:v>
      </x:c>
      <x:c r="C260" s="13" t="n">
        <x:f>LN('Source Data'!C260/'Source Data'!C$8)</x:f>
        <x:v>-9.714745777802882</x:v>
      </x:c>
      <x:c r="D260" s="13" t="n">
        <x:f>LN('Source Data'!D260/'Source Data'!D$8)</x:f>
        <x:v>-9.68109351489943</x:v>
      </x:c>
      <x:c r="E260" s="13" t="n">
        <x:f>LN('Source Data'!E260/'Source Data'!E$8)</x:f>
        <x:v>-9.642442371112093</x:v>
      </x:c>
      <x:c r="F260" s="13" t="n">
        <x:f>SLOPE(C260:E260,'Source Data'!C$7:E$7)</x:f>
        <x:v>0.03615170334539464</x:v>
      </x:c>
      <x:c r="G260" s="14" t="n">
        <x:f>EXP(F260)-1</x:f>
        <x:v>0.03681312258021219</x:v>
      </x:c>
      <x:c r="H260" s="8" t="n">
        <x:f>'Source Data'!F260</x:f>
        <x:v>901</x:v>
      </x:c>
      <x:c r="I260" s="8" t="n">
        <x:f>'Source Data'!H260</x:f>
        <x:v>741</x:v>
      </x:c>
      <x:c r="J260" s="14" t="n">
        <x:f>I260/H260-1</x:f>
        <x:v>-0.1775804661487237</x:v>
      </x:c>
      <x:c r="K260" s="8" t="n">
        <x:f>H260*('Source Data'!H$8/'Source Data'!F$8)*EXP(F260*('Source Data'!H$7-'Source Data'!F$7))</x:f>
        <x:v>1059.6564979911439</x:v>
      </x:c>
      <x:c r="L260" s="14" t="n">
        <x:f>I260/K260-1</x:f>
        <x:v>-0.3007167875582707</x:v>
      </x:c>
      <x:c r="M260" s="8" t="n">
        <x:f>'Source Data'!G260</x:f>
        <x:v>929</x:v>
      </x:c>
      <x:c r="N260" s="8" t="n">
        <x:f>M260*('Source Data'!H$8/'Source Data'!G$8)*EXP(F260*('Source Data'!H$7-'Source Data'!G$7))</x:f>
        <x:v>1051.6137745358835</x:v>
      </x:c>
      <x:c r="O260" s="14" t="n">
        <x:f>I260/N260-1</x:f>
        <x:v>-0.2953686819792457</x:v>
      </x:c>
      <x:c r="P260" s="2" t="str"/>
    </x:row>
    <x:row r="261">
      <x:c r="A261" s="2" t="str">
        <x:f>'Source Data'!A261</x:f>
        <x:v>332510</x:v>
      </x:c>
      <x:c r="B261" s="2" t="str">
        <x:f>'Source Data'!B261</x:f>
        <x:v>Hardware Manufacturing</x:v>
      </x:c>
      <x:c r="C261" s="13" t="n">
        <x:f>LN('Source Data'!C261/'Source Data'!C$8)</x:f>
        <x:v>-9.017551179170704</x:v>
      </x:c>
      <x:c r="D261" s="13" t="n">
        <x:f>LN('Source Data'!D261/'Source Data'!D$8)</x:f>
        <x:v>-9.024760307462202</x:v>
      </x:c>
      <x:c r="E261" s="13" t="n">
        <x:f>LN('Source Data'!E261/'Source Data'!E$8)</x:f>
        <x:v>-9.06669010278041</x:v>
      </x:c>
      <x:c r="F261" s="13" t="n">
        <x:f>SLOPE(C261:E261,'Source Data'!C$7:E$7)</x:f>
        <x:v>-0.024569461804852644</x:v>
      </x:c>
      <x:c r="G261" s="14" t="n">
        <x:f>EXP(F261)-1</x:f>
        <x:v>-0.024270089396206673</x:v>
      </x:c>
      <x:c r="H261" s="8" t="n">
        <x:f>'Source Data'!F261</x:f>
        <x:v>1551</x:v>
      </x:c>
      <x:c r="I261" s="8" t="n">
        <x:f>'Source Data'!H261</x:f>
        <x:v>995</x:v>
      </x:c>
      <x:c r="J261" s="14" t="n">
        <x:f>I261/H261-1</x:f>
        <x:v>-0.35847840103159256</x:v>
      </x:c>
      <x:c r="K261" s="8" t="n">
        <x:f>H261*('Source Data'!H$8/'Source Data'!F$8)*EXP(F261*('Source Data'!H$7-'Source Data'!F$7))</x:f>
        <x:v>1430.766110002176</x:v>
      </x:c>
      <x:c r="L261" s="14" t="n">
        <x:f>I261/K261-1</x:f>
        <x:v>-0.3045683756106812</x:v>
      </x:c>
      <x:c r="M261" s="8" t="n">
        <x:f>'Source Data'!G261</x:f>
        <x:v>1580</x:v>
      </x:c>
      <x:c r="N261" s="8" t="n">
        <x:f>M261*('Source Data'!H$8/'Source Data'!G$8)*EXP(F261*('Source Data'!H$7-'Source Data'!G$7))</x:f>
        <x:v>1490.682105589197</x:v>
      </x:c>
      <x:c r="O261" s="14" t="n">
        <x:f>I261/N261-1</x:f>
        <x:v>-0.33252032994202807</x:v>
      </x:c>
      <x:c r="P261" s="2" t="str"/>
    </x:row>
    <x:row r="262">
      <x:c r="A262" s="2" t="str">
        <x:f>'Source Data'!A262</x:f>
        <x:v>332613</x:v>
      </x:c>
      <x:c r="B262" s="2" t="str">
        <x:f>'Source Data'!B262</x:f>
        <x:v>Spring Manufacturing</x:v>
      </x:c>
      <x:c r="C262" s="13" t="n">
        <x:f>LN('Source Data'!C262/'Source Data'!C$8)</x:f>
        <x:v>-8.98295742626757</x:v>
      </x:c>
      <x:c r="D262" s="13" t="n">
        <x:f>LN('Source Data'!D262/'Source Data'!D$8)</x:f>
        <x:v>-8.950327712679432</x:v>
      </x:c>
      <x:c r="E262" s="13" t="n">
        <x:f>LN('Source Data'!E262/'Source Data'!E$8)</x:f>
        <x:v>-8.858796113844232</x:v>
      </x:c>
      <x:c r="F262" s="13" t="n">
        <x:f>SLOPE(C262:E262,'Source Data'!C$7:E$7)</x:f>
        <x:v>0.062080656211668916</x:v>
      </x:c>
      <x:c r="G262" s="14" t="n">
        <x:f>EXP(F262)-1</x:f>
        <x:v>0.06404816336097419</x:v>
      </x:c>
      <x:c r="H262" s="8" t="n">
        <x:f>'Source Data'!F262</x:f>
        <x:v>1497</x:v>
      </x:c>
      <x:c r="I262" s="8" t="n">
        <x:f>'Source Data'!H262</x:f>
        <x:v>857</x:v>
      </x:c>
      <x:c r="J262" s="14" t="n">
        <x:f>I262/H262-1</x:f>
        <x:v>-0.42752171008684037</x:v>
      </x:c>
      <x:c r="K262" s="8" t="n">
        <x:f>H262*('Source Data'!H$8/'Source Data'!F$8)*EXP(F262*('Source Data'!H$7-'Source Data'!F$7))</x:f>
        <x:v>1953.0138341022307</x:v>
      </x:c>
      <x:c r="L262" s="14" t="n">
        <x:f>I262/K262-1</x:f>
        <x:v>-0.5611910243360108</x:v>
      </x:c>
      <x:c r="M262" s="8" t="n">
        <x:f>'Source Data'!G262</x:f>
        <x:v>1353</x:v>
      </x:c>
      <x:c r="N262" s="8" t="n">
        <x:f>M262*('Source Data'!H$8/'Source Data'!G$8)*EXP(F262*('Source Data'!H$7-'Source Data'!G$7))</x:f>
        <x:v>1655.4678544490948</x:v>
      </x:c>
      <x:c r="O262" s="14" t="n">
        <x:f>I262/N262-1</x:f>
        <x:v>-0.48232156988322084</x:v>
      </x:c>
      <x:c r="P262" s="2" t="str"/>
    </x:row>
    <x:row r="263">
      <x:c r="A263" s="2" t="str">
        <x:f>'Source Data'!A263</x:f>
        <x:v>332618</x:v>
      </x:c>
      <x:c r="B263" s="2" t="str">
        <x:f>'Source Data'!B263</x:f>
        <x:v>Other Fabricated Wire Product Manufacturing</x:v>
      </x:c>
      <x:c r="C263" s="13" t="n">
        <x:f>LN('Source Data'!C263/'Source Data'!C$8)</x:f>
        <x:v>-9.473004514482689</x:v>
      </x:c>
      <x:c r="D263" s="13" t="n">
        <x:f>LN('Source Data'!D263/'Source Data'!D$8)</x:f>
        <x:v>-9.505732968078512</x:v>
      </x:c>
      <x:c r="E263" s="13" t="n">
        <x:f>LN('Source Data'!E263/'Source Data'!E$8)</x:f>
        <x:v>-9.490957174870974</x:v>
      </x:c>
      <x:c r="F263" s="13" t="n">
        <x:f>SLOPE(C263:E263,'Source Data'!C$7:E$7)</x:f>
        <x:v>-0.00897633019414279</x:v>
      </x:c>
      <x:c r="G263" s="14" t="n">
        <x:f>EXP(F263)-1</x:f>
        <x:v>-0.008936163216131887</x:v>
      </x:c>
      <x:c r="H263" s="8" t="n">
        <x:f>'Source Data'!F263</x:f>
        <x:v>1121</x:v>
      </x:c>
      <x:c r="I263" s="8" t="n">
        <x:f>'Source Data'!H263</x:f>
        <x:v>917</x:v>
      </x:c>
      <x:c r="J263" s="14" t="n">
        <x:f>I263/H263-1</x:f>
        <x:v>-0.18198037466547723</x:v>
      </x:c>
      <x:c r="K263" s="8" t="n">
        <x:f>H263*('Source Data'!H$8/'Source Data'!F$8)*EXP(F263*('Source Data'!H$7-'Source Data'!F$7))</x:f>
        <x:v>1100.6532073375404</x:v>
      </x:c>
      <x:c r="L263" s="14" t="n">
        <x:f>I263/K263-1</x:f>
        <x:v>-0.16685837656512548</x:v>
      </x:c>
      <x:c r="M263" s="8" t="n">
        <x:f>'Source Data'!G263</x:f>
        <x:v>1030</x:v>
      </x:c>
      <x:c r="N263" s="8" t="n">
        <x:f>M263*('Source Data'!H$8/'Source Data'!G$8)*EXP(F263*('Source Data'!H$7-'Source Data'!G$7))</x:f>
        <x:v>1018.3128143976775</x:v>
      </x:c>
      <x:c r="O263" s="14" t="n">
        <x:f>I263/N263-1</x:f>
        <x:v>-0.09949085680278225</x:v>
      </x:c>
      <x:c r="P263" s="2" t="str"/>
    </x:row>
    <x:row r="264">
      <x:c r="A264" s="2" t="str">
        <x:f>'Source Data'!A264</x:f>
        <x:v>332710</x:v>
      </x:c>
      <x:c r="B264" s="2" t="str">
        <x:f>'Source Data'!B264</x:f>
        <x:v>Machine Shops</x:v>
      </x:c>
      <x:c r="C264" s="13" t="n">
        <x:f>LN('Source Data'!C264/'Source Data'!C$8)</x:f>
        <x:v>-6.120438073997829</x:v>
      </x:c>
      <x:c r="D264" s="13" t="n">
        <x:f>LN('Source Data'!D264/'Source Data'!D$8)</x:f>
        <x:v>-6.133915176776132</x:v>
      </x:c>
      <x:c r="E264" s="13" t="n">
        <x:f>LN('Source Data'!E264/'Source Data'!E$8)</x:f>
        <x:v>-6.144304919615783</x:v>
      </x:c>
      <x:c r="F264" s="13" t="n">
        <x:f>SLOPE(C264:E264,'Source Data'!C$7:E$7)</x:f>
        <x:v>-0.01193342280897669</x:v>
      </x:c>
      <x:c r="G264" s="14" t="n">
        <x:f>EXP(F264)-1</x:f>
        <x:v>-0.011862501909023937</x:v>
      </x:c>
      <x:c r="H264" s="8" t="n">
        <x:f>'Source Data'!F264</x:f>
        <x:v>29616</x:v>
      </x:c>
      <x:c r="I264" s="8" t="n">
        <x:f>'Source Data'!H264</x:f>
        <x:v>28703</x:v>
      </x:c>
      <x:c r="J264" s="14" t="n">
        <x:f>I264/H264-1</x:f>
        <x:v>-0.030827930848190133</x:v>
      </x:c>
      <x:c r="K264" s="8" t="n">
        <x:f>H264*('Source Data'!H$8/'Source Data'!F$8)*EXP(F264*('Source Data'!H$7-'Source Data'!F$7))</x:f>
        <x:v>28736.528102831136</x:v>
      </x:c>
      <x:c r="L264" s="14" t="n">
        <x:f>I264/K264-1</x:f>
        <x:v>-0.0011667416018789067</x:v>
      </x:c>
      <x:c r="M264" s="8" t="n">
        <x:f>'Source Data'!G264</x:f>
        <x:v>29479</x:v>
      </x:c>
      <x:c r="N264" s="8" t="n">
        <x:f>M264*('Source Data'!H$8/'Source Data'!G$8)*EXP(F264*('Source Data'!H$7-'Source Data'!G$7))</x:f>
        <x:v>28887.102625747797</x:v>
      </x:c>
      <x:c r="O264" s="14" t="n">
        <x:f>I264/N264-1</x:f>
        <x:v>-0.006373177266442154</x:v>
      </x:c>
      <x:c r="P264" s="2" t="str"/>
    </x:row>
    <x:row r="265">
      <x:c r="A265" s="2" t="str">
        <x:f>'Source Data'!A265</x:f>
        <x:v>332721</x:v>
      </x:c>
      <x:c r="B265" s="2" t="str">
        <x:f>'Source Data'!B265</x:f>
        <x:v>Precision Turned Product Manufacturing</x:v>
      </x:c>
      <x:c r="C265" s="13" t="n">
        <x:f>LN('Source Data'!C265/'Source Data'!C$8)</x:f>
        <x:v>-8.488995608553584</x:v>
      </x:c>
      <x:c r="D265" s="13" t="n">
        <x:f>LN('Source Data'!D265/'Source Data'!D$8)</x:f>
        <x:v>-8.555822587004542</x:v>
      </x:c>
      <x:c r="E265" s="13" t="n">
        <x:f>LN('Source Data'!E265/'Source Data'!E$8)</x:f>
        <x:v>-8.525029323580688</x:v>
      </x:c>
      <x:c r="F265" s="13" t="n">
        <x:f>SLOPE(C265:E265,'Source Data'!C$7:E$7)</x:f>
        <x:v>-0.018016857513551976</x:v>
      </x:c>
      <x:c r="G265" s="14" t="n">
        <x:f>EXP(F265)-1</x:f>
        <x:v>-0.0178555242950601</x:v>
      </x:c>
      <x:c r="H265" s="8" t="n">
        <x:f>'Source Data'!F265</x:f>
        <x:v>2715</x:v>
      </x:c>
      <x:c r="I265" s="8" t="n">
        <x:f>'Source Data'!H265</x:f>
        <x:v>3620</x:v>
      </x:c>
      <x:c r="J265" s="14" t="n">
        <x:f>I265/H265-1</x:f>
        <x:v>0.33333333333333326</x:v>
      </x:c>
      <x:c r="K265" s="8" t="n">
        <x:f>H265*('Source Data'!H$8/'Source Data'!F$8)*EXP(F265*('Source Data'!H$7-'Source Data'!F$7))</x:f>
        <x:v>2571.045250375917</x:v>
      </x:c>
      <x:c r="L265" s="14" t="n">
        <x:f>I265/K265-1</x:f>
        <x:v>0.4079876655110264</x:v>
      </x:c>
      <x:c r="M265" s="8" t="n">
        <x:f>'Source Data'!G265</x:f>
        <x:v>3039</x:v>
      </x:c>
      <x:c r="N265" s="8" t="n">
        <x:f>M265*('Source Data'!H$8/'Source Data'!G$8)*EXP(F265*('Source Data'!H$7-'Source Data'!G$7))</x:f>
        <x:v>2924.1249804899026</x:v>
      </x:c>
      <x:c r="O265" s="14" t="n">
        <x:f>I265/N265-1</x:f>
        <x:v>0.23797718091841324</x:v>
      </x:c>
      <x:c r="P265" s="2" t="str"/>
    </x:row>
    <x:row r="266">
      <x:c r="A266" s="2" t="str">
        <x:f>'Source Data'!A266</x:f>
        <x:v>332722</x:v>
      </x:c>
      <x:c r="B266" s="2" t="str">
        <x:f>'Source Data'!B266</x:f>
        <x:v>Bolt, Nut, Screw, Rivet, and Washer Manufacturing</x:v>
      </x:c>
      <x:c r="C266" s="13" t="n">
        <x:f>LN('Source Data'!C266/'Source Data'!C$8)</x:f>
        <x:v>-7.442870786853437</x:v>
      </x:c>
      <x:c r="D266" s="13" t="n">
        <x:f>LN('Source Data'!D266/'Source Data'!D$8)</x:f>
        <x:v>-7.478891689048363</x:v>
      </x:c>
      <x:c r="E266" s="13" t="n">
        <x:f>LN('Source Data'!E266/'Source Data'!E$8)</x:f>
        <x:v>-7.439940736675029</x:v>
      </x:c>
      <x:c r="F266" s="13" t="n">
        <x:f>SLOPE(C266:E266,'Source Data'!C$7:E$7)</x:f>
        <x:v>0.0014650250892036532</x:v>
      </x:c>
      <x:c r="G266" s="14" t="n">
        <x:f>EXP(F266)-1</x:f>
        <x:v>0.0014660987627150845</x:v>
      </x:c>
      <x:c r="H266" s="8" t="n">
        <x:f>'Source Data'!F266</x:f>
        <x:v>6274</x:v>
      </x:c>
      <x:c r="I266" s="8" t="n">
        <x:f>'Source Data'!H266</x:f>
        <x:v>7008</x:v>
      </x:c>
      <x:c r="J266" s="14" t="n">
        <x:f>I266/H266-1</x:f>
        <x:v>0.11699075549888427</x:v>
      </x:c>
      <x:c r="K266" s="8" t="n">
        <x:f>H266*('Source Data'!H$8/'Source Data'!F$8)*EXP(F266*('Source Data'!H$7-'Source Data'!F$7))</x:f>
        <x:v>6422.851739272144</x:v>
      </x:c>
      <x:c r="L266" s="14" t="n">
        <x:f>I266/K266-1</x:f>
        <x:v>0.09110412079886587</x:v>
      </x:c>
      <x:c r="M266" s="8" t="n">
        <x:f>'Source Data'!G266</x:f>
        <x:v>6692</x:v>
      </x:c>
      <x:c r="N266" s="8" t="n">
        <x:f>M266*('Source Data'!H$8/'Source Data'!G$8)*EXP(F266*('Source Data'!H$7-'Source Data'!G$7))</x:f>
        <x:v>6826.589453780543</x:v>
      </x:c>
      <x:c r="O266" s="14" t="n">
        <x:f>I266/N266-1</x:f>
        <x:v>0.026574111047353632</x:v>
      </x:c>
      <x:c r="P266" s="2" t="str"/>
    </x:row>
    <x:row r="267">
      <x:c r="A267" s="2" t="str">
        <x:f>'Source Data'!A267</x:f>
        <x:v>332811</x:v>
      </x:c>
      <x:c r="B267" s="2" t="str">
        <x:f>'Source Data'!B267</x:f>
        <x:v>Metal Heat Treating</x:v>
      </x:c>
      <x:c r="C267" s="13" t="n">
        <x:f>LN('Source Data'!C267/'Source Data'!C$8)</x:f>
        <x:v>-9.019283781394487</x:v>
      </x:c>
      <x:c r="D267" s="13" t="n">
        <x:f>LN('Source Data'!D267/'Source Data'!D$8)</x:f>
        <x:v>-9.001732050318443</x:v>
      </x:c>
      <x:c r="E267" s="13" t="n">
        <x:f>LN('Source Data'!E267/'Source Data'!E$8)</x:f>
        <x:v>-9.071357555827905</x:v>
      </x:c>
      <x:c r="F267" s="13" t="n">
        <x:f>SLOPE(C267:E267,'Source Data'!C$7:E$7)</x:f>
        <x:v>-0.02603688721670938</x:v>
      </x:c>
      <x:c r="G267" s="14" t="n">
        <x:f>EXP(F267)-1</x:f>
        <x:v>-0.025700850237984074</x:v>
      </x:c>
      <x:c r="H267" s="8" t="n">
        <x:f>'Source Data'!F267</x:f>
        <x:v>1449</x:v>
      </x:c>
      <x:c r="I267" s="8" t="n">
        <x:f>'Source Data'!H267</x:f>
        <x:v>1418</x:v>
      </x:c>
      <x:c r="J267" s="14" t="n">
        <x:f>I267/H267-1</x:f>
        <x:v>-0.021394064872325758</x:v>
      </x:c>
      <x:c r="K267" s="8" t="n">
        <x:f>H267*('Source Data'!H$8/'Source Data'!F$8)*EXP(F267*('Source Data'!H$7-'Source Data'!F$7))</x:f>
        <x:v>1328.8502830805173</x:v>
      </x:c>
      <x:c r="L267" s="14" t="n">
        <x:f>I267/K267-1</x:f>
        <x:v>0.06708785636318448</x:v>
      </x:c>
      <x:c r="M267" s="8" t="n">
        <x:f>'Source Data'!G267</x:f>
        <x:v>1463</x:v>
      </x:c>
      <x:c r="N267" s="8" t="n">
        <x:f>M267*('Source Data'!H$8/'Source Data'!G$8)*EXP(F267*('Source Data'!H$7-'Source Data'!G$7))</x:f>
        <x:v>1374.2330627409738</x:v>
      </x:c>
      <x:c r="O267" s="14" t="n">
        <x:f>I267/N267-1</x:f>
        <x:v>0.03184826391218598</x:v>
      </x:c>
      <x:c r="P267" s="2" t="str"/>
    </x:row>
    <x:row r="268">
      <x:c r="A268" s="2" t="str">
        <x:f>'Source Data'!A268</x:f>
        <x:v>332812</x:v>
      </x:c>
      <x:c r="B268" s="2" t="str">
        <x:f>'Source Data'!B268</x:f>
        <x:v>Metal Coating, Engraving (except Jewelry and Silverware), and Allied Services to Manufacturers</x:v>
      </x:c>
      <x:c r="C268" s="13" t="n">
        <x:f>LN('Source Data'!C268/'Source Data'!C$8)</x:f>
        <x:v>-7.908225185575259</x:v>
      </x:c>
      <x:c r="D268" s="13" t="n">
        <x:f>LN('Source Data'!D268/'Source Data'!D$8)</x:f>
        <x:v>-7.893541497227228</x:v>
      </x:c>
      <x:c r="E268" s="13" t="n">
        <x:f>LN('Source Data'!E268/'Source Data'!E$8)</x:f>
        <x:v>-7.883656776610184</x:v>
      </x:c>
      <x:c r="F268" s="13" t="n">
        <x:f>SLOPE(C268:E268,'Source Data'!C$7:E$7)</x:f>
        <x:v>0.012284204482537309</x:v>
      </x:c>
      <x:c r="G268" s="14" t="n">
        <x:f>EXP(F268)-1</x:f>
        <x:v>0.012359965224744363</x:v>
      </x:c>
      <x:c r="H268" s="8" t="n">
        <x:f>'Source Data'!F268</x:f>
        <x:v>5257</x:v>
      </x:c>
      <x:c r="I268" s="8" t="n">
        <x:f>'Source Data'!H268</x:f>
        <x:v>5122</x:v>
      </x:c>
      <x:c r="J268" s="14" t="n">
        <x:f>I268/H268-1</x:f>
        <x:v>-0.02568004565341453</x:v>
      </x:c>
      <x:c r="K268" s="8" t="n">
        <x:f>H268*('Source Data'!H$8/'Source Data'!F$8)*EXP(F268*('Source Data'!H$7-'Source Data'!F$7))</x:f>
        <x:v>5619.73969302852</x:v>
      </x:c>
      <x:c r="L268" s="14" t="n">
        <x:f>I268/K268-1</x:f>
        <x:v>-0.08856988405459132</x:v>
      </x:c>
      <x:c r="M268" s="8" t="n">
        <x:f>'Source Data'!G268</x:f>
        <x:v>5421</x:v>
      </x:c>
      <x:c r="N268" s="8" t="n">
        <x:f>M268*('Source Data'!H$8/'Source Data'!G$8)*EXP(F268*('Source Data'!H$7-'Source Data'!G$7))</x:f>
        <x:v>5712.462869277228</x:v>
      </x:c>
      <x:c r="O268" s="14" t="n">
        <x:f>I268/N268-1</x:f>
        <x:v>-0.10336397501204875</x:v>
      </x:c>
      <x:c r="P268" s="2" t="str"/>
    </x:row>
    <x:row r="269">
      <x:c r="A269" s="2" t="str">
        <x:f>'Source Data'!A269</x:f>
        <x:v>332813</x:v>
      </x:c>
      <x:c r="B269" s="2" t="str">
        <x:f>'Source Data'!B269</x:f>
        <x:v>Electroplating, Plating, Polishing, Anodizing, and Coloring</x:v>
      </x:c>
      <x:c r="C269" s="13" t="n">
        <x:f>LN('Source Data'!C269/'Source Data'!C$8)</x:f>
        <x:v>-7.346789659777379</x:v>
      </x:c>
      <x:c r="D269" s="13" t="n">
        <x:f>LN('Source Data'!D269/'Source Data'!D$8)</x:f>
        <x:v>-7.354483892342495</x:v>
      </x:c>
      <x:c r="E269" s="13" t="n">
        <x:f>LN('Source Data'!E269/'Source Data'!E$8)</x:f>
        <x:v>-7.380097143971431</x:v>
      </x:c>
      <x:c r="F269" s="13" t="n">
        <x:f>SLOPE(C269:E269,'Source Data'!C$7:E$7)</x:f>
        <x:v>-0.016653742097026303</x:v>
      </x:c>
      <x:c r="G269" s="14" t="n">
        <x:f>EXP(F269)-1</x:f>
        <x:v>-0.016515835150946234</x:v>
      </x:c>
      <x:c r="H269" s="8" t="n">
        <x:f>'Source Data'!F269</x:f>
        <x:v>8423</x:v>
      </x:c>
      <x:c r="I269" s="8" t="n">
        <x:f>'Source Data'!H269</x:f>
        <x:v>7985</x:v>
      </x:c>
      <x:c r="J269" s="14" t="n">
        <x:f>I269/H269-1</x:f>
        <x:v>-0.05200047489018167</x:v>
      </x:c>
      <x:c r="K269" s="8" t="n">
        <x:f>H269*('Source Data'!H$8/'Source Data'!F$8)*EXP(F269*('Source Data'!H$7-'Source Data'!F$7))</x:f>
        <x:v>8020.005406810513</x:v>
      </x:c>
      <x:c r="L269" s="14" t="n">
        <x:f>I269/K269-1</x:f>
        <x:v>-0.004364760998887385</x:v>
      </x:c>
      <x:c r="M269" s="8" t="n">
        <x:f>'Source Data'!G269</x:f>
        <x:v>8285</x:v>
      </x:c>
      <x:c r="N269" s="8" t="n">
        <x:f>M269*('Source Data'!H$8/'Source Data'!G$8)*EXP(F269*('Source Data'!H$7-'Source Data'!G$7))</x:f>
        <x:v>8004.491063918183</x:v>
      </x:c>
      <x:c r="O269" s="14" t="n">
        <x:f>I269/N269-1</x:f>
        <x:v>-0.002435016013203173</x:v>
      </x:c>
      <x:c r="P269" s="2" t="str"/>
    </x:row>
    <x:row r="270">
      <x:c r="A270" s="2" t="str">
        <x:f>'Source Data'!A270</x:f>
        <x:v>332911</x:v>
      </x:c>
      <x:c r="B270" s="2" t="str">
        <x:f>'Source Data'!B270</x:f>
        <x:v>Industrial Valve Manufacturing</x:v>
      </x:c>
      <x:c r="C270" s="13" t="n">
        <x:f>LN('Source Data'!C270/'Source Data'!C$8)</x:f>
        <x:v>-9.178069463725892</x:v>
      </x:c>
      <x:c r="D270" s="13" t="n">
        <x:f>LN('Source Data'!D270/'Source Data'!D$8)</x:f>
        <x:v>-9.188617029801637</x:v>
      </x:c>
      <x:c r="E270" s="13" t="n">
        <x:f>LN('Source Data'!E270/'Source Data'!E$8)</x:f>
        <x:v>-9.096225622405917</x:v>
      </x:c>
      <x:c r="F270" s="13" t="n">
        <x:f>SLOPE(C270:E270,'Source Data'!C$7:E$7)</x:f>
        <x:v>0.04092192065998734</x:v>
      </x:c>
      <x:c r="G270" s="14" t="n">
        <x:f>EXP(F270)-1</x:f>
        <x:v>0.041770761596370054</x:v>
      </x:c>
      <x:c r="H270" s="8" t="n">
        <x:f>'Source Data'!F270</x:f>
        <x:v>1487</x:v>
      </x:c>
      <x:c r="I270" s="8" t="n">
        <x:f>'Source Data'!H270</x:f>
        <x:v>1695</x:v>
      </x:c>
      <x:c r="J270" s="14" t="n">
        <x:f>I270/H270-1</x:f>
        <x:v>0.13987895090786817</x:v>
      </x:c>
      <x:c r="K270" s="8" t="n">
        <x:f>H270*('Source Data'!H$8/'Source Data'!F$8)*EXP(F270*('Source Data'!H$7-'Source Data'!F$7))</x:f>
        <x:v>1782.534726843965</x:v>
      </x:c>
      <x:c r="L270" s="14" t="n">
        <x:f>I270/K270-1</x:f>
        <x:v>-0.04910688444143141</x:v>
      </x:c>
      <x:c r="M270" s="8" t="n">
        <x:f>'Source Data'!G270</x:f>
        <x:v>1548</x:v>
      </x:c>
      <x:c r="N270" s="8" t="n">
        <x:f>M270*('Source Data'!H$8/'Source Data'!G$8)*EXP(F270*('Source Data'!H$7-'Source Data'!G$7))</x:f>
        <x:v>1777.5693185509488</x:v>
      </x:c>
      <x:c r="O270" s="14" t="n">
        <x:f>I270/N270-1</x:f>
        <x:v>-0.04645068841436695</x:v>
      </x:c>
      <x:c r="P270" s="2" t="str"/>
    </x:row>
    <x:row r="271">
      <x:c r="A271" s="2" t="str">
        <x:f>'Source Data'!A271</x:f>
        <x:v>332912</x:v>
      </x:c>
      <x:c r="B271" s="2" t="str">
        <x:f>'Source Data'!B271</x:f>
        <x:v>Fluid Power Valve and Hose Fitting Manufacturing</x:v>
      </x:c>
      <x:c r="C271" s="13" t="n">
        <x:f>LN('Source Data'!C271/'Source Data'!C$8)</x:f>
        <x:v>-8.0086291922723</x:v>
      </x:c>
      <x:c r="D271" s="13" t="n">
        <x:f>LN('Source Data'!D271/'Source Data'!D$8)</x:f>
        <x:v>-8.025006151814102</x:v>
      </x:c>
      <x:c r="E271" s="13" t="n">
        <x:f>LN('Source Data'!E271/'Source Data'!E$8)</x:f>
        <x:v>-8.010688044783986</x:v>
      </x:c>
      <x:c r="F271" s="13" t="n">
        <x:f>SLOPE(C271:E271,'Source Data'!C$7:E$7)</x:f>
        <x:v>-0.0010294262558430134</x:v>
      </x:c>
      <x:c r="G271" s="14" t="n">
        <x:f>EXP(F271)-1</x:f>
        <x:v>-0.001028896578405103</x:v>
      </x:c>
      <x:c r="H271" s="8" t="n">
        <x:f>'Source Data'!F271</x:f>
        <x:v>4076</x:v>
      </x:c>
      <x:c r="I271" s="8" t="n">
        <x:f>'Source Data'!H271</x:f>
        <x:v>4565</x:v>
      </x:c>
      <x:c r="J271" s="14" t="n">
        <x:f>I271/H271-1</x:f>
        <x:v>0.11997055937193335</x:v>
      </x:c>
      <x:c r="K271" s="8" t="n">
        <x:f>H271*('Source Data'!H$8/'Source Data'!F$8)*EXP(F271*('Source Data'!H$7-'Source Data'!F$7))</x:f>
        <x:v>4131.276402152141</x:v>
      </x:c>
      <x:c r="L271" s="14" t="n">
        <x:f>I271/K271-1</x:f>
        <x:v>0.10498537392025287</x:v>
      </x:c>
      <x:c r="M271" s="8" t="n">
        <x:f>'Source Data'!G271</x:f>
        <x:v>4255</x:v>
      </x:c>
      <x:c r="N271" s="8" t="n">
        <x:f>M271*('Source Data'!H$8/'Source Data'!G$8)*EXP(F271*('Source Data'!H$7-'Source Data'!G$7))</x:f>
        <x:v>4308.215692007851</x:v>
      </x:c>
      <x:c r="O271" s="14" t="n">
        <x:f>I271/N271-1</x:f>
        <x:v>0.059603401117661825</x:v>
      </x:c>
      <x:c r="P271" s="2" t="str"/>
    </x:row>
    <x:row r="272">
      <x:c r="A272" s="2" t="str">
        <x:f>'Source Data'!A272</x:f>
        <x:v>332913</x:v>
      </x:c>
      <x:c r="B272" s="2" t="str">
        <x:f>'Source Data'!B272</x:f>
        <x:v>Plumbing Fixture Fitting and Trim Manufacturing</x:v>
      </x:c>
      <x:c r="C272" s="13" t="n">
        <x:f>LN('Source Data'!C272/'Source Data'!C$8)</x:f>
        <x:v>-9.221690086201782</x:v>
      </x:c>
      <x:c r="D272" s="13" t="n">
        <x:f>LN('Source Data'!D272/'Source Data'!D$8)</x:f>
        <x:v>-9.218510560079778</x:v>
      </x:c>
      <x:c r="E272" s="13" t="n">
        <x:f>LN('Source Data'!E272/'Source Data'!E$8)</x:f>
        <x:v>-9.273523846067649</x:v>
      </x:c>
      <x:c r="F272" s="13" t="n">
        <x:f>SLOPE(C272:E272,'Source Data'!C$7:E$7)</x:f>
        <x:v>-0.025916879932933234</x:v>
      </x:c>
      <x:c r="G272" s="14" t="n">
        <x:f>EXP(F272)-1</x:f>
        <x:v>-0.025583920227349566</x:v>
      </x:c>
      <x:c r="H272" s="8" t="n">
        <x:f>'Source Data'!F272</x:f>
        <x:v>1541</x:v>
      </x:c>
      <x:c r="I272" s="8" t="n">
        <x:f>'Source Data'!H272</x:f>
        <x:v>1315</x:v>
      </x:c>
      <x:c r="J272" s="14" t="n">
        <x:f>I272/H272-1</x:f>
        <x:v>-0.14665801427644387</x:v>
      </x:c>
      <x:c r="K272" s="8" t="n">
        <x:f>H272*('Source Data'!H$8/'Source Data'!F$8)*EXP(F272*('Source Data'!H$7-'Source Data'!F$7))</x:f>
        <x:v>1413.9002800788594</x:v>
      </x:c>
      <x:c r="L272" s="14" t="n">
        <x:f>I272/K272-1</x:f>
        <x:v>-0.06994855399091038</x:v>
      </x:c>
      <x:c r="M272" s="8" t="n">
        <x:f>'Source Data'!G272</x:f>
        <x:v>1559</x:v>
      </x:c>
      <x:c r="N272" s="8" t="n">
        <x:f>M272*('Source Data'!H$8/'Source Data'!G$8)*EXP(F272*('Source Data'!H$7-'Source Data'!G$7))</x:f>
        <x:v>1464.9356152120147</x:v>
      </x:c>
      <x:c r="O272" s="14" t="n">
        <x:f>I272/N272-1</x:f>
        <x:v>-0.10234962796662916</x:v>
      </x:c>
      <x:c r="P272" s="2" t="str"/>
    </x:row>
    <x:row r="273">
      <x:c r="A273" s="2" t="str">
        <x:f>'Source Data'!A273</x:f>
        <x:v>332919</x:v>
      </x:c>
      <x:c r="B273" s="2" t="str">
        <x:f>'Source Data'!B273</x:f>
        <x:v>Other Metal Valve and Pipe Fitting Manufacturing</x:v>
      </x:c>
      <x:c r="C273" s="13" t="n">
        <x:f>LN('Source Data'!C273/'Source Data'!C$8)</x:f>
        <x:v>-9.909895498850949</x:v>
      </x:c>
      <x:c r="D273" s="13" t="n">
        <x:f>LN('Source Data'!D273/'Source Data'!D$8)</x:f>
        <x:v>-9.88444517711484</x:v>
      </x:c>
      <x:c r="E273" s="13" t="n">
        <x:f>LN('Source Data'!E273/'Source Data'!E$8)</x:f>
        <x:v>-9.870515235818967</x:v>
      </x:c>
      <x:c r="F273" s="13" t="n">
        <x:f>SLOPE(C273:E273,'Source Data'!C$7:E$7)</x:f>
        <x:v>0.01969013151599075</x:v>
      </x:c>
      <x:c r="G273" s="14" t="n">
        <x:f>EXP(F273)-1</x:f>
        <x:v>0.019885260758168544</x:v>
      </x:c>
      <x:c r="H273" s="8" t="n">
        <x:f>'Source Data'!F273</x:f>
        <x:v>770</x:v>
      </x:c>
      <x:c r="I273" s="8" t="n">
        <x:f>'Source Data'!H273</x:f>
        <x:v>706</x:v>
      </x:c>
      <x:c r="J273" s="14" t="n">
        <x:f>I273/H273-1</x:f>
        <x:v>-0.08311688311688314</x:v>
      </x:c>
      <x:c r="K273" s="8" t="n">
        <x:f>H273*('Source Data'!H$8/'Source Data'!F$8)*EXP(F273*('Source Data'!H$7-'Source Data'!F$7))</x:f>
        <x:v>847.8799403653205</x:v>
      </x:c>
      <x:c r="L273" s="14" t="n">
        <x:f>I273/K273-1</x:f>
        <x:v>-0.16733494167132867</x:v>
      </x:c>
      <x:c r="M273" s="8" t="n">
        <x:f>'Source Data'!G273</x:f>
        <x:v>775</x:v>
      </x:c>
      <x:c r="N273" s="8" t="n">
        <x:f>M273*('Source Data'!H$8/'Source Data'!G$8)*EXP(F273*('Source Data'!H$7-'Source Data'!G$7))</x:f>
        <x:v>835.0158999008589</x:v>
      </x:c>
      <x:c r="O273" s="14" t="n">
        <x:f>I273/N273-1</x:f>
        <x:v>-0.15450711766827063</x:v>
      </x:c>
      <x:c r="P273" s="2" t="str"/>
    </x:row>
    <x:row r="274">
      <x:c r="A274" s="2" t="str">
        <x:f>'Source Data'!A274</x:f>
        <x:v>332991</x:v>
      </x:c>
      <x:c r="B274" s="2" t="str">
        <x:f>'Source Data'!B274</x:f>
        <x:v>Ball and Roller Bearing Manufacturing</x:v>
      </x:c>
      <x:c r="C274" s="13" t="n">
        <x:f>LN('Source Data'!C274/'Source Data'!C$8)</x:f>
        <x:v>-9.492297717417369</x:v>
      </x:c>
      <x:c r="D274" s="13" t="n">
        <x:f>LN('Source Data'!D274/'Source Data'!D$8)</x:f>
        <x:v>-9.417802895571809</x:v>
      </x:c>
      <x:c r="E274" s="13" t="n">
        <x:f>LN('Source Data'!E274/'Source Data'!E$8)</x:f>
        <x:v>-9.402464096617523</x:v>
      </x:c>
      <x:c r="F274" s="13" t="n">
        <x:f>SLOPE(C274:E274,'Source Data'!C$7:E$7)</x:f>
        <x:v>0.0449168103999229</x:v>
      </x:c>
      <x:c r="G274" s="14" t="n">
        <x:f>EXP(F274)-1</x:f>
        <x:v>0.04594084488880412</x:v>
      </x:c>
      <x:c r="H274" s="8" t="n">
        <x:f>'Source Data'!F274</x:f>
        <x:v>1180</x:v>
      </x:c>
      <x:c r="I274" s="8" t="n">
        <x:f>'Source Data'!H274</x:f>
        <x:v>1301</x:v>
      </x:c>
      <x:c r="J274" s="14" t="n">
        <x:f>I274/H274-1</x:f>
        <x:v>0.10254237288135593</x:v>
      </x:c>
      <x:c r="K274" s="8" t="n">
        <x:f>H274*('Source Data'!H$8/'Source Data'!F$8)*EXP(F274*('Source Data'!H$7-'Source Data'!F$7))</x:f>
        <x:v>1437.3047885183669</x:v>
      </x:c>
      <x:c r="L274" s="14" t="n">
        <x:f>I274/K274-1</x:f>
        <x:v>-0.09483360078336311</x:v>
      </x:c>
      <x:c r="M274" s="8" t="n">
        <x:f>'Source Data'!G274</x:f>
        <x:v>1224</x:v>
      </x:c>
      <x:c r="N274" s="8" t="n">
        <x:f>M274*('Source Data'!H$8/'Source Data'!G$8)*EXP(F274*('Source Data'!H$7-'Source Data'!G$7))</x:f>
        <x:v>1422.4659611732266</x:v>
      </x:c>
      <x:c r="O274" s="14" t="n">
        <x:f>I274/N274-1</x:f>
        <x:v>-0.0853911197094962</x:v>
      </x:c>
      <x:c r="P274" s="2" t="str"/>
    </x:row>
    <x:row r="275">
      <x:c r="A275" s="2" t="str">
        <x:f>'Source Data'!A275</x:f>
        <x:v>332994</x:v>
      </x:c>
      <x:c r="B275" s="2" t="str">
        <x:f>'Source Data'!B275</x:f>
        <x:v>Small Arms, Ordnance, and Ordnance Accessories Manufacturing</x:v>
      </x:c>
      <x:c r="C275" s="13" t="n">
        <x:f>LN('Source Data'!C275/'Source Data'!C$8)</x:f>
        <x:v>-9.752530674030861</x:v>
      </x:c>
      <x:c r="D275" s="13" t="n">
        <x:f>LN('Source Data'!D275/'Source Data'!D$8)</x:f>
        <x:v>-9.799561341378986</x:v>
      </x:c>
      <x:c r="E275" s="13" t="n">
        <x:f>LN('Source Data'!E275/'Source Data'!E$8)</x:f>
        <x:v>-10.46116685905524</x:v>
      </x:c>
      <x:c r="F275" s="13" t="n">
        <x:f>SLOPE(C275:E275,'Source Data'!C$7:E$7)</x:f>
        <x:v>-0.35431809251218915</x:v>
      </x:c>
      <x:c r="G275" s="14" t="n">
        <x:f>EXP(F275)-1</x:f>
        <x:v>-0.298348258311126</x:v>
      </x:c>
      <x:c r="H275" s="8" t="n">
        <x:f>'Source Data'!F275</x:f>
        <x:v>493</x:v>
      </x:c>
      <x:c r="I275" s="8" t="n">
        <x:f>'Source Data'!H275</x:f>
        <x:v>512</x:v>
      </x:c>
      <x:c r="J275" s="14" t="n">
        <x:f>I275/H275-1</x:f>
        <x:v>0.03853955375253548</x:v>
      </x:c>
      <x:c r="K275" s="8" t="n">
        <x:f>H275*('Source Data'!H$8/'Source Data'!F$8)*EXP(F275*('Source Data'!H$7-'Source Data'!F$7))</x:f>
        <x:v>121.61068175973192</x:v>
      </x:c>
      <x:c r="L275" s="14" t="n">
        <x:f>I275/K275-1</x:f>
        <x:v>3.2101564812502756</x:v>
      </x:c>
      <x:c r="M275" s="8" t="n">
        <x:f>'Source Data'!G275</x:f>
        <x:v>523</x:v>
      </x:c>
      <x:c r="N275" s="8" t="n">
        <x:f>M275*('Source Data'!H$8/'Source Data'!G$8)*EXP(F275*('Source Data'!H$7-'Source Data'!G$7))</x:f>
        <x:v>183.4871300548357</x:v>
      </x:c>
      <x:c r="O275" s="14" t="n">
        <x:f>I275/N275-1</x:f>
        <x:v>1.7903864420735518</x:v>
      </x:c>
      <x:c r="P275" s="2" t="str"/>
    </x:row>
    <x:row r="276">
      <x:c r="A276" s="2" t="str">
        <x:f>'Source Data'!A276</x:f>
        <x:v>332996</x:v>
      </x:c>
      <x:c r="B276" s="2" t="str">
        <x:f>'Source Data'!B276</x:f>
        <x:v>Fabricated Pipe and Pipe Fitting Manufacturing</x:v>
      </x:c>
      <x:c r="C276" s="13" t="n">
        <x:f>LN('Source Data'!C276/'Source Data'!C$8)</x:f>
        <x:v>-9.238821126131967</x:v>
      </x:c>
      <x:c r="D276" s="13" t="n">
        <x:f>LN('Source Data'!D276/'Source Data'!D$8)</x:f>
        <x:v>-9.278187355363663</x:v>
      </x:c>
      <x:c r="E276" s="13" t="n">
        <x:f>LN('Source Data'!E276/'Source Data'!E$8)</x:f>
        <x:v>-9.260014931070945</x:v>
      </x:c>
      <x:c r="F276" s="13" t="n">
        <x:f>SLOPE(C276:E276,'Source Data'!C$7:E$7)</x:f>
        <x:v>-0.010596902469488967</x:v>
      </x:c>
      <x:c r="G276" s="14" t="n">
        <x:f>EXP(F276)-1</x:f>
        <x:v>-0.010540953102907369</x:v>
      </x:c>
      <x:c r="H276" s="8" t="n">
        <x:f>'Source Data'!F276</x:f>
        <x:v>1273</x:v>
      </x:c>
      <x:c r="I276" s="8" t="n">
        <x:f>'Source Data'!H276</x:f>
        <x:v>1296</x:v>
      </x:c>
      <x:c r="J276" s="14" t="n">
        <x:f>I276/H276-1</x:f>
        <x:v>0.01806755695208162</x:v>
      </x:c>
      <x:c r="K276" s="8" t="n">
        <x:f>H276*('Source Data'!H$8/'Source Data'!F$8)*EXP(F276*('Source Data'!H$7-'Source Data'!F$7))</x:f>
        <x:v>1241.8183475413302</x:v>
      </x:c>
      <x:c r="L276" s="14" t="n">
        <x:f>I276/K276-1</x:f>
        <x:v>0.043630900256824034</x:v>
      </x:c>
      <x:c r="M276" s="8" t="n">
        <x:f>'Source Data'!G276</x:f>
        <x:v>1258</x:v>
      </x:c>
      <x:c r="N276" s="8" t="n">
        <x:f>M276*('Source Data'!H$8/'Source Data'!G$8)*EXP(F276*('Source Data'!H$7-'Source Data'!G$7))</x:f>
        <x:v>1237.6937804142333</x:v>
      </x:c>
      <x:c r="O276" s="14" t="n">
        <x:f>I276/N276-1</x:f>
        <x:v>0.04710876026722266</x:v>
      </x:c>
      <x:c r="P276" s="2" t="str"/>
    </x:row>
    <x:row r="277">
      <x:c r="A277" s="2" t="str">
        <x:f>'Source Data'!A277</x:f>
        <x:v>332999</x:v>
      </x:c>
      <x:c r="B277" s="2" t="str">
        <x:f>'Source Data'!B277</x:f>
        <x:v>All Other Miscellaneous Fabricated Metal Product Manufacturing</x:v>
      </x:c>
      <x:c r="C277" s="13" t="n">
        <x:f>LN('Source Data'!C277/'Source Data'!C$8)</x:f>
        <x:v>-7.792113913383426</x:v>
      </x:c>
      <x:c r="D277" s="13" t="n">
        <x:f>LN('Source Data'!D277/'Source Data'!D$8)</x:f>
        <x:v>-7.823974394064785</x:v>
      </x:c>
      <x:c r="E277" s="13" t="n">
        <x:f>LN('Source Data'!E277/'Source Data'!E$8)</x:f>
        <x:v>-7.856219248205198</x:v>
      </x:c>
      <x:c r="F277" s="13" t="n">
        <x:f>SLOPE(C277:E277,'Source Data'!C$7:E$7)</x:f>
        <x:v>-0.03205266741088586</x:v>
      </x:c>
      <x:c r="G277" s="14" t="n">
        <x:f>EXP(F277)-1</x:f>
        <x:v>-0.031544425311681</x:v>
      </x:c>
      <x:c r="H277" s="8" t="n">
        <x:f>'Source Data'!F277</x:f>
        <x:v>5279</x:v>
      </x:c>
      <x:c r="I277" s="8" t="n">
        <x:f>'Source Data'!H277</x:f>
        <x:v>5247</x:v>
      </x:c>
      <x:c r="J277" s="14" t="n">
        <x:f>I277/H277-1</x:f>
        <x:v>-0.0060617541200984615</x:v>
      </x:c>
      <x:c r="K277" s="8" t="n">
        <x:f>H277*('Source Data'!H$8/'Source Data'!F$8)*EXP(F277*('Source Data'!H$7-'Source Data'!F$7))</x:f>
        <x:v>4726.164668675867</x:v>
      </x:c>
      <x:c r="L277" s="14" t="n">
        <x:f>I277/K277-1</x:f>
        <x:v>0.11020253584817552</x:v>
      </x:c>
      <x:c r="M277" s="8" t="n">
        <x:f>'Source Data'!G277</x:f>
        <x:v>5216</x:v>
      </x:c>
      <x:c r="N277" s="8" t="n">
        <x:f>M277*('Source Data'!H$8/'Source Data'!G$8)*EXP(F277*('Source Data'!H$7-'Source Data'!G$7))</x:f>
        <x:v>4811.891090490344</x:v>
      </x:c>
      <x:c r="O277" s="14" t="n">
        <x:f>I277/N277-1</x:f>
        <x:v>0.09042368194275086</x:v>
      </x:c>
      <x:c r="P277" s="2" t="str"/>
    </x:row>
    <x:row r="278">
      <x:c r="A278" s="2" t="str">
        <x:f>'Source Data'!A278</x:f>
        <x:v>333111</x:v>
      </x:c>
      <x:c r="B278" s="2" t="str">
        <x:f>'Source Data'!B278</x:f>
        <x:v>Farm Machinery and Equipment Manufacturing</x:v>
      </x:c>
      <x:c r="C278" s="13" t="n">
        <x:f>LN('Source Data'!C278/'Source Data'!C$8)</x:f>
        <x:v>-8.233457309156492</x:v>
      </x:c>
      <x:c r="D278" s="13" t="n">
        <x:f>LN('Source Data'!D278/'Source Data'!D$8)</x:f>
        <x:v>-8.19506781479035</x:v>
      </x:c>
      <x:c r="E278" s="13" t="n">
        <x:f>LN('Source Data'!E278/'Source Data'!E$8)</x:f>
        <x:v>-8.212596823851111</x:v>
      </x:c>
      <x:c r="F278" s="13" t="n">
        <x:f>SLOPE(C278:E278,'Source Data'!C$7:E$7)</x:f>
        <x:v>0.010430242652690325</x:v>
      </x:c>
      <x:c r="G278" s="14" t="n">
        <x:f>EXP(F278)-1</x:f>
        <x:v>0.010484827245370143</x:v>
      </x:c>
      <x:c r="H278" s="8" t="n">
        <x:f>'Source Data'!F278</x:f>
        <x:v>4585</x:v>
      </x:c>
      <x:c r="I278" s="8" t="n">
        <x:f>'Source Data'!H278</x:f>
        <x:v>3160</x:v>
      </x:c>
      <x:c r="J278" s="14" t="n">
        <x:f>I278/H278-1</x:f>
        <x:v>-0.3107960741548528</x:v>
      </x:c>
      <x:c r="K278" s="8" t="n">
        <x:f>H278*('Source Data'!H$8/'Source Data'!F$8)*EXP(F278*('Source Data'!H$7-'Source Data'!F$7))</x:f>
        <x:v>4865.157462068826</x:v>
      </x:c>
      <x:c r="L278" s="14" t="n">
        <x:f>I278/K278-1</x:f>
        <x:v>-0.35048350960129804</x:v>
      </x:c>
      <x:c r="M278" s="8" t="n">
        <x:f>'Source Data'!G278</x:f>
        <x:v>4670</x:v>
      </x:c>
      <x:c r="N278" s="8" t="n">
        <x:f>M278*('Source Data'!H$8/'Source Data'!G$8)*EXP(F278*('Source Data'!H$7-'Source Data'!G$7))</x:f>
        <x:v>4893.790429626099</x:v>
      </x:c>
      <x:c r="O278" s="14" t="n">
        <x:f>I278/N278-1</x:f>
        <x:v>-0.3542837509203609</x:v>
      </x:c>
      <x:c r="P278" s="2" t="str"/>
    </x:row>
    <x:row r="279">
      <x:c r="A279" s="2" t="str">
        <x:f>'Source Data'!A279</x:f>
        <x:v>333112</x:v>
      </x:c>
      <x:c r="B279" s="2" t="str">
        <x:f>'Source Data'!B279</x:f>
        <x:v>Lawn and Garden Tractor and Home Lawn and Garden Equipment Manufacturing</x:v>
      </x:c>
      <x:c r="C279" s="13" t="n">
        <x:f>LN('Source Data'!C279/'Source Data'!C$8)</x:f>
        <x:v>-11.910812277418474</x:v>
      </x:c>
      <x:c r="D279" s="13" t="n">
        <x:f>LN('Source Data'!D279/'Source Data'!D$8)</x:f>
        <x:v>-11.902709545359809</x:v>
      </x:c>
      <x:c r="E279" s="13" t="n">
        <x:f>LN('Source Data'!E279/'Source Data'!E$8)</x:f>
        <x:v>-11.951258013856775</x:v>
      </x:c>
      <x:c r="F279" s="13" t="n">
        <x:f>SLOPE(C279:E279,'Source Data'!C$7:E$7)</x:f>
        <x:v>-0.020222868219150314</x:v>
      </x:c>
      <x:c r="G279" s="14" t="n">
        <x:f>EXP(F279)-1</x:f>
        <x:v>-0.020019757484433187</x:v>
      </x:c>
      <x:c r="H279" s="8" t="n">
        <x:f>'Source Data'!F279</x:f>
        <x:v>55</x:v>
      </x:c>
      <x:c r="I279" s="8" t="n">
        <x:f>'Source Data'!H279</x:f>
        <x:v>39</x:v>
      </x:c>
      <x:c r="J279" s="14" t="n">
        <x:f>I279/H279-1</x:f>
        <x:v>-0.2909090909090909</x:v>
      </x:c>
      <x:c r="K279" s="8" t="n">
        <x:f>H279*('Source Data'!H$8/'Source Data'!F$8)*EXP(F279*('Source Data'!H$7-'Source Data'!F$7))</x:f>
        <x:v>51.62622178067189</x:v>
      </x:c>
      <x:c r="L279" s="14" t="n">
        <x:f>I279/K279-1</x:f>
        <x:v>-0.24456993646199698</x:v>
      </x:c>
      <x:c r="M279" s="8" t="n">
        <x:f>'Source Data'!G279</x:f>
        <x:v>59</x:v>
      </x:c>
      <x:c r="N279" s="8" t="n">
        <x:f>M279*('Source Data'!H$8/'Source Data'!G$8)*EXP(F279*('Source Data'!H$7-'Source Data'!G$7))</x:f>
        <x:v>56.39532030883564</x:v>
      </x:c>
      <x:c r="O279" s="14" t="n">
        <x:f>I279/N279-1</x:f>
        <x:v>-0.3084532584188596</x:v>
      </x:c>
      <x:c r="P279" s="2" t="str"/>
    </x:row>
    <x:row r="280">
      <x:c r="A280" s="2" t="str">
        <x:f>'Source Data'!A280</x:f>
        <x:v>333120</x:v>
      </x:c>
      <x:c r="B280" s="2" t="str">
        <x:f>'Source Data'!B280</x:f>
        <x:v>Construction Machinery Manufacturing</x:v>
      </x:c>
      <x:c r="C280" s="13" t="n">
        <x:f>LN('Source Data'!C280/'Source Data'!C$8)</x:f>
        <x:v>-9.891751246727546</x:v>
      </x:c>
      <x:c r="D280" s="13" t="n">
        <x:f>LN('Source Data'!D280/'Source Data'!D$8)</x:f>
        <x:v>-9.85143888064667</x:v>
      </x:c>
      <x:c r="E280" s="13" t="n">
        <x:f>LN('Source Data'!E280/'Source Data'!E$8)</x:f>
        <x:v>-9.911662380724138</x:v>
      </x:c>
      <x:c r="F280" s="13" t="n">
        <x:f>SLOPE(C280:E280,'Source Data'!C$7:E$7)</x:f>
        <x:v>-0.009955566998296028</x:v>
      </x:c>
      <x:c r="G280" s="14" t="n">
        <x:f>EXP(F280)-1</x:f>
        <x:v>-0.009906174387543931</x:v>
      </x:c>
      <x:c r="H280" s="8" t="n">
        <x:f>'Source Data'!F280</x:f>
        <x:v>873</x:v>
      </x:c>
      <x:c r="I280" s="8" t="n">
        <x:f>'Source Data'!H280</x:f>
        <x:v>773</x:v>
      </x:c>
      <x:c r="J280" s="14" t="n">
        <x:f>I280/H280-1</x:f>
        <x:v>-0.11454753722794964</x:v>
      </x:c>
      <x:c r="K280" s="8" t="n">
        <x:f>H280*('Source Data'!H$8/'Source Data'!F$8)*EXP(F280*('Source Data'!H$7-'Source Data'!F$7))</x:f>
        <x:v>853.8036872470244</x:v>
      </x:c>
      <x:c r="L280" s="14" t="n">
        <x:f>I280/K280-1</x:f>
        <x:v>-0.09463965599348145</x:v>
      </x:c>
      <x:c r="M280" s="8" t="n">
        <x:f>'Source Data'!G280</x:f>
        <x:v>875</x:v>
      </x:c>
      <x:c r="N280" s="8" t="n">
        <x:f>M280*('Source Data'!H$8/'Source Data'!G$8)*EXP(F280*('Source Data'!H$7-'Source Data'!G$7))</x:f>
        <x:v>862.5339650759947</x:v>
      </x:c>
      <x:c r="O280" s="14" t="n">
        <x:f>I280/N280-1</x:f>
        <x:v>-0.10380340798301924</x:v>
      </x:c>
      <x:c r="P280" s="2" t="str"/>
    </x:row>
    <x:row r="281">
      <x:c r="A281" s="2" t="str">
        <x:f>'Source Data'!A281</x:f>
        <x:v>333131</x:v>
      </x:c>
      <x:c r="B281" s="2" t="str">
        <x:f>'Source Data'!B281</x:f>
        <x:v>Mining Machinery and Equipment Manufacturing</x:v>
      </x:c>
      <x:c r="C281" s="13" t="n">
        <x:f>LN('Source Data'!C281/'Source Data'!C$8)</x:f>
        <x:v>-11.900449490382927</x:v>
      </x:c>
      <x:c r="D281" s="13" t="n">
        <x:f>LN('Source Data'!D281/'Source Data'!D$8)</x:f>
        <x:v>-11.735655460696643</x:v>
      </x:c>
      <x:c r="E281" s="13" t="n">
        <x:f>LN('Source Data'!E281/'Source Data'!E$8)</x:f>
        <x:v>-11.779407756930114</x:v>
      </x:c>
      <x:c r="F281" s="13" t="n">
        <x:f>SLOPE(C281:E281,'Source Data'!C$7:E$7)</x:f>
        <x:v>0.06052086672640655</x:v>
      </x:c>
      <x:c r="G281" s="14" t="n">
        <x:f>EXP(F281)-1</x:f>
        <x:v>0.062389765935616515</x:v>
      </x:c>
      <x:c r="H281" s="8" t="n">
        <x:f>'Source Data'!F281</x:f>
        <x:v>71</x:v>
      </x:c>
      <x:c r="I281" s="8" t="n">
        <x:f>'Source Data'!H281</x:f>
        <x:v>40</x:v>
      </x:c>
      <x:c r="J281" s="14" t="n">
        <x:f>I281/H281-1</x:f>
        <x:v>-0.43661971830985913</x:v>
      </x:c>
      <x:c r="K281" s="8" t="n">
        <x:f>H281*('Source Data'!H$8/'Source Data'!F$8)*EXP(F281*('Source Data'!H$7-'Source Data'!F$7))</x:f>
        <x:v>92.05178959521261</x:v>
      </x:c>
      <x:c r="L281" s="14" t="n">
        <x:f>I281/K281-1</x:f>
        <x:v>-0.5654620059436595</x:v>
      </x:c>
      <x:c r="M281" s="8" t="n">
        <x:f>'Source Data'!G281</x:f>
        <x:v>78</x:v>
      </x:c>
      <x:c r="N281" s="8" t="n">
        <x:f>M281*('Source Data'!H$8/'Source Data'!G$8)*EXP(F281*('Source Data'!H$7-'Source Data'!G$7))</x:f>
        <x:v>94.99162876307643</x:v>
      </x:c>
      <x:c r="O281" s="14" t="n">
        <x:f>I281/N281-1</x:f>
        <x:v>-0.5789102627162432</x:v>
      </x:c>
      <x:c r="P281" s="2" t="str"/>
    </x:row>
    <x:row r="282">
      <x:c r="A282" s="2" t="str">
        <x:f>'Source Data'!A282</x:f>
        <x:v>333132</x:v>
      </x:c>
      <x:c r="B282" s="2" t="str">
        <x:f>'Source Data'!B282</x:f>
        <x:v>Oil and Gas Field Machinery and Equipment Manufacturing</x:v>
      </x:c>
      <x:c r="C282" s="13" t="n">
        <x:f>LN('Source Data'!C282/'Source Data'!C$8)</x:f>
        <x:v>-9.311213784543764</x:v>
      </x:c>
      <x:c r="D282" s="13" t="n">
        <x:f>LN('Source Data'!D282/'Source Data'!D$8)</x:f>
        <x:v>-9.29368010345846</x:v>
      </x:c>
      <x:c r="E282" s="13" t="n">
        <x:f>LN('Source Data'!E282/'Source Data'!E$8)</x:f>
        <x:v>-9.257194054729304</x:v>
      </x:c>
      <x:c r="F282" s="13" t="n">
        <x:f>SLOPE(C282:E282,'Source Data'!C$7:E$7)</x:f>
        <x:v>0.027009864907229897</x:v>
      </x:c>
      <x:c r="G282" s="14" t="n">
        <x:f>EXP(F282)-1</x:f>
        <x:v>0.02737793770154462</x:v>
      </x:c>
      <x:c r="H282" s="8" t="n">
        <x:f>'Source Data'!F282</x:f>
        <x:v>892</x:v>
      </x:c>
      <x:c r="I282" s="8" t="n">
        <x:f>'Source Data'!H282</x:f>
        <x:v>525</x:v>
      </x:c>
      <x:c r="J282" s="14" t="n">
        <x:f>I282/H282-1</x:f>
        <x:v>-0.41143497757847536</x:v>
      </x:c>
      <x:c r="K282" s="8" t="n">
        <x:f>H282*('Source Data'!H$8/'Source Data'!F$8)*EXP(F282*('Source Data'!H$7-'Source Data'!F$7))</x:f>
        <x:v>1011.4028406847565</x:v>
      </x:c>
      <x:c r="L282" s="14" t="n">
        <x:f>I282/K282-1</x:f>
        <x:v>-0.48091899796864723</x:v>
      </x:c>
      <x:c r="M282" s="8" t="n">
        <x:f>'Source Data'!G282</x:f>
        <x:v>835</x:v>
      </x:c>
      <x:c r="N282" s="8" t="n">
        <x:f>M282*('Source Data'!H$8/'Source Data'!G$8)*EXP(F282*('Source Data'!H$7-'Source Data'!G$7))</x:f>
        <x:v>919.6366644924507</x:v>
      </x:c>
      <x:c r="O282" s="14" t="n">
        <x:f>I282/N282-1</x:f>
        <x:v>-0.4291223694416876</x:v>
      </x:c>
      <x:c r="P282" s="2" t="str"/>
    </x:row>
    <x:row r="283">
      <x:c r="A283" s="2" t="str">
        <x:f>'Source Data'!A283</x:f>
        <x:v>333241</x:v>
      </x:c>
      <x:c r="B283" s="2" t="str">
        <x:f>'Source Data'!B283</x:f>
        <x:v>Food Product Machinery Manufacturing</x:v>
      </x:c>
      <x:c r="C283" s="13" t="n">
        <x:f>LN('Source Data'!C283/'Source Data'!C$8)</x:f>
        <x:v>-8.829284643701497</x:v>
      </x:c>
      <x:c r="D283" s="13" t="n">
        <x:f>LN('Source Data'!D283/'Source Data'!D$8)</x:f>
        <x:v>-8.813505327813244</x:v>
      </x:c>
      <x:c r="E283" s="13" t="n">
        <x:f>LN('Source Data'!E283/'Source Data'!E$8)</x:f>
        <x:v>-8.766714868069078</x:v>
      </x:c>
      <x:c r="F283" s="13" t="n">
        <x:f>SLOPE(C283:E283,'Source Data'!C$7:E$7)</x:f>
        <x:v>0.031284887816209306</x:v>
      </x:c>
      <x:c r="G283" s="14" t="n">
        <x:f>EXP(F283)-1</x:f>
        <x:v>0.0317794034013843</x:v>
      </x:c>
      <x:c r="H283" s="8" t="n">
        <x:f>'Source Data'!F283</x:f>
        <x:v>2129</x:v>
      </x:c>
      <x:c r="I283" s="8" t="n">
        <x:f>'Source Data'!H283</x:f>
        <x:v>2040</x:v>
      </x:c>
      <x:c r="J283" s="14" t="n">
        <x:f>I283/H283-1</x:f>
        <x:v>-0.04180366369187416</x:v>
      </x:c>
      <x:c r="K283" s="8" t="n">
        <x:f>H283*('Source Data'!H$8/'Source Data'!F$8)*EXP(F283*('Source Data'!H$7-'Source Data'!F$7))</x:f>
        <x:v>2455.6216381155523</x:v>
      </x:c>
      <x:c r="L283" s="14" t="n">
        <x:f>I283/K283-1</x:f>
        <x:v>-0.169253125833547</x:v>
      </x:c>
      <x:c r="M283" s="8" t="n">
        <x:f>'Source Data'!G283</x:f>
        <x:v>2290</x:v>
      </x:c>
      <x:c r="N283" s="8" t="n">
        <x:f>M283*('Source Data'!H$8/'Source Data'!G$8)*EXP(F283*('Source Data'!H$7-'Source Data'!G$7))</x:f>
        <x:v>2554.6719588685364</x:v>
      </x:c>
      <x:c r="O283" s="14" t="n">
        <x:f>I283/N283-1</x:f>
        <x:v>-0.20146303210549366</x:v>
      </x:c>
      <x:c r="P283" s="2" t="str"/>
    </x:row>
    <x:row r="284">
      <x:c r="A284" s="2" t="str">
        <x:f>'Source Data'!A284</x:f>
        <x:v>333242</x:v>
      </x:c>
      <x:c r="B284" s="2" t="str">
        <x:f>'Source Data'!B284</x:f>
        <x:v>Semiconductor Machinery Manufacturing</x:v>
      </x:c>
      <x:c r="C284" s="13" t="n">
        <x:f>LN('Source Data'!C284/'Source Data'!C$8)</x:f>
        <x:v>-7.29424890760094</x:v>
      </x:c>
      <x:c r="D284" s="13" t="n">
        <x:f>LN('Source Data'!D284/'Source Data'!D$8)</x:f>
        <x:v>-7.133138363688292</x:v>
      </x:c>
      <x:c r="E284" s="13" t="n">
        <x:f>LN('Source Data'!E284/'Source Data'!E$8)</x:f>
        <x:v>-7.099227749937157</x:v>
      </x:c>
      <x:c r="F284" s="13" t="n">
        <x:f>SLOPE(C284:E284,'Source Data'!C$7:E$7)</x:f>
        <x:v>0.09751057883189151</x:v>
      </x:c>
      <x:c r="G284" s="14" t="n">
        <x:f>EXP(F284)-1</x:f>
        <x:v>0.10242310385032827</x:v>
      </x:c>
      <x:c r="H284" s="8" t="n">
        <x:f>'Source Data'!F284</x:f>
        <x:v>13974</x:v>
      </x:c>
      <x:c r="I284" s="8" t="n">
        <x:f>'Source Data'!H284</x:f>
        <x:v>13618</x:v>
      </x:c>
      <x:c r="J284" s="14" t="n">
        <x:f>I284/H284-1</x:f>
        <x:v>-0.02547588378417065</x:v>
      </x:c>
      <x:c r="K284" s="8" t="n">
        <x:f>H284*('Source Data'!H$8/'Source Data'!F$8)*EXP(F284*('Source Data'!H$7-'Source Data'!F$7))</x:f>
        <x:v>21006.434184983802</x:v>
      </x:c>
      <x:c r="L284" s="14" t="n">
        <x:f>I284/K284-1</x:f>
        <x:v>-0.3517224351320576</x:v>
      </x:c>
      <x:c r="M284" s="8" t="n">
        <x:f>'Source Data'!G284</x:f>
        <x:v>14580</x:v>
      </x:c>
      <x:c r="N284" s="8" t="n">
        <x:f>M284*('Source Data'!H$8/'Source Data'!G$8)*EXP(F284*('Source Data'!H$7-'Source Data'!G$7))</x:f>
        <x:v>19839.994123098033</x:v>
      </x:c>
      <x:c r="O284" s="14" t="n">
        <x:f>I284/N284-1</x:f>
        <x:v>-0.31360866764845907</x:v>
      </x:c>
      <x:c r="P284" s="2" t="str"/>
    </x:row>
    <x:row r="285">
      <x:c r="A285" s="2" t="str">
        <x:f>'Source Data'!A285</x:f>
        <x:v>333243</x:v>
      </x:c>
      <x:c r="B285" s="2" t="str">
        <x:f>'Source Data'!B285</x:f>
        <x:v>Sawmill, Woodworking, and Paper Machinery Manufacturing</x:v>
      </x:c>
      <x:c r="C285" s="13" t="n">
        <x:f>LN('Source Data'!C285/'Source Data'!C$8)</x:f>
        <x:v>-10.603042679410894</x:v>
      </x:c>
      <x:c r="D285" s="13" t="n">
        <x:f>LN('Source Data'!D285/'Source Data'!D$8)</x:f>
        <x:v>-10.443390049225028</x:v>
      </x:c>
      <x:c r="E285" s="13" t="n">
        <x:f>LN('Source Data'!E285/'Source Data'!E$8)</x:f>
        <x:v>-10.499449045626257</x:v>
      </x:c>
      <x:c r="F285" s="13" t="n">
        <x:f>SLOPE(C285:E285,'Source Data'!C$7:E$7)</x:f>
        <x:v>0.05179681689231863</x:v>
      </x:c>
      <x:c r="G285" s="14" t="n">
        <x:f>EXP(F285)-1</x:f>
        <x:v>0.053161736098425116</x:v>
      </x:c>
      <x:c r="H285" s="8" t="n">
        <x:f>'Source Data'!F285</x:f>
        <x:v>402</x:v>
      </x:c>
      <x:c r="I285" s="8" t="n">
        <x:f>'Source Data'!H285</x:f>
        <x:v>284</x:v>
      </x:c>
      <x:c r="J285" s="14" t="n">
        <x:f>I285/H285-1</x:f>
        <x:v>-0.2935323383084577</x:v>
      </x:c>
      <x:c r="K285" s="8" t="n">
        <x:f>H285*('Source Data'!H$8/'Source Data'!F$8)*EXP(F285*('Source Data'!H$7-'Source Data'!F$7))</x:f>
        <x:v>503.32060930119076</x:v>
      </x:c>
      <x:c r="L285" s="14" t="n">
        <x:f>I285/K285-1</x:f>
        <x:v>-0.4357473253592675</x:v>
      </x:c>
      <x:c r="M285" s="8" t="n">
        <x:f>'Source Data'!G285</x:f>
        <x:v>395</x:v>
      </x:c>
      <x:c r="N285" s="8" t="n">
        <x:f>M285*('Source Data'!H$8/'Source Data'!G$8)*EXP(F285*('Source Data'!H$7-'Source Data'!G$7))</x:f>
        <x:v>468.62063388230393</x:v>
      </x:c>
      <x:c r="O285" s="14" t="n">
        <x:f>I285/N285-1</x:f>
        <x:v>-0.3939660794549482</x:v>
      </x:c>
      <x:c r="P285" s="2" t="str"/>
    </x:row>
    <x:row r="286">
      <x:c r="A286" s="2" t="str">
        <x:f>'Source Data'!A286</x:f>
        <x:v>333248</x:v>
      </x:c>
      <x:c r="B286" s="2" t="str">
        <x:f>'Source Data'!B286</x:f>
        <x:v>All Other Industrial Machinery Manufacturing</x:v>
      </x:c>
      <x:c r="C286" s="13" t="n">
        <x:f>LN('Source Data'!C286/'Source Data'!C$8)</x:f>
        <x:v>-7.908605847932349</x:v>
      </x:c>
      <x:c r="D286" s="13" t="n">
        <x:f>LN('Source Data'!D286/'Source Data'!D$8)</x:f>
        <x:v>-7.834805755866622</x:v>
      </x:c>
      <x:c r="E286" s="13" t="n">
        <x:f>LN('Source Data'!E286/'Source Data'!E$8)</x:f>
        <x:v>-7.801202844620668</x:v>
      </x:c>
      <x:c r="F286" s="13" t="n">
        <x:f>SLOPE(C286:E286,'Source Data'!C$7:E$7)</x:f>
        <x:v>0.053701501655840644</x:v>
      </x:c>
      <x:c r="G286" s="14" t="n">
        <x:f>EXP(F286)-1</x:f>
        <x:v>0.0551695887668775</x:v>
      </x:c>
      <x:c r="H286" s="8" t="n">
        <x:f>'Source Data'!F286</x:f>
        <x:v>5909</x:v>
      </x:c>
      <x:c r="I286" s="8" t="n">
        <x:f>'Source Data'!H286</x:f>
        <x:v>4983</x:v>
      </x:c>
      <x:c r="J286" s="14" t="n">
        <x:f>I286/H286-1</x:f>
        <x:v>-0.15671010323235746</x:v>
      </x:c>
      <x:c r="K286" s="8" t="n">
        <x:f>H286*('Source Data'!H$8/'Source Data'!F$8)*EXP(F286*('Source Data'!H$7-'Source Data'!F$7))</x:f>
        <x:v>7454.8932143694865</x:v>
      </x:c>
      <x:c r="L286" s="14" t="n">
        <x:f>I286/K286-1</x:f>
        <x:v>-0.3315799627558518</x:v>
      </x:c>
      <x:c r="M286" s="8" t="n">
        <x:f>'Source Data'!G286</x:f>
        <x:v>6236</x:v>
      </x:c>
      <x:c r="N286" s="8" t="n">
        <x:f>M286*('Source Data'!H$8/'Source Data'!G$8)*EXP(F286*('Source Data'!H$7-'Source Data'!G$7))</x:f>
        <x:v>7440.669257234311</x:v>
      </x:c>
      <x:c r="O286" s="14" t="n">
        <x:f>I286/N286-1</x:f>
        <x:v>-0.3303021774344831</x:v>
      </x:c>
      <x:c r="P286" s="2" t="str"/>
    </x:row>
    <x:row r="287">
      <x:c r="A287" s="2" t="str">
        <x:f>'Source Data'!A287</x:f>
        <x:v>333310</x:v>
      </x:c>
      <x:c r="B287" s="2" t="str">
        <x:f>'Source Data'!B287</x:f>
        <x:v>Commercial and Service Industry Machinery Manufacturing</x:v>
      </x:c>
      <x:c r="C287" s="13" t="n">
        <x:f>LN('Source Data'!C287/'Source Data'!C$8)</x:f>
        <x:v>-7.062859324863824</x:v>
      </x:c>
      <x:c r="D287" s="13" t="n">
        <x:f>LN('Source Data'!D287/'Source Data'!D$8)</x:f>
        <x:v>-7.116565511676631</x:v>
      </x:c>
      <x:c r="E287" s="13" t="n">
        <x:f>LN('Source Data'!E287/'Source Data'!E$8)</x:f>
        <x:v>-7.143402118456869</x:v>
      </x:c>
      <x:c r="F287" s="13" t="n">
        <x:f>SLOPE(C287:E287,'Source Data'!C$7:E$7)</x:f>
        <x:v>-0.040271396796522474</x:v>
      </x:c>
      <x:c r="G287" s="14" t="n">
        <x:f>EXP(F287)-1</x:f>
        <x:v>-0.03947128064273642</x:v>
      </x:c>
      <x:c r="H287" s="8" t="n">
        <x:f>'Source Data'!F287</x:f>
        <x:v>10378</x:v>
      </x:c>
      <x:c r="I287" s="8" t="n">
        <x:f>'Source Data'!H287</x:f>
        <x:v>9313</x:v>
      </x:c>
      <x:c r="J287" s="14" t="n">
        <x:f>I287/H287-1</x:f>
        <x:v>-0.10262092888803243</x:v>
      </x:c>
      <x:c r="K287" s="8" t="n">
        <x:f>H287*('Source Data'!H$8/'Source Data'!F$8)*EXP(F287*('Source Data'!H$7-'Source Data'!F$7))</x:f>
        <x:v>8990.699003043901</x:v>
      </x:c>
      <x:c r="L287" s="14" t="n">
        <x:f>I287/K287-1</x:f>
        <x:v>0.03584826906639638</x:v>
      </x:c>
      <x:c r="M287" s="8" t="n">
        <x:f>'Source Data'!G287</x:f>
        <x:v>10645</x:v>
      </x:c>
      <x:c r="N287" s="8" t="n">
        <x:f>M287*('Source Data'!H$8/'Source Data'!G$8)*EXP(F287*('Source Data'!H$7-'Source Data'!G$7))</x:f>
        <x:v>9581.109989101182</x:v>
      </x:c>
      <x:c r="O287" s="14" t="n">
        <x:f>I287/N287-1</x:f>
        <x:v>-0.027983186646032165</x:v>
      </x:c>
      <x:c r="P287" s="2" t="str"/>
    </x:row>
    <x:row r="288">
      <x:c r="A288" s="2" t="str">
        <x:f>'Source Data'!A288</x:f>
        <x:v>333413</x:v>
      </x:c>
      <x:c r="B288" s="2" t="str">
        <x:f>'Source Data'!B288</x:f>
        <x:v>Industrial and Commercial Fan and Blower and Air Purification Equipment Manufacturing</x:v>
      </x:c>
      <x:c r="C288" s="13" t="n">
        <x:f>LN('Source Data'!C288/'Source Data'!C$8)</x:f>
        <x:v>-9.46214467924668</x:v>
      </x:c>
      <x:c r="D288" s="13" t="n">
        <x:f>LN('Source Data'!D288/'Source Data'!D$8)</x:f>
        <x:v>-9.433070367702598</x:v>
      </x:c>
      <x:c r="E288" s="13" t="n">
        <x:f>LN('Source Data'!E288/'Source Data'!E$8)</x:f>
        <x:v>-9.375153162223452</x:v>
      </x:c>
      <x:c r="F288" s="13" t="n">
        <x:f>SLOPE(C288:E288,'Source Data'!C$7:E$7)</x:f>
        <x:v>0.04349575851161447</x:v>
      </x:c>
      <x:c r="G288" s="14" t="n">
        <x:f>EXP(F288)-1</x:f>
        <x:v>0.04445556425648611</x:v>
      </x:c>
      <x:c r="H288" s="8" t="n">
        <x:f>'Source Data'!F288</x:f>
        <x:v>1347</x:v>
      </x:c>
      <x:c r="I288" s="8" t="n">
        <x:f>'Source Data'!H288</x:f>
        <x:v>1181</x:v>
      </x:c>
      <x:c r="J288" s="14" t="n">
        <x:f>I288/H288-1</x:f>
        <x:v>-0.12323682256867108</x:v>
      </x:c>
      <x:c r="K288" s="8" t="n">
        <x:f>H288*('Source Data'!H$8/'Source Data'!F$8)*EXP(F288*('Source Data'!H$7-'Source Data'!F$7))</x:f>
        <x:v>1631.420220821465</x:v>
      </x:c>
      <x:c r="L288" s="14" t="n">
        <x:f>I288/K288-1</x:f>
        <x:v>-0.27609086553718576</x:v>
      </x:c>
      <x:c r="M288" s="8" t="n">
        <x:f>'Source Data'!G288</x:f>
        <x:v>1270</x:v>
      </x:c>
      <x:c r="N288" s="8" t="n">
        <x:f>M288*('Source Data'!H$8/'Source Data'!G$8)*EXP(F288*('Source Data'!H$7-'Source Data'!G$7))</x:f>
        <x:v>1469.6459457815504</x:v>
      </x:c>
      <x:c r="O288" s="14" t="n">
        <x:f>I288/N288-1</x:f>
        <x:v>-0.1964050910425571</x:v>
      </x:c>
      <x:c r="P288" s="2" t="str"/>
    </x:row>
    <x:row r="289">
      <x:c r="A289" s="2" t="str">
        <x:f>'Source Data'!A289</x:f>
        <x:v>333414</x:v>
      </x:c>
      <x:c r="B289" s="2" t="str">
        <x:f>'Source Data'!B289</x:f>
        <x:v>Heating Equipment (except Warm Air Furnaces) Manufacturing</x:v>
      </x:c>
      <x:c r="C289" s="13" t="n">
        <x:f>LN('Source Data'!C289/'Source Data'!C$8)</x:f>
        <x:v>-9.44962215424779</x:v>
      </x:c>
      <x:c r="D289" s="13" t="n">
        <x:f>LN('Source Data'!D289/'Source Data'!D$8)</x:f>
        <x:v>-9.471402586794763</x:v>
      </x:c>
      <x:c r="E289" s="13" t="n">
        <x:f>LN('Source Data'!E289/'Source Data'!E$8)</x:f>
        <x:v>-9.49006789068609</x:v>
      </x:c>
      <x:c r="F289" s="13" t="n">
        <x:f>SLOPE(C289:E289,'Source Data'!C$7:E$7)</x:f>
        <x:v>-0.020222868219150314</x:v>
      </x:c>
      <x:c r="G289" s="14" t="n">
        <x:f>EXP(F289)-1</x:f>
        <x:v>-0.020019757484433187</x:v>
      </x:c>
      <x:c r="H289" s="8" t="n">
        <x:f>'Source Data'!F289</x:f>
        <x:v>1140</x:v>
      </x:c>
      <x:c r="I289" s="8" t="n">
        <x:f>'Source Data'!H289</x:f>
        <x:v>761</x:v>
      </x:c>
      <x:c r="J289" s="14" t="n">
        <x:f>I289/H289-1</x:f>
        <x:v>-0.3324561403508772</x:v>
      </x:c>
      <x:c r="K289" s="8" t="n">
        <x:f>H289*('Source Data'!H$8/'Source Data'!F$8)*EXP(F289*('Source Data'!H$7-'Source Data'!F$7))</x:f>
        <x:v>1070.070778726654</x:v>
      </x:c>
      <x:c r="L289" s="14" t="n">
        <x:f>I289/K289-1</x:f>
        <x:v>-0.2888320893076224</x:v>
      </x:c>
      <x:c r="M289" s="8" t="n">
        <x:f>'Source Data'!G289</x:f>
        <x:v>1068</x:v>
      </x:c>
      <x:c r="N289" s="8" t="n">
        <x:f>M289*('Source Data'!H$8/'Source Data'!G$8)*EXP(F289*('Source Data'!H$7-'Source Data'!G$7))</x:f>
        <x:v>1020.8508828785841</x:v>
      </x:c>
      <x:c r="O289" s="14" t="n">
        <x:f>I289/N289-1</x:f>
        <x:v>-0.25454342768050453</x:v>
      </x:c>
      <x:c r="P289" s="2" t="str"/>
    </x:row>
    <x:row r="290">
      <x:c r="A290" s="2" t="str">
        <x:f>'Source Data'!A290</x:f>
        <x:v>333415</x:v>
      </x:c>
      <x:c r="B290" s="2" t="str">
        <x:f>'Source Data'!B290</x:f>
        <x:v>Air-Conditioning and Warm Air Heating Equipment and Commercial and Industrial Refrigeration Equipment Manufacturing</x:v>
      </x:c>
      <x:c r="C290" s="13" t="n">
        <x:f>LN('Source Data'!C290/'Source Data'!C$8)</x:f>
        <x:v>-8.47749734186621</x:v>
      </x:c>
      <x:c r="D290" s="13" t="n">
        <x:f>LN('Source Data'!D290/'Source Data'!D$8)</x:f>
        <x:v>-8.55227396724091</x:v>
      </x:c>
      <x:c r="E290" s="13" t="n">
        <x:f>LN('Source Data'!E290/'Source Data'!E$8)</x:f>
        <x:v>-8.557379013002299</x:v>
      </x:c>
      <x:c r="F290" s="13" t="n">
        <x:f>SLOPE(C290:E290,'Source Data'!C$7:E$7)</x:f>
        <x:v>-0.03994083556804462</x:v>
      </x:c>
      <x:c r="G290" s="14" t="n">
        <x:f>EXP(F290)-1</x:f>
        <x:v>-0.03915371460465933</x:v>
      </x:c>
      <x:c r="H290" s="8" t="n">
        <x:f>'Source Data'!F290</x:f>
        <x:v>2596</x:v>
      </x:c>
      <x:c r="I290" s="8" t="n">
        <x:f>'Source Data'!H290</x:f>
        <x:v>2424</x:v>
      </x:c>
      <x:c r="J290" s="14" t="n">
        <x:f>I290/H290-1</x:f>
        <x:v>-0.0662557781201849</x:v>
      </x:c>
      <x:c r="K290" s="8" t="n">
        <x:f>H290*('Source Data'!H$8/'Source Data'!F$8)*EXP(F290*('Source Data'!H$7-'Source Data'!F$7))</x:f>
        <x:v>2251.9498966903375</x:v>
      </x:c>
      <x:c r="L290" s="14" t="n">
        <x:f>I290/K290-1</x:f>
        <x:v>0.07640050232135387</x:v>
      </x:c>
      <x:c r="M290" s="8" t="n">
        <x:f>'Source Data'!G290</x:f>
        <x:v>2627</x:v>
      </x:c>
      <x:c r="N290" s="8" t="n">
        <x:f>M290*('Source Data'!H$8/'Source Data'!G$8)*EXP(F290*('Source Data'!H$7-'Source Data'!G$7))</x:f>
        <x:v>2366.796484700003</x:v>
      </x:c>
      <x:c r="O290" s="14" t="n">
        <x:f>I290/N290-1</x:f>
        <x:v>0.02416917367833915</x:v>
      </x:c>
      <x:c r="P290" s="2" t="str"/>
    </x:row>
    <x:row r="291">
      <x:c r="A291" s="2" t="str">
        <x:f>'Source Data'!A291</x:f>
        <x:v>333511</x:v>
      </x:c>
      <x:c r="B291" s="2" t="str">
        <x:f>'Source Data'!B291</x:f>
        <x:v>Industrial Mold Manufacturing</x:v>
      </x:c>
      <x:c r="C291" s="13" t="n">
        <x:f>LN('Source Data'!C291/'Source Data'!C$8)</x:f>
        <x:v>-8.906781201049789</x:v>
      </x:c>
      <x:c r="D291" s="13" t="n">
        <x:f>LN('Source Data'!D291/'Source Data'!D$8)</x:f>
        <x:v>-8.945592107933598</x:v>
      </x:c>
      <x:c r="E291" s="13" t="n">
        <x:f>LN('Source Data'!E291/'Source Data'!E$8)</x:f>
        <x:v>-8.88903599903395</x:v>
      </x:c>
      <x:c r="F291" s="13" t="n">
        <x:f>SLOPE(C291:E291,'Source Data'!C$7:E$7)</x:f>
        <x:v>0.0088726010079192</x:v>
      </x:c>
      <x:c r="G291" s="14" t="n">
        <x:f>EXP(F291)-1</x:f>
        <x:v>0.008912079203956091</x:v>
      </x:c>
      <x:c r="H291" s="8" t="n">
        <x:f>'Source Data'!F291</x:f>
        <x:v>1828</x:v>
      </x:c>
      <x:c r="I291" s="8" t="n">
        <x:f>'Source Data'!H291</x:f>
        <x:v>1355</x:v>
      </x:c>
      <x:c r="J291" s="14" t="n">
        <x:f>I291/H291-1</x:f>
        <x:v>-0.2587527352297593</x:v>
      </x:c>
      <x:c r="K291" s="8" t="n">
        <x:f>H291*('Source Data'!H$8/'Source Data'!F$8)*EXP(F291*('Source Data'!H$7-'Source Data'!F$7))</x:f>
        <x:v>1927.6485305982383</x:v>
      </x:c>
      <x:c r="L291" s="14" t="n">
        <x:f>I291/K291-1</x:f>
        <x:v>-0.29707102799519114</x:v>
      </x:c>
      <x:c r="M291" s="8" t="n">
        <x:f>'Source Data'!G291</x:f>
        <x:v>1744</x:v>
      </x:c>
      <x:c r="N291" s="8" t="n">
        <x:f>M291*('Source Data'!H$8/'Source Data'!G$8)*EXP(F291*('Source Data'!H$7-'Source Data'!G$7))</x:f>
        <x:v>1819.0537914270394</x:v>
      </x:c>
      <x:c r="O291" s="14" t="n">
        <x:f>I291/N291-1</x:f>
        <x:v>-0.2551072396066921</x:v>
      </x:c>
      <x:c r="P291" s="2" t="str"/>
    </x:row>
    <x:row r="292">
      <x:c r="A292" s="2" t="str">
        <x:f>'Source Data'!A292</x:f>
        <x:v>333514</x:v>
      </x:c>
      <x:c r="B292" s="2" t="str">
        <x:f>'Source Data'!B292</x:f>
        <x:v>Special Die and Tool, Die Set, Jig, and Fixture Manufacturing</x:v>
      </x:c>
      <x:c r="C292" s="13" t="n">
        <x:f>LN('Source Data'!C292/'Source Data'!C$8)</x:f>
        <x:v>-8.60920505495281</x:v>
      </x:c>
      <x:c r="D292" s="13" t="n">
        <x:f>LN('Source Data'!D292/'Source Data'!D$8)</x:f>
        <x:v>-8.615137189205374</x:v>
      </x:c>
      <x:c r="E292" s="13" t="n">
        <x:f>LN('Source Data'!E292/'Source Data'!E$8)</x:f>
        <x:v>-8.680026958654645</x:v>
      </x:c>
      <x:c r="F292" s="13" t="n">
        <x:f>SLOPE(C292:E292,'Source Data'!C$7:E$7)</x:f>
        <x:v>-0.035410951850917805</x:v>
      </x:c>
      <x:c r="G292" s="14" t="n">
        <x:f>EXP(F292)-1</x:f>
        <x:v>-0.03479131955026016</x:v>
      </x:c>
      <x:c r="H292" s="8" t="n">
        <x:f>'Source Data'!F292</x:f>
        <x:v>2303</x:v>
      </x:c>
      <x:c r="I292" s="8" t="n">
        <x:f>'Source Data'!H292</x:f>
        <x:v>1738</x:v>
      </x:c>
      <x:c r="J292" s="14" t="n">
        <x:f>I292/H292-1</x:f>
        <x:v>-0.24533217542336083</x:v>
      </x:c>
      <x:c r="K292" s="8" t="n">
        <x:f>H292*('Source Data'!H$8/'Source Data'!F$8)*EXP(F292*('Source Data'!H$7-'Source Data'!F$7))</x:f>
        <x:v>2034.310251185114</x:v>
      </x:c>
      <x:c r="L292" s="14" t="n">
        <x:f>I292/K292-1</x:f>
        <x:v>-0.14565637223353456</x:v>
      </x:c>
      <x:c r="M292" s="8" t="n">
        <x:f>'Source Data'!G292</x:f>
        <x:v>2034</x:v>
      </x:c>
      <x:c r="N292" s="8" t="n">
        <x:f>M292*('Source Data'!H$8/'Source Data'!G$8)*EXP(F292*('Source Data'!H$7-'Source Data'!G$7))</x:f>
        <x:v>1857.6064137053613</x:v>
      </x:c>
      <x:c r="O292" s="14" t="n">
        <x:f>I292/N292-1</x:f>
        <x:v>-0.06438738196795024</x:v>
      </x:c>
      <x:c r="P292" s="2" t="str"/>
    </x:row>
    <x:row r="293">
      <x:c r="A293" s="2" t="str">
        <x:f>'Source Data'!A293</x:f>
        <x:v>333515</x:v>
      </x:c>
      <x:c r="B293" s="2" t="str">
        <x:f>'Source Data'!B293</x:f>
        <x:v>Cutting Tool and Machine Tool Accessory Manufacturing</x:v>
      </x:c>
      <x:c r="C293" s="13" t="n">
        <x:f>LN('Source Data'!C293/'Source Data'!C$8)</x:f>
        <x:v>-9.091792321893926</x:v>
      </x:c>
      <x:c r="D293" s="13" t="n">
        <x:f>LN('Source Data'!D293/'Source Data'!D$8)</x:f>
        <x:v>-9.212322846971613</x:v>
      </x:c>
      <x:c r="E293" s="13" t="n">
        <x:f>LN('Source Data'!E293/'Source Data'!E$8)</x:f>
        <x:v>-9.101033323974022</x:v>
      </x:c>
      <x:c r="F293" s="13" t="n">
        <x:f>SLOPE(C293:E293,'Source Data'!C$7:E$7)</x:f>
        <x:v>-0.004620501040047742</x:v>
      </x:c>
      <x:c r="G293" s="14" t="n">
        <x:f>EXP(F293)-1</x:f>
        <x:v>-0.004609842946679654</x:v>
      </x:c>
      <x:c r="H293" s="8" t="n">
        <x:f>'Source Data'!F293</x:f>
        <x:v>1311</x:v>
      </x:c>
      <x:c r="I293" s="8" t="n">
        <x:f>'Source Data'!H293</x:f>
        <x:v>1074</x:v>
      </x:c>
      <x:c r="J293" s="14" t="n">
        <x:f>I293/H293-1</x:f>
        <x:v>-0.18077803203661325</x:v>
      </x:c>
      <x:c r="K293" s="8" t="n">
        <x:f>H293*('Source Data'!H$8/'Source Data'!F$8)*EXP(F293*('Source Data'!H$7-'Source Data'!F$7))</x:f>
        <x:v>1309.8284909727554</x:v>
      </x:c>
      <x:c r="L293" s="14" t="n">
        <x:f>I293/K293-1</x:f>
        <x:v>-0.18004532089358916</x:v>
      </x:c>
      <x:c r="M293" s="8" t="n">
        <x:f>'Source Data'!G293</x:f>
        <x:v>1245</x:v>
      </x:c>
      <x:c r="N293" s="8" t="n">
        <x:f>M293*('Source Data'!H$8/'Source Data'!G$8)*EXP(F293*('Source Data'!H$7-'Source Data'!G$7))</x:f>
        <x:v>1247.0632278252876</x:v>
      </x:c>
      <x:c r="O293" s="14" t="n">
        <x:f>I293/N293-1</x:f>
        <x:v>-0.13877662652846146</x:v>
      </x:c>
      <x:c r="P293" s="2" t="str"/>
    </x:row>
    <x:row r="294">
      <x:c r="A294" s="2" t="str">
        <x:f>'Source Data'!A294</x:f>
        <x:v>333517</x:v>
      </x:c>
      <x:c r="B294" s="2" t="str">
        <x:f>'Source Data'!B294</x:f>
        <x:v>Machine Tool Manufacturing</x:v>
      </x:c>
      <x:c r="C294" s="13" t="n">
        <x:f>LN('Source Data'!C294/'Source Data'!C$8)</x:f>
        <x:v>-7.9224071020715225</x:v>
      </x:c>
      <x:c r="D294" s="13" t="n">
        <x:f>LN('Source Data'!D294/'Source Data'!D$8)</x:f>
        <x:v>-7.9172858885774</x:v>
      </x:c>
      <x:c r="E294" s="13" t="n">
        <x:f>LN('Source Data'!E294/'Source Data'!E$8)</x:f>
        <x:v>-7.891174263238774</x:v>
      </x:c>
      <x:c r="F294" s="13" t="n">
        <x:f>SLOPE(C294:E294,'Source Data'!C$7:E$7)</x:f>
        <x:v>0.01561641941637415</x:v>
      </x:c>
      <x:c r="G294" s="14" t="n">
        <x:f>EXP(F294)-1</x:f>
        <x:v>0.01573899291592218</x:v>
      </x:c>
      <x:c r="H294" s="8" t="n">
        <x:f>'Source Data'!F294</x:f>
        <x:v>4990</x:v>
      </x:c>
      <x:c r="I294" s="8" t="n">
        <x:f>'Source Data'!H294</x:f>
        <x:v>4270</x:v>
      </x:c>
      <x:c r="J294" s="14" t="n">
        <x:f>I294/H294-1</x:f>
        <x:v>-0.14428857715430865</x:v>
      </x:c>
      <x:c r="K294" s="8" t="n">
        <x:f>H294*('Source Data'!H$8/'Source Data'!F$8)*EXP(F294*('Source Data'!H$7-'Source Data'!F$7))</x:f>
        <x:v>5405.892663171316</x:v>
      </x:c>
      <x:c r="L294" s="14" t="n">
        <x:f>I294/K294-1</x:f>
        <x:v>-0.2101212017970322</x:v>
      </x:c>
      <x:c r="M294" s="8" t="n">
        <x:f>'Source Data'!G294</x:f>
        <x:v>4635</x:v>
      </x:c>
      <x:c r="N294" s="8" t="n">
        <x:f>M294*('Source Data'!H$8/'Source Data'!G$8)*EXP(F294*('Source Data'!H$7-'Source Data'!G$7))</x:f>
        <x:v>4933.273678498608</x:v>
      </x:c>
      <x:c r="O294" s="14" t="n">
        <x:f>I294/N294-1</x:f>
        <x:v>-0.134448993046838</x:v>
      </x:c>
      <x:c r="P294" s="2" t="str"/>
    </x:row>
    <x:row r="295">
      <x:c r="A295" s="2" t="str">
        <x:f>'Source Data'!A295</x:f>
        <x:v>333519</x:v>
      </x:c>
      <x:c r="B295" s="2" t="str">
        <x:f>'Source Data'!B295</x:f>
        <x:v>Rolling Mill and Other Metalworking Machinery Manufacturing</x:v>
      </x:c>
      <x:c r="C295" s="13" t="n">
        <x:f>LN('Source Data'!C295/'Source Data'!C$8)</x:f>
        <x:v>-10.010572165196349</x:v>
      </x:c>
      <x:c r="D295" s="13" t="n">
        <x:f>LN('Source Data'!D295/'Source Data'!D$8)</x:f>
        <x:v>-10.133078638642488</x:v>
      </x:c>
      <x:c r="E295" s="13" t="n">
        <x:f>LN('Source Data'!E295/'Source Data'!E$8)</x:f>
        <x:v>-10.220340203884964</x:v>
      </x:c>
      <x:c r="F295" s="13" t="n">
        <x:f>SLOPE(C295:E295,'Source Data'!C$7:E$7)</x:f>
        <x:v>-0.10488401934430769</x:v>
      </x:c>
      <x:c r="G295" s="14" t="n">
        <x:f>EXP(F295)-1</x:f>
        <x:v>-0.09957105112967157</x:v>
      </x:c>
      <x:c r="H295" s="8" t="n">
        <x:f>'Source Data'!F295</x:f>
        <x:v>488</x:v>
      </x:c>
      <x:c r="I295" s="8" t="n">
        <x:f>'Source Data'!H295</x:f>
        <x:v>177</x:v>
      </x:c>
      <x:c r="J295" s="14" t="n">
        <x:f>I295/H295-1</x:f>
        <x:v>-0.6372950819672132</x:v>
      </x:c>
      <x:c r="K295" s="8" t="n">
        <x:f>H295*('Source Data'!H$8/'Source Data'!F$8)*EXP(F295*('Source Data'!H$7-'Source Data'!F$7))</x:f>
        <x:v>326.4795567963028</x:v>
      </x:c>
      <x:c r="L295" s="14" t="n">
        <x:f>I295/K295-1</x:f>
        <x:v>-0.4578527313107268</x:v>
      </x:c>
      <x:c r="M295" s="8" t="n">
        <x:f>'Source Data'!G295</x:f>
        <x:v>286</x:v>
      </x:c>
      <x:c r="N295" s="8" t="n">
        <x:f>M295*('Source Data'!H$8/'Source Data'!G$8)*EXP(F295*('Source Data'!H$7-'Source Data'!G$7))</x:f>
        <x:v>212.05742175943544</x:v>
      </x:c>
      <x:c r="O295" s="14" t="n">
        <x:f>I295/N295-1</x:f>
        <x:v>-0.16532041872698833</x:v>
      </x:c>
      <x:c r="P295" s="2" t="str"/>
    </x:row>
    <x:row r="296">
      <x:c r="A296" s="2" t="str">
        <x:f>'Source Data'!A296</x:f>
        <x:v>333611</x:v>
      </x:c>
      <x:c r="B296" s="2" t="str">
        <x:f>'Source Data'!B296</x:f>
        <x:v>Turbine and Turbine Generator Set Units Manufacturing</x:v>
      </x:c>
      <x:c r="C296" s="13" t="n">
        <x:f>LN('Source Data'!C296/'Source Data'!C$8)</x:f>
        <x:v>-8.144537848553442</x:v>
      </x:c>
      <x:c r="D296" s="13" t="n">
        <x:f>LN('Source Data'!D296/'Source Data'!D$8)</x:f>
        <x:v>-8.138694508736437</x:v>
      </x:c>
      <x:c r="E296" s="13" t="n">
        <x:f>LN('Source Data'!E296/'Source Data'!E$8)</x:f>
        <x:v>-8.086807164670969</x:v>
      </x:c>
      <x:c r="F296" s="13" t="n">
        <x:f>SLOPE(C296:E296,'Source Data'!C$7:E$7)</x:f>
        <x:v>0.0288653419412368</x:v>
      </x:c>
      <x:c r="G296" s="14" t="n">
        <x:f>EXP(F296)-1</x:f>
        <x:v>0.029285983490348277</x:v>
      </x:c>
      <x:c r="H296" s="8" t="n">
        <x:f>'Source Data'!F296</x:f>
        <x:v>3015</x:v>
      </x:c>
      <x:c r="I296" s="8" t="n">
        <x:f>'Source Data'!H296</x:f>
        <x:v>3966</x:v>
      </x:c>
      <x:c r="J296" s="14" t="n">
        <x:f>I296/H296-1</x:f>
        <x:v>0.31542288557213927</x:v>
      </x:c>
      <x:c r="K296" s="8" t="n">
        <x:f>H296*('Source Data'!H$8/'Source Data'!F$8)*EXP(F296*('Source Data'!H$7-'Source Data'!F$7))</x:f>
        <x:v>3444.0537835687583</x:v>
      </x:c>
      <x:c r="L296" s="14" t="n">
        <x:f>I296/K296-1</x:f>
        <x:v>0.1515499609562998</x:v>
      </x:c>
      <x:c r="M296" s="8" t="n">
        <x:f>'Source Data'!G296</x:f>
        <x:v>2942</x:v>
      </x:c>
      <x:c r="N296" s="8" t="n">
        <x:f>M296*('Source Data'!H$8/'Source Data'!G$8)*EXP(F296*('Source Data'!H$7-'Source Data'!G$7))</x:f>
        <x:v>3258.291540150021</x:v>
      </x:c>
      <x:c r="O296" s="14" t="n">
        <x:f>I296/N296-1</x:f>
        <x:v>0.21720231327654438</x:v>
      </x:c>
      <x:c r="P296" s="2" t="str"/>
    </x:row>
    <x:row r="297">
      <x:c r="A297" s="2" t="str">
        <x:f>'Source Data'!A297</x:f>
        <x:v>333612</x:v>
      </x:c>
      <x:c r="B297" s="2" t="str">
        <x:f>'Source Data'!B297</x:f>
        <x:v>Speed Changer, Industrial High-Speed Drive, and Gear Manufacturing</x:v>
      </x:c>
      <x:c r="C297" s="13" t="n">
        <x:f>LN('Source Data'!C297/'Source Data'!C$8)</x:f>
        <x:v>-10.488708463601872</x:v>
      </x:c>
      <x:c r="D297" s="13" t="n">
        <x:f>LN('Source Data'!D297/'Source Data'!D$8)</x:f>
        <x:v>-10.489016210051805</x:v>
      </x:c>
      <x:c r="E297" s="13" t="n">
        <x:f>LN('Source Data'!E297/'Source Data'!E$8)</x:f>
        <x:v>-10.413047610711041</x:v>
      </x:c>
      <x:c r="F297" s="13" t="n">
        <x:f>SLOPE(C297:E297,'Source Data'!C$7:E$7)</x:f>
        <x:v>0.037830426445415455</x:v>
      </x:c>
      <x:c r="G297" s="14" t="n">
        <x:f>EXP(F297)-1</x:f>
        <x:v>0.03855510646469362</x:v>
      </x:c>
      <x:c r="H297" s="8" t="n">
        <x:f>'Source Data'!F297</x:f>
        <x:v>315</x:v>
      </x:c>
      <x:c r="I297" s="8" t="n">
        <x:f>'Source Data'!H297</x:f>
        <x:v>559</x:v>
      </x:c>
      <x:c r="J297" s="14" t="n">
        <x:f>I297/H297-1</x:f>
        <x:v>0.7746031746031745</x:v>
      </x:c>
      <x:c r="K297" s="8" t="n">
        <x:f>H297*('Source Data'!H$8/'Source Data'!F$8)*EXP(F297*('Source Data'!H$7-'Source Data'!F$7))</x:f>
        <x:v>372.96416763452925</x:v>
      </x:c>
      <x:c r="L297" s="14" t="n">
        <x:f>I297/K297-1</x:f>
        <x:v>0.4988035004686264</x:v>
      </x:c>
      <x:c r="M297" s="8" t="n">
        <x:f>'Source Data'!G297</x:f>
        <x:v>351</x:v>
      </x:c>
      <x:c r="N297" s="8" t="n">
        <x:f>M297*('Source Data'!H$8/'Source Data'!G$8)*EXP(F297*('Source Data'!H$7-'Source Data'!G$7))</x:f>
        <x:v>399.33267657450233</x:v>
      </x:c>
      <x:c r="O297" s="14" t="n">
        <x:f>I297/N297-1</x:f>
        <x:v>0.39983535731443953</x:v>
      </x:c>
      <x:c r="P297" s="2" t="str"/>
    </x:row>
    <x:row r="298">
      <x:c r="A298" s="2" t="str">
        <x:f>'Source Data'!A298</x:f>
        <x:v>333613</x:v>
      </x:c>
      <x:c r="B298" s="2" t="str">
        <x:f>'Source Data'!B298</x:f>
        <x:v>Mechanical Power Transmission Equipment Manufacturing</x:v>
      </x:c>
      <x:c r="C298" s="13" t="n">
        <x:f>LN('Source Data'!C298/'Source Data'!C$8)</x:f>
        <x:v>-10.418376455657686</x:v>
      </x:c>
      <x:c r="D298" s="13" t="n">
        <x:f>LN('Source Data'!D298/'Source Data'!D$8)</x:f>
        <x:v>-10.275253127423031</x:v>
      </x:c>
      <x:c r="E298" s="13" t="n">
        <x:f>LN('Source Data'!E298/'Source Data'!E$8)</x:f>
        <x:v>-10.156032336652233</x:v>
      </x:c>
      <x:c r="F298" s="13" t="n">
        <x:f>SLOPE(C298:E298,'Source Data'!C$7:E$7)</x:f>
        <x:v>0.1311720595027266</x:v>
      </x:c>
      <x:c r="G298" s="14" t="n">
        <x:f>EXP(F298)-1</x:f>
        <x:v>0.14016394047660752</x:v>
      </x:c>
      <x:c r="H298" s="8" t="n">
        <x:f>'Source Data'!F298</x:f>
        <x:v>818</x:v>
      </x:c>
      <x:c r="I298" s="8" t="n">
        <x:f>'Source Data'!H298</x:f>
        <x:v>525</x:v>
      </x:c>
      <x:c r="J298" s="14" t="n">
        <x:f>I298/H298-1</x:f>
        <x:v>-0.3581907090464548</x:v>
      </x:c>
      <x:c r="K298" s="8" t="n">
        <x:f>H298*('Source Data'!H$8/'Source Data'!F$8)*EXP(F298*('Source Data'!H$7-'Source Data'!F$7))</x:f>
        <x:v>1406.892400410242</x:v>
      </x:c>
      <x:c r="L298" s="14" t="n">
        <x:f>I298/K298-1</x:f>
        <x:v>-0.6268371342066295</x:v>
      </x:c>
      <x:c r="M298" s="8" t="n">
        <x:f>'Source Data'!G298</x:f>
        <x:v>642</x:v>
      </x:c>
      <x:c r="N298" s="8" t="n">
        <x:f>M298*('Source Data'!H$8/'Source Data'!G$8)*EXP(F298*('Source Data'!H$7-'Source Data'!G$7))</x:f>
        <x:v>966.4425201998581</x:v>
      </x:c>
      <x:c r="O298" s="14" t="n">
        <x:f>I298/N298-1</x:f>
        <x:v>-0.4567705900487168</x:v>
      </x:c>
      <x:c r="P298" s="2" t="str"/>
    </x:row>
    <x:row r="299">
      <x:c r="A299" s="2" t="str">
        <x:f>'Source Data'!A299</x:f>
        <x:v>333618</x:v>
      </x:c>
      <x:c r="B299" s="2" t="str">
        <x:f>'Source Data'!B299</x:f>
        <x:v>Other Engine Equipment Manufacturing</x:v>
      </x:c>
      <x:c r="C299" s="13" t="n">
        <x:f>LN('Source Data'!C299/'Source Data'!C$8)</x:f>
        <x:v>-10.524517916298583</x:v>
      </x:c>
      <x:c r="D299" s="13" t="n">
        <x:f>LN('Source Data'!D299/'Source Data'!D$8)</x:f>
        <x:v>-10.547186842906672</x:v>
      </x:c>
      <x:c r="E299" s="13" t="n">
        <x:f>LN('Source Data'!E299/'Source Data'!E$8)</x:f>
        <x:v>-10.536720440423489</x:v>
      </x:c>
      <x:c r="F299" s="13" t="n">
        <x:f>SLOPE(C299:E299,'Source Data'!C$7:E$7)</x:f>
        <x:v>-0.006101262062452761</x:v>
      </x:c>
      <x:c r="G299" s="14" t="n">
        <x:f>EXP(F299)-1</x:f>
        <x:v>-0.006082687159059241</x:v>
      </x:c>
      <x:c r="H299" s="8" t="n">
        <x:f>'Source Data'!F299</x:f>
        <x:v>94</x:v>
      </x:c>
      <x:c r="I299" s="8" t="n">
        <x:f>'Source Data'!H299</x:f>
        <x:v>79</x:v>
      </x:c>
      <x:c r="J299" s="14" t="n">
        <x:f>I299/H299-1</x:f>
        <x:v>-0.15957446808510634</x:v>
      </x:c>
      <x:c r="K299" s="8" t="n">
        <x:f>H299*('Source Data'!H$8/'Source Data'!F$8)*EXP(F299*('Source Data'!H$7-'Source Data'!F$7))</x:f>
        <x:v>93.36137717666871</x:v>
      </x:c>
      <x:c r="L299" s="14" t="n">
        <x:f>I299/K299-1</x:f>
        <x:v>-0.15382567835832717</x:v>
      </x:c>
      <x:c r="M299" s="8" t="n">
        <x:f>'Source Data'!G299</x:f>
        <x:v>95</x:v>
      </x:c>
      <x:c r="N299" s="8" t="n">
        <x:f>M299*('Source Data'!H$8/'Source Data'!G$8)*EXP(F299*('Source Data'!H$7-'Source Data'!G$7))</x:f>
        <x:v>94.73565631636235</x:v>
      </x:c>
      <x:c r="O299" s="14" t="n">
        <x:f>I299/N299-1</x:f>
        <x:v>-0.16610067347625013</x:v>
      </x:c>
      <x:c r="P299" s="2" t="str"/>
    </x:row>
    <x:row r="300">
      <x:c r="A300" s="2" t="str">
        <x:f>'Source Data'!A300</x:f>
        <x:v>333912</x:v>
      </x:c>
      <x:c r="B300" s="2" t="str">
        <x:f>'Source Data'!B300</x:f>
        <x:v>Air and Gas Compressor Manufacturing</x:v>
      </x:c>
      <x:c r="C300" s="13" t="n">
        <x:f>LN('Source Data'!C300/'Source Data'!C$8)</x:f>
        <x:v>-9.86581122571893</x:v>
      </x:c>
      <x:c r="D300" s="13" t="n">
        <x:f>LN('Source Data'!D300/'Source Data'!D$8)</x:f>
        <x:v>-9.781234621973422</x:v>
      </x:c>
      <x:c r="E300" s="13" t="n">
        <x:f>LN('Source Data'!E300/'Source Data'!E$8)</x:f>
        <x:v>-9.713211442000299</x:v>
      </x:c>
      <x:c r="F300" s="13" t="n">
        <x:f>SLOPE(C300:E300,'Source Data'!C$7:E$7)</x:f>
        <x:v>0.07629989185931585</x:v>
      </x:c>
      <x:c r="G300" s="14" t="n">
        <x:f>EXP(F300)-1</x:f>
        <x:v>0.07928619477294885</x:v>
      </x:c>
      <x:c r="H300" s="8" t="n">
        <x:f>'Source Data'!F300</x:f>
        <x:v>874</x:v>
      </x:c>
      <x:c r="I300" s="8" t="n">
        <x:f>'Source Data'!H300</x:f>
        <x:v>727</x:v>
      </x:c>
      <x:c r="J300" s="14" t="n">
        <x:f>I300/H300-1</x:f>
        <x:v>-0.16819221967963383</x:v>
      </x:c>
      <x:c r="K300" s="8" t="n">
        <x:f>H300*('Source Data'!H$8/'Source Data'!F$8)*EXP(F300*('Source Data'!H$7-'Source Data'!F$7))</x:f>
        <x:v>1206.9694959882133</x:v>
      </x:c>
      <x:c r="L300" s="14" t="n">
        <x:f>I300/K300-1</x:f>
        <x:v>-0.3976649762761697</x:v>
      </x:c>
      <x:c r="M300" s="8" t="n">
        <x:f>'Source Data'!G300</x:f>
        <x:v>924</x:v>
      </x:c>
      <x:c r="N300" s="8" t="n">
        <x:f>M300*('Source Data'!H$8/'Source Data'!G$8)*EXP(F300*('Source Data'!H$7-'Source Data'!G$7))</x:f>
        <x:v>1179.8340710115863</x:v>
      </x:c>
      <x:c r="O300" s="14" t="n">
        <x:f>I300/N300-1</x:f>
        <x:v>-0.3838116580438533</x:v>
      </x:c>
      <x:c r="P300" s="2" t="str"/>
    </x:row>
    <x:row r="301">
      <x:c r="A301" s="2" t="str">
        <x:f>'Source Data'!A301</x:f>
        <x:v>333914</x:v>
      </x:c>
      <x:c r="B301" s="2" t="str">
        <x:f>'Source Data'!B301</x:f>
        <x:v>Measuring, Dispensing, and Other Pumping Equipment Manufacturing</x:v>
      </x:c>
      <x:c r="C301" s="13" t="n">
        <x:f>LN('Source Data'!C301/'Source Data'!C$8)</x:f>
        <x:v>-8.914559306117754</x:v>
      </x:c>
      <x:c r="D301" s="13" t="n">
        <x:f>LN('Source Data'!D301/'Source Data'!D$8)</x:f>
        <x:v>-8.946117180143089</x:v>
      </x:c>
      <x:c r="E301" s="13" t="n">
        <x:f>LN('Source Data'!E301/'Source Data'!E$8)</x:f>
        <x:v>-8.99808535472158</x:v>
      </x:c>
      <x:c r="F301" s="13" t="n">
        <x:f>SLOPE(C301:E301,'Source Data'!C$7:E$7)</x:f>
        <x:v>-0.04176302430191292</x:v>
      </x:c>
      <x:c r="G301" s="14" t="n">
        <x:f>EXP(F301)-1</x:f>
        <x:v>-0.040902963665906844</x:v>
      </x:c>
      <x:c r="H301" s="8" t="n">
        <x:f>'Source Data'!F301</x:f>
        <x:v>1976</x:v>
      </x:c>
      <x:c r="I301" s="8" t="n">
        <x:f>'Source Data'!H301</x:f>
        <x:v>2111</x:v>
      </x:c>
      <x:c r="J301" s="14" t="n">
        <x:f>I301/H301-1</x:f>
        <x:v>0.06831983805668007</x:v>
      </x:c>
      <x:c r="K301" s="8" t="n">
        <x:f>H301*('Source Data'!H$8/'Source Data'!F$8)*EXP(F301*('Source Data'!H$7-'Source Data'!F$7))</x:f>
        <x:v>1701.670655834871</x:v>
      </x:c>
      <x:c r="L301" s="14" t="n">
        <x:f>I301/K301-1</x:f>
        <x:v>0.24054557370521534</x:v>
      </x:c>
      <x:c r="M301" s="8" t="n">
        <x:f>'Source Data'!G301</x:f>
        <x:v>2081</x:v>
      </x:c>
      <x:c r="N301" s="8" t="n">
        <x:f>M301*('Source Data'!H$8/'Source Data'!G$8)*EXP(F301*('Source Data'!H$7-'Source Data'!G$7))</x:f>
        <x:v>1864.6564314644263</x:v>
      </x:c>
      <x:c r="O301" s="14" t="n">
        <x:f>I301/N301-1</x:f>
        <x:v>0.13211204186398318</x:v>
      </x:c>
      <x:c r="P301" s="2" t="str"/>
    </x:row>
    <x:row r="302">
      <x:c r="A302" s="2" t="str">
        <x:f>'Source Data'!A302</x:f>
        <x:v>333921</x:v>
      </x:c>
      <x:c r="B302" s="2" t="str">
        <x:f>'Source Data'!B302</x:f>
        <x:v>Elevator and Moving Stairway Manufacturing</x:v>
      </x:c>
      <x:c r="C302" s="13" t="n">
        <x:f>LN('Source Data'!C302/'Source Data'!C$8)</x:f>
        <x:v>-10.363693129383632</x:v>
      </x:c>
      <x:c r="D302" s="13" t="n">
        <x:f>LN('Source Data'!D302/'Source Data'!D$8)</x:f>
        <x:v>-10.076207127687882</x:v>
      </x:c>
      <x:c r="E302" s="13" t="n">
        <x:f>LN('Source Data'!E302/'Source Data'!E$8)</x:f>
        <x:v>-10.132099570440605</x:v>
      </x:c>
      <x:c r="F302" s="13" t="n">
        <x:f>SLOPE(C302:E302,'Source Data'!C$7:E$7)</x:f>
        <x:v>0.11579677947151357</x:v>
      </x:c>
      <x:c r="G302" s="14" t="n">
        <x:f>EXP(F302)-1</x:f>
        <x:v>0.1227676795061301</x:v>
      </x:c>
      <x:c r="H302" s="8" t="n">
        <x:f>'Source Data'!F302</x:f>
        <x:v>623</x:v>
      </x:c>
      <x:c r="I302" s="8" t="n">
        <x:f>'Source Data'!H302</x:f>
        <x:v>633</x:v>
      </x:c>
      <x:c r="J302" s="14" t="n">
        <x:f>I302/H302-1</x:f>
        <x:v>0.01605136436597121</x:v>
      </x:c>
      <x:c r="K302" s="8" t="n">
        <x:f>H302*('Source Data'!H$8/'Source Data'!F$8)*EXP(F302*('Source Data'!H$7-'Source Data'!F$7))</x:f>
        <x:v>1007.5950600455703</x:v>
      </x:c>
      <x:c r="L302" s="14" t="n">
        <x:f>I302/K302-1</x:f>
        <x:v>-0.3717714336835163</x:v>
      </x:c>
      <x:c r="M302" s="8" t="n">
        <x:f>'Source Data'!G302</x:f>
        <x:v>635</x:v>
      </x:c>
      <x:c r="N302" s="8" t="n">
        <x:f>M302*('Source Data'!H$8/'Source Data'!G$8)*EXP(F302*('Source Data'!H$7-'Source Data'!G$7))</x:f>
        <x:v>912.8144965886141</x:v>
      </x:c>
      <x:c r="O302" s="14" t="n">
        <x:f>I302/N302-1</x:f>
        <x:v>-0.3065403733555302</x:v>
      </x:c>
      <x:c r="P302" s="2" t="str"/>
    </x:row>
    <x:row r="303">
      <x:c r="A303" s="2" t="str">
        <x:f>'Source Data'!A303</x:f>
        <x:v>333922</x:v>
      </x:c>
      <x:c r="B303" s="2" t="str">
        <x:f>'Source Data'!B303</x:f>
        <x:v>Conveyor and Conveying Equipment Manufacturing</x:v>
      </x:c>
      <x:c r="C303" s="13" t="n">
        <x:f>LN('Source Data'!C303/'Source Data'!C$8)</x:f>
        <x:v>-9.731101282574963</x:v>
      </x:c>
      <x:c r="D303" s="13" t="n">
        <x:f>LN('Source Data'!D303/'Source Data'!D$8)</x:f>
        <x:v>-9.639264360703034</x:v>
      </x:c>
      <x:c r="E303" s="13" t="n">
        <x:f>LN('Source Data'!E303/'Source Data'!E$8)</x:f>
        <x:v>-9.652848292273209</x:v>
      </x:c>
      <x:c r="F303" s="13" t="n">
        <x:f>SLOPE(C303:E303,'Source Data'!C$7:E$7)</x:f>
        <x:v>0.03912649515087718</x:v>
      </x:c>
      <x:c r="G303" s="14" t="n">
        <x:f>EXP(F303)-1</x:f>
        <x:v>0.0399020178934113</x:v>
      </x:c>
      <x:c r="H303" s="8" t="n">
        <x:f>'Source Data'!F303</x:f>
        <x:v>1004</x:v>
      </x:c>
      <x:c r="I303" s="8" t="n">
        <x:f>'Source Data'!H303</x:f>
        <x:v>757</x:v>
      </x:c>
      <x:c r="J303" s="14" t="n">
        <x:f>I303/H303-1</x:f>
        <x:v>-0.24601593625498008</x:v>
      </x:c>
      <x:c r="K303" s="8" t="n">
        <x:f>H303*('Source Data'!H$8/'Source Data'!F$8)*EXP(F303*('Source Data'!H$7-'Source Data'!F$7))</x:f>
        <x:v>1194.9280889620804</x:v>
      </x:c>
      <x:c r="L303" s="14" t="n">
        <x:f>I303/K303-1</x:f>
        <x:v>-0.3664890741186497</x:v>
      </x:c>
      <x:c r="M303" s="8" t="n">
        <x:f>'Source Data'!G303</x:f>
        <x:v>970</x:v>
      </x:c>
      <x:c r="N303" s="8" t="n">
        <x:f>M303*('Source Data'!H$8/'Source Data'!G$8)*EXP(F303*('Source Data'!H$7-'Source Data'!G$7))</x:f>
        <x:v>1107.8681915276663</x:v>
      </x:c>
      <x:c r="O303" s="14" t="n">
        <x:f>I303/N303-1</x:f>
        <x:v>-0.31670571843374773</x:v>
      </x:c>
      <x:c r="P303" s="2" t="str"/>
    </x:row>
    <x:row r="304">
      <x:c r="A304" s="2" t="str">
        <x:f>'Source Data'!A304</x:f>
        <x:v>333923</x:v>
      </x:c>
      <x:c r="B304" s="2" t="str">
        <x:f>'Source Data'!B304</x:f>
        <x:v>Overhead Traveling Crane, Hoist, and Monorail System Manufacturing</x:v>
      </x:c>
      <x:c r="C304" s="13" t="n">
        <x:f>LN('Source Data'!C304/'Source Data'!C$8)</x:f>
        <x:v>-10.628721693828586</x:v>
      </x:c>
      <x:c r="D304" s="13" t="n">
        <x:f>LN('Source Data'!D304/'Source Data'!D$8)</x:f>
        <x:v>-10.645626915719925</x:v>
      </x:c>
      <x:c r="E304" s="13" t="n">
        <x:f>LN('Source Data'!E304/'Source Data'!E$8)</x:f>
        <x:v>-10.458822192095985</x:v>
      </x:c>
      <x:c r="F304" s="13" t="n">
        <x:f>SLOPE(C304:E304,'Source Data'!C$7:E$7)</x:f>
        <x:v>0.08494975086630063</x:v>
      </x:c>
      <x:c r="G304" s="14" t="n">
        <x:f>EXP(F304)-1</x:f>
        <x:v>0.08866236098342228</x:v>
      </x:c>
      <x:c r="H304" s="8" t="n">
        <x:f>'Source Data'!F304</x:f>
        <x:v>400</x:v>
      </x:c>
      <x:c r="I304" s="8" t="n">
        <x:f>'Source Data'!H304</x:f>
        <x:v>433</x:v>
      </x:c>
      <x:c r="J304" s="14" t="n">
        <x:f>I304/H304-1</x:f>
        <x:v>0.08250000000000002</x:v>
      </x:c>
      <x:c r="K304" s="8" t="n">
        <x:f>H304*('Source Data'!H$8/'Source Data'!F$8)*EXP(F304*('Source Data'!H$7-'Source Data'!F$7))</x:f>
        <x:v>571.8356104020822</x:v>
      </x:c>
      <x:c r="L304" s="14" t="n">
        <x:f>I304/K304-1</x:f>
        <x:v>-0.24278937491224262</x:v>
      </x:c>
      <x:c r="M304" s="8" t="n">
        <x:f>'Source Data'!G304</x:f>
        <x:v>387</x:v>
      </x:c>
      <x:c r="N304" s="8" t="n">
        <x:f>M304*('Source Data'!H$8/'Source Data'!G$8)*EXP(F304*('Source Data'!H$7-'Source Data'!G$7))</x:f>
        <x:v>507.14212421049575</x:v>
      </x:c>
      <x:c r="O304" s="14" t="n">
        <x:f>I304/N304-1</x:f>
        <x:v>-0.14619594916497636</x:v>
      </x:c>
      <x:c r="P304" s="2" t="str"/>
    </x:row>
    <x:row r="305">
      <x:c r="A305" s="2" t="str">
        <x:f>'Source Data'!A305</x:f>
        <x:v>333924</x:v>
      </x:c>
      <x:c r="B305" s="2" t="str">
        <x:f>'Source Data'!B305</x:f>
        <x:v>Industrial Truck, Tractor, Trailer, and Stacker Machinery Manufacturing</x:v>
      </x:c>
      <x:c r="C305" s="13" t="n">
        <x:f>LN('Source Data'!C305/'Source Data'!C$8)</x:f>
        <x:v>-10.488708463601872</x:v>
      </x:c>
      <x:c r="D305" s="13" t="n">
        <x:f>LN('Source Data'!D305/'Source Data'!D$8)</x:f>
        <x:v>-10.438706199912602</x:v>
      </x:c>
      <x:c r="E305" s="13" t="n">
        <x:f>LN('Source Data'!E305/'Source Data'!E$8)</x:f>
        <x:v>-10.406358622560244</x:v>
      </x:c>
      <x:c r="F305" s="13" t="n">
        <x:f>SLOPE(C305:E305,'Source Data'!C$7:E$7)</x:f>
        <x:v>0.04117492052081406</x:v>
      </x:c>
      <x:c r="G305" s="14" t="n">
        <x:f>EXP(F305)-1</x:f>
        <x:v>0.042034362798194946</x:v>
      </x:c>
      <x:c r="H305" s="8" t="n">
        <x:f>'Source Data'!F305</x:f>
        <x:v>917</x:v>
      </x:c>
      <x:c r="I305" s="8" t="n">
        <x:f>'Source Data'!H305</x:f>
        <x:v>944</x:v>
      </x:c>
      <x:c r="J305" s="14" t="n">
        <x:f>I305/H305-1</x:f>
        <x:v>0.029443838604144013</x:v>
      </x:c>
      <x:c r="K305" s="8" t="n">
        <x:f>H305*('Source Data'!H$8/'Source Data'!F$8)*EXP(F305*('Source Data'!H$7-'Source Data'!F$7))</x:f>
        <x:v>1100.3627305104135</x:v>
      </x:c>
      <x:c r="L305" s="14" t="n">
        <x:f>I305/K305-1</x:f>
        <x:v>-0.14210107828523344</x:v>
      </x:c>
      <x:c r="M305" s="8" t="n">
        <x:f>'Source Data'!G305</x:f>
        <x:v>958</x:v>
      </x:c>
      <x:c r="N305" s="8" t="n">
        <x:f>M305*('Source Data'!H$8/'Source Data'!G$8)*EXP(F305*('Source Data'!H$7-'Source Data'!G$7))</x:f>
        <x:v>1100.9072395671112</x:v>
      </x:c>
      <x:c r="O305" s="14" t="n">
        <x:f>I305/N305-1</x:f>
        <x:v>-0.14252539535375286</x:v>
      </x:c>
      <x:c r="P305" s="2" t="str"/>
    </x:row>
    <x:row r="306">
      <x:c r="A306" s="2" t="str">
        <x:f>'Source Data'!A306</x:f>
        <x:v>333991</x:v>
      </x:c>
      <x:c r="B306" s="2" t="str">
        <x:f>'Source Data'!B306</x:f>
        <x:v>Power-Driven Handtool Manufacturing</x:v>
      </x:c>
      <x:c r="C306" s="13" t="n">
        <x:f>LN('Source Data'!C306/'Source Data'!C$8)</x:f>
        <x:v>-10.953699551024064</x:v>
      </x:c>
      <x:c r="D306" s="13" t="n">
        <x:f>LN('Source Data'!D306/'Source Data'!D$8)</x:f>
        <x:v>-11.00476795215385</x:v>
      </x:c>
      <x:c r="E306" s="13" t="n">
        <x:f>LN('Source Data'!E306/'Source Data'!E$8)</x:f>
        <x:v>-10.96653012042939</x:v>
      </x:c>
      <x:c r="F306" s="13" t="n">
        <x:f>SLOPE(C306:E306,'Source Data'!C$7:E$7)</x:f>
        <x:v>-0.006415284702662838</x:v>
      </x:c>
      <x:c r="G306" s="14" t="n">
        <x:f>EXP(F306)-1</x:f>
        <x:v>-0.006394750697715446</x:v>
      </x:c>
      <x:c r="H306" s="8" t="n">
        <x:f>'Source Data'!F306</x:f>
        <x:v>288</x:v>
      </x:c>
      <x:c r="I306" s="8" t="n">
        <x:f>'Source Data'!H306</x:f>
        <x:v>207</x:v>
      </x:c>
      <x:c r="J306" s="14" t="n">
        <x:f>I306/H306-1</x:f>
        <x:v>-0.28125</x:v>
      </x:c>
      <x:c r="K306" s="8" t="n">
        <x:f>H306*('Source Data'!H$8/'Source Data'!F$8)*EXP(F306*('Source Data'!H$7-'Source Data'!F$7))</x:f>
        <x:v>285.6842975560097</x:v>
      </x:c>
      <x:c r="L306" s="14" t="n">
        <x:f>I306/K306-1</x:f>
        <x:v>-0.27542394954550586</x:v>
      </x:c>
      <x:c r="M306" s="8" t="n">
        <x:f>'Source Data'!G306</x:f>
        <x:v>308</x:v>
      </x:c>
      <x:c r="N306" s="8" t="n">
        <x:f>M306*('Source Data'!H$8/'Source Data'!G$8)*EXP(F306*('Source Data'!H$7-'Source Data'!G$7))</x:f>
        <x:v>306.8537566636271</x:v>
      </x:c>
      <x:c r="O306" s="14" t="n">
        <x:f>I306/N306-1</x:f>
        <x:v>-0.325411550275028</x:v>
      </x:c>
      <x:c r="P306" s="2" t="str"/>
    </x:row>
    <x:row r="307">
      <x:c r="A307" s="2" t="str">
        <x:f>'Source Data'!A307</x:f>
        <x:v>333992</x:v>
      </x:c>
      <x:c r="B307" s="2" t="str">
        <x:f>'Source Data'!B307</x:f>
        <x:v>Welding and Soldering Equipment Manufacturing</x:v>
      </x:c>
      <x:c r="C307" s="13" t="n">
        <x:f>LN('Source Data'!C307/'Source Data'!C$8)</x:f>
        <x:v>-9.211830851409474</x:v>
      </x:c>
      <x:c r="D307" s="13" t="n">
        <x:f>LN('Source Data'!D307/'Source Data'!D$8)</x:f>
        <x:v>-9.212322846971613</x:v>
      </x:c>
      <x:c r="E307" s="13" t="n">
        <x:f>LN('Source Data'!E307/'Source Data'!E$8)</x:f>
        <x:v>-9.232845025719017</x:v>
      </x:c>
      <x:c r="F307" s="13" t="n">
        <x:f>SLOPE(C307:E307,'Source Data'!C$7:E$7)</x:f>
        <x:v>-0.010507087154771888</x:v>
      </x:c>
      <x:c r="G307" s="14" t="n">
        <x:f>EXP(F307)-1</x:f>
        <x:v>-0.010452080536211605</x:v>
      </x:c>
      <x:c r="H307" s="8" t="n">
        <x:f>'Source Data'!F307</x:f>
        <x:v>1450</x:v>
      </x:c>
      <x:c r="I307" s="8" t="n">
        <x:f>'Source Data'!H307</x:f>
        <x:v>1281</x:v>
      </x:c>
      <x:c r="J307" s="14" t="n">
        <x:f>I307/H307-1</x:f>
        <x:v>-0.11655172413793102</x:v>
      </x:c>
      <x:c r="K307" s="8" t="n">
        <x:f>H307*('Source Data'!H$8/'Source Data'!F$8)*EXP(F307*('Source Data'!H$7-'Source Data'!F$7))</x:f>
        <x:v>1414.9910597995363</x:v>
      </x:c>
      <x:c r="L307" s="14" t="n">
        <x:f>I307/K307-1</x:f>
        <x:v>-0.09469392677189004</x:v>
      </x:c>
      <x:c r="M307" s="8" t="n">
        <x:f>'Source Data'!G307</x:f>
        <x:v>1534</x:v>
      </x:c>
      <x:c r="N307" s="8" t="n">
        <x:f>M307*('Source Data'!H$8/'Source Data'!G$8)*EXP(F307*('Source Data'!H$7-'Source Data'!G$7))</x:f>
        <x:v>1509.6453928059436</x:v>
      </x:c>
      <x:c r="O307" s="14" t="n">
        <x:f>I307/N307-1</x:f>
        <x:v>-0.15145635782782452</x:v>
      </x:c>
      <x:c r="P307" s="2" t="str"/>
    </x:row>
    <x:row r="308">
      <x:c r="A308" s="2" t="str">
        <x:f>'Source Data'!A308</x:f>
        <x:v>333993</x:v>
      </x:c>
      <x:c r="B308" s="2" t="str">
        <x:f>'Source Data'!B308</x:f>
        <x:v>Packaging Machinery Manufacturing</x:v>
      </x:c>
      <x:c r="C308" s="13" t="n">
        <x:f>LN('Source Data'!C308/'Source Data'!C$8)</x:f>
        <x:v>-8.765852135500442</x:v>
      </x:c>
      <x:c r="D308" s="13" t="n">
        <x:f>LN('Source Data'!D308/'Source Data'!D$8)</x:f>
        <x:v>-8.986851643480303</x:v>
      </x:c>
      <x:c r="E308" s="13" t="n">
        <x:f>LN('Source Data'!E308/'Source Data'!E$8)</x:f>
        <x:v>-9.0029886606501</x:v>
      </x:c>
      <x:c r="F308" s="13" t="n">
        <x:f>SLOPE(C308:E308,'Source Data'!C$7:E$7)</x:f>
        <x:v>-0.11856826257482922</x:v>
      </x:c>
      <x:c r="G308" s="14" t="n">
        <x:f>EXP(F308)-1</x:f>
        <x:v>-0.11180881662974751</x:v>
      </x:c>
      <x:c r="H308" s="8" t="n">
        <x:f>'Source Data'!F308</x:f>
        <x:v>1967</x:v>
      </x:c>
      <x:c r="I308" s="8" t="n">
        <x:f>'Source Data'!H308</x:f>
        <x:v>1681</x:v>
      </x:c>
      <x:c r="J308" s="14" t="n">
        <x:f>I308/H308-1</x:f>
        <x:v>-0.14539908490086428</x:v>
      </x:c>
      <x:c r="K308" s="8" t="n">
        <x:f>H308*('Source Data'!H$8/'Source Data'!F$8)*EXP(F308*('Source Data'!H$7-'Source Data'!F$7))</x:f>
        <x:v>1245.8580560919972</x:v>
      </x:c>
      <x:c r="L308" s="14" t="n">
        <x:f>I308/K308-1</x:f>
        <x:v>0.34927088345277024</x:v>
      </x:c>
      <x:c r="M308" s="8" t="n">
        <x:f>'Source Data'!G308</x:f>
        <x:v>2018</x:v>
      </x:c>
      <x:c r="N308" s="8" t="n">
        <x:f>M308*('Source Data'!H$8/'Source Data'!G$8)*EXP(F308*('Source Data'!H$7-'Source Data'!G$7))</x:f>
        <x:v>1436.0832992423948</x:v>
      </x:c>
      <x:c r="O308" s="14" t="n">
        <x:f>I308/N308-1</x:f>
        <x:v>0.1705449126013867</x:v>
      </x:c>
      <x:c r="P308" s="2" t="str"/>
    </x:row>
    <x:row r="309">
      <x:c r="A309" s="2" t="str">
        <x:f>'Source Data'!A309</x:f>
        <x:v>333994</x:v>
      </x:c>
      <x:c r="B309" s="2" t="str">
        <x:f>'Source Data'!B309</x:f>
        <x:v>Industrial Process Furnace and Oven Manufacturing</x:v>
      </x:c>
      <x:c r="C309" s="13" t="n">
        <x:f>LN('Source Data'!C309/'Source Data'!C$8)</x:f>
        <x:v>-9.96044777801378</x:v>
      </x:c>
      <x:c r="D309" s="13" t="n">
        <x:f>LN('Source Data'!D309/'Source Data'!D$8)</x:f>
        <x:v>-9.88713335077664</x:v>
      </x:c>
      <x:c r="E309" s="13" t="n">
        <x:f>LN('Source Data'!E309/'Source Data'!E$8)</x:f>
        <x:v>-10.035561643397957</x:v>
      </x:c>
      <x:c r="F309" s="13" t="n">
        <x:f>SLOPE(C309:E309,'Source Data'!C$7:E$7)</x:f>
        <x:v>-0.037556932692088374</x:v>
      </x:c>
      <x:c r="G309" s="14" t="n">
        <x:f>EXP(F309)-1</x:f>
        <x:v>-0.036860417969396986</x:v>
      </x:c>
      <x:c r="H309" s="8" t="n">
        <x:f>'Source Data'!F309</x:f>
        <x:v>510</x:v>
      </x:c>
      <x:c r="I309" s="8" t="n">
        <x:f>'Source Data'!H309</x:f>
        <x:v>437</x:v>
      </x:c>
      <x:c r="J309" s="14" t="n">
        <x:f>I309/H309-1</x:f>
        <x:v>-0.14313725490196083</x:v>
      </x:c>
      <x:c r="K309" s="8" t="n">
        <x:f>H309*('Source Data'!H$8/'Source Data'!F$8)*EXP(F309*('Source Data'!H$7-'Source Data'!F$7))</x:f>
        <x:v>446.6480838314561</x:v>
      </x:c>
      <x:c r="L309" s="14" t="n">
        <x:f>I309/K309-1</x:f>
        <x:v>-0.02160108636018876</x:v>
      </x:c>
      <x:c r="M309" s="8" t="n">
        <x:f>'Source Data'!G309</x:f>
        <x:v>479</x:v>
      </x:c>
      <x:c r="N309" s="8" t="n">
        <x:f>M309*('Source Data'!H$8/'Source Data'!G$8)*EXP(F309*('Source Data'!H$7-'Source Data'!G$7))</x:f>
        <x:v>434.65262197981343</x:v>
      </x:c>
      <x:c r="O309" s="14" t="n">
        <x:f>I309/N309-1</x:f>
        <x:v>0.0054005840560547025</x:v>
      </x:c>
      <x:c r="P309" s="2" t="str"/>
    </x:row>
    <x:row r="310">
      <x:c r="A310" s="2" t="str">
        <x:f>'Source Data'!A310</x:f>
        <x:v>333995</x:v>
      </x:c>
      <x:c r="B310" s="2" t="str">
        <x:f>'Source Data'!B310</x:f>
        <x:v>Fluid Power Cylinder and Actuator Manufacturing</x:v>
      </x:c>
      <x:c r="C310" s="13" t="n">
        <x:f>LN('Source Data'!C310/'Source Data'!C$8)</x:f>
        <x:v>-10.301374364984374</x:v>
      </x:c>
      <x:c r="D310" s="13" t="n">
        <x:f>LN('Source Data'!D310/'Source Data'!D$8)</x:f>
        <x:v>-10.305466906019527</x:v>
      </x:c>
      <x:c r="E310" s="13" t="n">
        <x:f>LN('Source Data'!E310/'Source Data'!E$8)</x:f>
        <x:v>-10.388737021210426</x:v>
      </x:c>
      <x:c r="F310" s="13" t="n">
        <x:f>SLOPE(C310:E310,'Source Data'!C$7:E$7)</x:f>
        <x:v>-0.04368132811302594</x:v>
      </x:c>
      <x:c r="G310" s="14" t="n">
        <x:f>EXP(F310)-1</x:f>
        <x:v>-0.04274103960823139</x:v>
      </x:c>
      <x:c r="H310" s="8" t="n">
        <x:f>'Source Data'!F310</x:f>
        <x:v>271</x:v>
      </x:c>
      <x:c r="I310" s="8" t="n">
        <x:f>'Source Data'!H310</x:f>
        <x:v>286</x:v>
      </x:c>
      <x:c r="J310" s="14" t="n">
        <x:f>I310/H310-1</x:f>
        <x:v>0.05535055350553497</x:v>
      </x:c>
      <x:c r="K310" s="8" t="n">
        <x:f>H310*('Source Data'!H$8/'Source Data'!F$8)*EXP(F310*('Source Data'!H$7-'Source Data'!F$7))</x:f>
        <x:v>231.5929983347408</x:v>
      </x:c>
      <x:c r="L310" s="14" t="n">
        <x:f>I310/K310-1</x:f>
        <x:v>0.23492507138156316</x:v>
      </x:c>
      <x:c r="M310" s="8" t="n">
        <x:f>'Source Data'!G310</x:f>
        <x:v>339</x:v>
      </x:c>
      <x:c r="N310" s="8" t="n">
        <x:f>M310*('Source Data'!H$8/'Source Data'!G$8)*EXP(F310*('Source Data'!H$7-'Source Data'!G$7))</x:f>
        <x:v>302.01402769189724</x:v>
      </x:c>
      <x:c r="O310" s="14" t="n">
        <x:f>I310/N310-1</x:f>
        <x:v>-0.0530241188274676</x:v>
      </x:c>
      <x:c r="P310" s="2" t="str"/>
    </x:row>
    <x:row r="311">
      <x:c r="A311" s="2" t="str">
        <x:f>'Source Data'!A311</x:f>
        <x:v>333996</x:v>
      </x:c>
      <x:c r="B311" s="2" t="str">
        <x:f>'Source Data'!B311</x:f>
        <x:v>Fluid Power Pump and Motor Manufacturing</x:v>
      </x:c>
      <x:c r="C311" s="13" t="n">
        <x:f>LN('Source Data'!C311/'Source Data'!C$8)</x:f>
        <x:v>-8.65472095362413</x:v>
      </x:c>
      <x:c r="D311" s="13" t="n">
        <x:f>LN('Source Data'!D311/'Source Data'!D$8)</x:f>
        <x:v>-8.562599855677492</x:v>
      </x:c>
      <x:c r="E311" s="13" t="n">
        <x:f>LN('Source Data'!E311/'Source Data'!E$8)</x:f>
        <x:v>-8.652339481315037</x:v>
      </x:c>
      <x:c r="F311" s="13" t="n">
        <x:f>SLOPE(C311:E311,'Source Data'!C$7:E$7)</x:f>
        <x:v>0.0011907361545464568</x:v>
      </x:c>
      <x:c r="G311" s="14" t="n">
        <x:f>EXP(F311)-1</x:f>
        <x:v>0.0011914453623065313</x:v>
      </x:c>
      <x:c r="H311" s="8" t="n">
        <x:f>'Source Data'!F311</x:f>
        <x:v>2232</x:v>
      </x:c>
      <x:c r="I311" s="8" t="n">
        <x:f>'Source Data'!H311</x:f>
        <x:v>2140</x:v>
      </x:c>
      <x:c r="J311" s="14" t="n">
        <x:f>I311/H311-1</x:f>
        <x:v>-0.04121863799283154</x:v>
      </x:c>
      <x:c r="K311" s="8" t="n">
        <x:f>H311*('Source Data'!H$8/'Source Data'!F$8)*EXP(F311*('Source Data'!H$7-'Source Data'!F$7))</x:f>
        <x:v>2282.449011229663</x:v>
      </x:c>
      <x:c r="L311" s="14" t="n">
        <x:f>I311/K311-1</x:f>
        <x:v>-0.06241059954847317</x:v>
      </x:c>
      <x:c r="M311" s="8" t="n">
        <x:f>'Source Data'!G311</x:f>
        <x:v>2274</x:v>
      </x:c>
      <x:c r="N311" s="8" t="n">
        <x:f>M311*('Source Data'!H$8/'Source Data'!G$8)*EXP(F311*('Source Data'!H$7-'Source Data'!G$7))</x:f>
        <x:v>2317.826623422399</x:v>
      </x:c>
      <x:c r="O311" s="14" t="n">
        <x:f>I311/N311-1</x:f>
        <x:v>-0.07672127916100469</x:v>
      </x:c>
      <x:c r="P311" s="2" t="str"/>
    </x:row>
    <x:row r="312">
      <x:c r="A312" s="2" t="str">
        <x:f>'Source Data'!A312</x:f>
        <x:v>333998</x:v>
      </x:c>
      <x:c r="B312" s="2" t="str">
        <x:f>'Source Data'!B312</x:f>
        <x:v>All Other Miscellaneous General Purpose Machinery Manufacturing</x:v>
      </x:c>
      <x:c r="C312" s="13" t="n">
        <x:f>LN('Source Data'!C312/'Source Data'!C$8)</x:f>
        <x:v>-8.405505162000145</x:v>
      </x:c>
      <x:c r="D312" s="13" t="n">
        <x:f>LN('Source Data'!D312/'Source Data'!D$8)</x:f>
        <x:v>-8.506913932403075</x:v>
      </x:c>
      <x:c r="E312" s="13" t="n">
        <x:f>LN('Source Data'!E312/'Source Data'!E$8)</x:f>
        <x:v>-8.578588715809158</x:v>
      </x:c>
      <x:c r="F312" s="13" t="n">
        <x:f>SLOPE(C312:E312,'Source Data'!C$7:E$7)</x:f>
        <x:v>-0.08654177690450648</x:v>
      </x:c>
      <x:c r="G312" s="14" t="n">
        <x:f>EXP(F312)-1</x:f>
        <x:v>-0.08290276549920372</x:v>
      </x:c>
      <x:c r="H312" s="8" t="n">
        <x:f>'Source Data'!F312</x:f>
        <x:v>3246</x:v>
      </x:c>
      <x:c r="I312" s="8" t="n">
        <x:f>'Source Data'!H312</x:f>
        <x:v>3301</x:v>
      </x:c>
      <x:c r="J312" s="14" t="n">
        <x:f>I312/H312-1</x:f>
        <x:v>0.016943930991990097</x:v>
      </x:c>
      <x:c r="K312" s="8" t="n">
        <x:f>H312*('Source Data'!H$8/'Source Data'!F$8)*EXP(F312*('Source Data'!H$7-'Source Data'!F$7))</x:f>
        <x:v>2336.9446395015757</x:v>
      </x:c>
      <x:c r="L312" s="14" t="n">
        <x:f>I312/K312-1</x:f>
        <x:v>0.41252811222093744</x:v>
      </x:c>
      <x:c r="M312" s="8" t="n">
        <x:f>'Source Data'!G312</x:f>
        <x:v>3375</x:v>
      </x:c>
      <x:c r="N312" s="8" t="n">
        <x:f>M312*('Source Data'!H$8/'Source Data'!G$8)*EXP(F312*('Source Data'!H$7-'Source Data'!G$7))</x:f>
        <x:v>2643.9852311522395</x:v>
      </x:c>
      <x:c r="O312" s="14" t="n">
        <x:f>I312/N312-1</x:f>
        <x:v>0.24849411453082726</x:v>
      </x:c>
      <x:c r="P312" s="2" t="str"/>
    </x:row>
    <x:row r="313">
      <x:c r="A313" s="2" t="str">
        <x:f>'Source Data'!A313</x:f>
        <x:v>334111</x:v>
      </x:c>
      <x:c r="B313" s="2" t="str">
        <x:f>'Source Data'!B313</x:f>
        <x:v>Electronic Computer Manufacturing</x:v>
      </x:c>
      <x:c r="C313" s="13" t="n">
        <x:f>LN('Source Data'!C313/'Source Data'!C$8)</x:f>
        <x:v>-5.547873976760743</x:v>
      </x:c>
      <x:c r="D313" s="13" t="n">
        <x:f>LN('Source Data'!D313/'Source Data'!D$8)</x:f>
        <x:v>-5.484328131565719</x:v>
      </x:c>
      <x:c r="E313" s="13" t="n">
        <x:f>LN('Source Data'!E313/'Source Data'!E$8)</x:f>
        <x:v>-5.422554151323439</x:v>
      </x:c>
      <x:c r="F313" s="13" t="n">
        <x:f>SLOPE(C313:E313,'Source Data'!C$7:E$7)</x:f>
        <x:v>0.06265991271865179</x:v>
      </x:c>
      <x:c r="G313" s="14" t="n">
        <x:f>EXP(F313)-1</x:f>
        <x:v>0.06466469873216774</x:v>
      </x:c>
      <x:c r="H313" s="8" t="n">
        <x:f>'Source Data'!F313</x:f>
        <x:v>71101</x:v>
      </x:c>
      <x:c r="I313" s="8" t="n">
        <x:f>'Source Data'!H313</x:f>
        <x:v>21319</x:v>
      </x:c>
      <x:c r="J313" s="14" t="n">
        <x:f>I313/H313-1</x:f>
        <x:v>-0.7001589288476955</x:v>
      </x:c>
      <x:c r="K313" s="8" t="n">
        <x:f>H313*('Source Data'!H$8/'Source Data'!F$8)*EXP(F313*('Source Data'!H$7-'Source Data'!F$7))</x:f>
        <x:v>92974.85287371918</x:v>
      </x:c>
      <x:c r="L313" s="14" t="n">
        <x:f>I313/K313-1</x:f>
        <x:v>-0.7707014387110027</x:v>
      </x:c>
      <x:c r="M313" s="8" t="n">
        <x:f>'Source Data'!G313</x:f>
        <x:v>75491</x:v>
      </x:c>
      <x:c r="N313" s="8" t="n">
        <x:f>M313*('Source Data'!H$8/'Source Data'!G$8)*EXP(F313*('Source Data'!H$7-'Source Data'!G$7))</x:f>
        <x:v>92527.92812031934</x:v>
      </x:c>
      <x:c r="O313" s="14" t="n">
        <x:f>I313/N313-1</x:f>
        <x:v>-0.7695938898331574</x:v>
      </x:c>
      <x:c r="P313" s="2" t="str"/>
    </x:row>
    <x:row r="314">
      <x:c r="A314" s="2" t="str">
        <x:f>'Source Data'!A314</x:f>
        <x:v>334112</x:v>
      </x:c>
      <x:c r="B314" s="2" t="str">
        <x:f>'Source Data'!B314</x:f>
        <x:v>Computer Storage Device Manufacturing</x:v>
      </x:c>
      <x:c r="C314" s="13" t="n">
        <x:f>LN('Source Data'!C314/'Source Data'!C$8)</x:f>
        <x:v>-8.01263467881238</x:v>
      </x:c>
      <x:c r="D314" s="13" t="n">
        <x:f>LN('Source Data'!D314/'Source Data'!D$8)</x:f>
        <x:v>-8.160480830997225</x:v>
      </x:c>
      <x:c r="E314" s="13" t="n">
        <x:f>LN('Source Data'!E314/'Source Data'!E$8)</x:f>
        <x:v>-7.964204842578636</x:v>
      </x:c>
      <x:c r="F314" s="13" t="n">
        <x:f>SLOPE(C314:E314,'Source Data'!C$7:E$7)</x:f>
        <x:v>0.024214918116872486</x:v>
      </x:c>
      <x:c r="G314" s="14" t="n">
        <x:f>EXP(F314)-1</x:f>
        <x:v>0.024510480094448894</x:v>
      </x:c>
      <x:c r="H314" s="8" t="n">
        <x:f>'Source Data'!F314</x:f>
        <x:v>5436</x:v>
      </x:c>
      <x:c r="I314" s="8" t="n">
        <x:f>'Source Data'!H314</x:f>
        <x:v>4664</x:v>
      </x:c>
      <x:c r="J314" s="14" t="n">
        <x:f>I314/H314-1</x:f>
        <x:v>-0.14201618837380425</x:v>
      </x:c>
      <x:c r="K314" s="8" t="n">
        <x:f>H314*('Source Data'!H$8/'Source Data'!F$8)*EXP(F314*('Source Data'!H$7-'Source Data'!F$7))</x:f>
        <x:v>6095.136596100977</x:v>
      </x:c>
      <x:c r="L314" s="14" t="n">
        <x:f>I314/K314-1</x:f>
        <x:v>-0.23479975773085493</x:v>
      </x:c>
      <x:c r="M314" s="8" t="n">
        <x:f>'Source Data'!G314</x:f>
        <x:v>5188</x:v>
      </x:c>
      <x:c r="N314" s="8" t="n">
        <x:f>M314*('Source Data'!H$8/'Source Data'!G$8)*EXP(F314*('Source Data'!H$7-'Source Data'!G$7))</x:f>
        <x:v>5666.152768537113</x:v>
      </x:c>
      <x:c r="O314" s="14" t="n">
        <x:f>I314/N314-1</x:f>
        <x:v>-0.1768665282203199</x:v>
      </x:c>
      <x:c r="P314" s="2" t="str"/>
    </x:row>
    <x:row r="315">
      <x:c r="A315" s="2" t="str">
        <x:f>'Source Data'!A315</x:f>
        <x:v>334118</x:v>
      </x:c>
      <x:c r="B315" s="2" t="str">
        <x:f>'Source Data'!B315</x:f>
        <x:v>Computer Terminal and Other Computer Peripheral Equipment Manufacturing</x:v>
      </x:c>
      <x:c r="C315" s="13" t="n">
        <x:f>LN('Source Data'!C315/'Source Data'!C$8)</x:f>
        <x:v>-7.53952013513874</x:v>
      </x:c>
      <x:c r="D315" s="13" t="n">
        <x:f>LN('Source Data'!D315/'Source Data'!D$8)</x:f>
        <x:v>-7.808701740170694</x:v>
      </x:c>
      <x:c r="E315" s="13" t="n">
        <x:f>LN('Source Data'!E315/'Source Data'!E$8)</x:f>
        <x:v>-7.792374930497102</x:v>
      </x:c>
      <x:c r="F315" s="13" t="n">
        <x:f>SLOPE(C315:E315,'Source Data'!C$7:E$7)</x:f>
        <x:v>-0.1264273976791812</x:v>
      </x:c>
      <x:c r="G315" s="14" t="n">
        <x:f>EXP(F315)-1</x:f>
        <x:v>-0.11876187284574868</x:v>
      </x:c>
      <x:c r="H315" s="8" t="n">
        <x:f>'Source Data'!F315</x:f>
        <x:v>5298</x:v>
      </x:c>
      <x:c r="I315" s="8" t="n">
        <x:f>'Source Data'!H315</x:f>
        <x:v>4507</x:v>
      </x:c>
      <x:c r="J315" s="14" t="n">
        <x:f>I315/H315-1</x:f>
        <x:v>-0.14930162325405816</x:v>
      </x:c>
      <x:c r="K315" s="8" t="n">
        <x:f>H315*('Source Data'!H$8/'Source Data'!F$8)*EXP(F315*('Source Data'!H$7-'Source Data'!F$7))</x:f>
        <x:v>3251.797125581796</x:v>
      </x:c>
      <x:c r="L315" s="14" t="n">
        <x:f>I315/K315-1</x:f>
        <x:v>0.38600282426709787</x:v>
      </x:c>
      <x:c r="M315" s="8" t="n">
        <x:f>'Source Data'!G315</x:f>
        <x:v>5362</x:v>
      </x:c>
      <x:c r="N315" s="8" t="n">
        <x:f>M315*('Source Data'!H$8/'Source Data'!G$8)*EXP(F315*('Source Data'!H$7-'Source Data'!G$7))</x:f>
        <x:v>3726.882857925467</x:v>
      </x:c>
      <x:c r="O315" s="14" t="n">
        <x:f>I315/N315-1</x:f>
        <x:v>0.20932161589558995</x:v>
      </x:c>
      <x:c r="P315" s="2" t="str"/>
    </x:row>
    <x:row r="316">
      <x:c r="A316" s="2" t="str">
        <x:f>'Source Data'!A316</x:f>
        <x:v>334210</x:v>
      </x:c>
      <x:c r="B316" s="2" t="str">
        <x:f>'Source Data'!B316</x:f>
        <x:v>Telephone Apparatus Manufacturing</x:v>
      </x:c>
      <x:c r="C316" s="13" t="n">
        <x:f>LN('Source Data'!C316/'Source Data'!C$8)</x:f>
        <x:v>-8.562737347412606</x:v>
      </x:c>
      <x:c r="D316" s="13" t="n">
        <x:f>LN('Source Data'!D316/'Source Data'!D$8)</x:f>
        <x:v>-8.770734910714557</x:v>
      </x:c>
      <x:c r="E316" s="13" t="n">
        <x:f>LN('Source Data'!E316/'Source Data'!E$8)</x:f>
        <x:v>-9.020619971374078</x:v>
      </x:c>
      <x:c r="F316" s="13" t="n">
        <x:f>SLOPE(C316:E316,'Source Data'!C$7:E$7)</x:f>
        <x:v>-0.2289413119807362</x:v>
      </x:c>
      <x:c r="G316" s="14" t="n">
        <x:f>EXP(F316)-1</x:f>
        <x:v>-0.20462478886891533</x:v>
      </x:c>
      <x:c r="H316" s="8" t="n">
        <x:f>'Source Data'!F316</x:f>
        <x:v>1297</x:v>
      </x:c>
      <x:c r="I316" s="8" t="n">
        <x:f>'Source Data'!H316</x:f>
        <x:v>900</x:v>
      </x:c>
      <x:c r="J316" s="14" t="n">
        <x:f>I316/H316-1</x:f>
        <x:v>-0.30609097918272943</x:v>
      </x:c>
      <x:c r="K316" s="8" t="n">
        <x:f>H316*('Source Data'!H$8/'Source Data'!F$8)*EXP(F316*('Source Data'!H$7-'Source Data'!F$7))</x:f>
        <x:v>528.2829030739724</x:v>
      </x:c>
      <x:c r="L316" s="14" t="n">
        <x:f>I316/K316-1</x:f>
        <x:v>0.7036326459991042</x:v>
      </x:c>
      <x:c r="M316" s="8" t="n">
        <x:f>'Source Data'!G316</x:f>
        <x:v>1148</x:v>
      </x:c>
      <x:c r="N316" s="8" t="n">
        <x:f>M316*('Source Data'!H$8/'Source Data'!G$8)*EXP(F316*('Source Data'!H$7-'Source Data'!G$7))</x:f>
        <x:v>586.6744014124728</x:v>
      </x:c>
      <x:c r="O316" s="14" t="n">
        <x:f>I316/N316-1</x:f>
        <x:v>0.5340706835566149</x:v>
      </x:c>
      <x:c r="P316" s="2" t="str"/>
    </x:row>
    <x:row r="317">
      <x:c r="A317" s="2" t="str">
        <x:f>'Source Data'!A317</x:f>
        <x:v>334220</x:v>
      </x:c>
      <x:c r="B317" s="2" t="str">
        <x:f>'Source Data'!B317</x:f>
        <x:v>Radio and Television Broadcasting and Wireless Communications Equipment Manufacturing</x:v>
      </x:c>
      <x:c r="C317" s="13" t="n">
        <x:f>LN('Source Data'!C317/'Source Data'!C$8)</x:f>
        <x:v>-6.866648186296105</x:v>
      </x:c>
      <x:c r="D317" s="13" t="n">
        <x:f>LN('Source Data'!D317/'Source Data'!D$8)</x:f>
        <x:v>-6.9106291724203865</x:v>
      </x:c>
      <x:c r="E317" s="13" t="n">
        <x:f>LN('Source Data'!E317/'Source Data'!E$8)</x:f>
        <x:v>-6.98979837488871</x:v>
      </x:c>
      <x:c r="F317" s="13" t="n">
        <x:f>SLOPE(C317:E317,'Source Data'!C$7:E$7)</x:f>
        <x:v>-0.06157509429630226</x:v>
      </x:c>
      <x:c r="G317" s="14" t="n">
        <x:f>EXP(F317)-1</x:f>
        <x:v>-0.05971766675197654</x:v>
      </x:c>
      <x:c r="H317" s="8" t="n">
        <x:f>'Source Data'!F317</x:f>
        <x:v>13365</x:v>
      </x:c>
      <x:c r="I317" s="8" t="n">
        <x:f>'Source Data'!H317</x:f>
        <x:v>11910</x:v>
      </x:c>
      <x:c r="J317" s="14" t="n">
        <x:f>I317/H317-1</x:f>
        <x:v>-0.10886644219977548</x:v>
      </x:c>
      <x:c r="K317" s="8" t="n">
        <x:f>H317*('Source Data'!H$8/'Source Data'!F$8)*EXP(F317*('Source Data'!H$7-'Source Data'!F$7))</x:f>
        <x:v>10632.623649878504</x:v>
      </x:c>
      <x:c r="L317" s="14" t="n">
        <x:f>I317/K317-1</x:f>
        <x:v>0.1201374554563579</x:v>
      </x:c>
      <x:c r="M317" s="8" t="n">
        <x:f>'Source Data'!G317</x:f>
        <x:v>13012</x:v>
      </x:c>
      <x:c r="N317" s="8" t="n">
        <x:f>M317*('Source Data'!H$8/'Source Data'!G$8)*EXP(F317*('Source Data'!H$7-'Source Data'!G$7))</x:f>
        <x:v>10986.465084219017</x:v>
      </x:c>
      <x:c r="O317" s="14" t="n">
        <x:f>I317/N317-1</x:f>
        <x:v>0.0840611523999244</x:v>
      </x:c>
      <x:c r="P317" s="2" t="str"/>
    </x:row>
    <x:row r="318">
      <x:c r="A318" s="2" t="str">
        <x:f>'Source Data'!A318</x:f>
        <x:v>334290</x:v>
      </x:c>
      <x:c r="B318" s="2" t="str">
        <x:f>'Source Data'!B318</x:f>
        <x:v>Other Communications Equipment Manufacturing</x:v>
      </x:c>
      <x:c r="C318" s="13" t="n">
        <x:f>LN('Source Data'!C318/'Source Data'!C$8)</x:f>
        <x:v>-8.818823302456128</x:v>
      </x:c>
      <x:c r="D318" s="13" t="n">
        <x:f>LN('Source Data'!D318/'Source Data'!D$8)</x:f>
        <x:v>-8.793919185878087</x:v>
      </x:c>
      <x:c r="E318" s="13" t="n">
        <x:f>LN('Source Data'!E318/'Source Data'!E$8)</x:f>
        <x:v>-8.873082071091709</x:v>
      </x:c>
      <x:c r="F318" s="13" t="n">
        <x:f>SLOPE(C318:E318,'Source Data'!C$7:E$7)</x:f>
        <x:v>-0.02712938431779044</x:v>
      </x:c>
      <x:c r="G318" s="14" t="n">
        <x:f>EXP(F318)-1</x:f>
        <x:v>-0.026764688009032422</x:v>
      </x:c>
      <x:c r="H318" s="8" t="n">
        <x:f>'Source Data'!F318</x:f>
        <x:v>2558</x:v>
      </x:c>
      <x:c r="I318" s="8" t="n">
        <x:f>'Source Data'!H318</x:f>
        <x:v>2267</x:v>
      </x:c>
      <x:c r="J318" s="14" t="n">
        <x:f>I318/H318-1</x:f>
        <x:v>-0.11376075058639568</x:v>
      </x:c>
      <x:c r="K318" s="8" t="n">
        <x:f>H318*('Source Data'!H$8/'Source Data'!F$8)*EXP(F318*('Source Data'!H$7-'Source Data'!F$7))</x:f>
        <x:v>2335.6638878420135</x:v>
      </x:c>
      <x:c r="L318" s="14" t="n">
        <x:f>I318/K318-1</x:f>
        <x:v>-0.02939801749705262</x:v>
      </x:c>
      <x:c r="M318" s="8" t="n">
        <x:f>'Source Data'!G318</x:f>
        <x:v>2428</x:v>
      </x:c>
      <x:c r="N318" s="8" t="n">
        <x:f>M318*('Source Data'!H$8/'Source Data'!G$8)*EXP(F318*('Source Data'!H$7-'Source Data'!G$7))</x:f>
        <x:v>2273.2193958633443</x:v>
      </x:c>
      <x:c r="O318" s="14" t="n">
        <x:f>I318/N318-1</x:f>
        <x:v>-0.002735941754967386</x:v>
      </x:c>
      <x:c r="P318" s="2" t="str"/>
    </x:row>
    <x:row r="319">
      <x:c r="A319" s="2" t="str">
        <x:f>'Source Data'!A319</x:f>
        <x:v>334310</x:v>
      </x:c>
      <x:c r="B319" s="2" t="str">
        <x:f>'Source Data'!B319</x:f>
        <x:v>Audio and Video Equipment Manufacturing</x:v>
      </x:c>
      <x:c r="C319" s="13" t="n">
        <x:f>LN('Source Data'!C319/'Source Data'!C$8)</x:f>
        <x:v>-7.861203609037765</x:v>
      </x:c>
      <x:c r="D319" s="13" t="n">
        <x:f>LN('Source Data'!D319/'Source Data'!D$8)</x:f>
        <x:v>-7.778675432031859</x:v>
      </x:c>
      <x:c r="E319" s="13" t="n">
        <x:f>LN('Source Data'!E319/'Source Data'!E$8)</x:f>
        <x:v>-7.762708680549305</x:v>
      </x:c>
      <x:c r="F319" s="13" t="n">
        <x:f>SLOPE(C319:E319,'Source Data'!C$7:E$7)</x:f>
        <x:v>0.04924746424422999</x:v>
      </x:c>
      <x:c r="G319" s="14" t="n">
        <x:f>EXP(F319)-1</x:f>
        <x:v>0.05048027488503859</x:v>
      </x:c>
      <x:c r="H319" s="8" t="n">
        <x:f>'Source Data'!F319</x:f>
        <x:v>6249</x:v>
      </x:c>
      <x:c r="I319" s="8" t="n">
        <x:f>'Source Data'!H319</x:f>
        <x:v>5280</x:v>
      </x:c>
      <x:c r="J319" s="14" t="n">
        <x:f>I319/H319-1</x:f>
        <x:v>-0.15506481036965913</x:v>
      </x:c>
      <x:c r="K319" s="8" t="n">
        <x:f>H319*('Source Data'!H$8/'Source Data'!F$8)*EXP(F319*('Source Data'!H$7-'Source Data'!F$7))</x:f>
        <x:v>7744.627003229773</x:v>
      </x:c>
      <x:c r="L319" s="14" t="n">
        <x:f>I319/K319-1</x:f>
        <x:v>-0.31823701802577964</x:v>
      </x:c>
      <x:c r="M319" s="8" t="n">
        <x:f>'Source Data'!G319</x:f>
        <x:v>6111</x:v>
      </x:c>
      <x:c r="N319" s="8" t="n">
        <x:f>M319*('Source Data'!H$8/'Source Data'!G$8)*EXP(F319*('Source Data'!H$7-'Source Data'!G$7))</x:f>
        <x:v>7194.739695881537</x:v>
      </x:c>
      <x:c r="O319" s="14" t="n">
        <x:f>I319/N319-1</x:f>
        <x:v>-0.2661305032310739</x:v>
      </x:c>
      <x:c r="P319" s="2" t="str"/>
    </x:row>
    <x:row r="320">
      <x:c r="A320" s="2" t="str">
        <x:f>'Source Data'!A320</x:f>
        <x:v>334412</x:v>
      </x:c>
      <x:c r="B320" s="2" t="str">
        <x:f>'Source Data'!B320</x:f>
        <x:v>Bare Printed Circuit Board Manufacturing</x:v>
      </x:c>
      <x:c r="C320" s="13" t="n">
        <x:f>LN('Source Data'!C320/'Source Data'!C$8)</x:f>
        <x:v>-7.514050982987656</x:v>
      </x:c>
      <x:c r="D320" s="13" t="n">
        <x:f>LN('Source Data'!D320/'Source Data'!D$8)</x:f>
        <x:v>-7.520935467828323</x:v>
      </x:c>
      <x:c r="E320" s="13" t="n">
        <x:f>LN('Source Data'!E320/'Source Data'!E$8)</x:f>
        <x:v>-7.535685793633413</x:v>
      </x:c>
      <x:c r="F320" s="13" t="n">
        <x:f>SLOPE(C320:E320,'Source Data'!C$7:E$7)</x:f>
        <x:v>-0.01081740532287867</x:v>
      </x:c>
      <x:c r="G320" s="14" t="n">
        <x:f>EXP(F320)-1</x:f>
        <x:v>-0.010759107593332762</x:v>
      </x:c>
      <x:c r="H320" s="8" t="n">
        <x:f>'Source Data'!F320</x:f>
        <x:v>7410</x:v>
      </x:c>
      <x:c r="I320" s="8" t="n">
        <x:f>'Source Data'!H320</x:f>
        <x:v>8046</x:v>
      </x:c>
      <x:c r="J320" s="14" t="n">
        <x:f>I320/H320-1</x:f>
        <x:v>0.08582995951417005</x:v>
      </x:c>
      <x:c r="K320" s="8" t="n">
        <x:f>H320*('Source Data'!H$8/'Source Data'!F$8)*EXP(F320*('Source Data'!H$7-'Source Data'!F$7))</x:f>
        <x:v>7222.1220547104585</x:v>
      </x:c>
      <x:c r="L320" s="14" t="n">
        <x:f>I320/K320-1</x:f>
        <x:v>0.11407698998276916</x:v>
      </x:c>
      <x:c r="M320" s="8" t="n">
        <x:f>'Source Data'!G320</x:f>
        <x:v>7647</x:v>
      </x:c>
      <x:c r="N320" s="8" t="n">
        <x:f>M320*('Source Data'!H$8/'Source Data'!G$8)*EXP(F320*('Source Data'!H$7-'Source Data'!G$7))</x:f>
        <x:v>7518.589400600778</x:v>
      </x:c>
      <x:c r="O320" s="14" t="n">
        <x:f>I320/N320-1</x:f>
        <x:v>0.07014754647422006</x:v>
      </x:c>
      <x:c r="P320" s="2" t="str"/>
    </x:row>
    <x:row r="321">
      <x:c r="A321" s="2" t="str">
        <x:f>'Source Data'!A321</x:f>
        <x:v>334413</x:v>
      </x:c>
      <x:c r="B321" s="2" t="str">
        <x:f>'Source Data'!B321</x:f>
        <x:v>Semiconductor and Related Device Manufacturing</x:v>
      </x:c>
      <x:c r="C321" s="13" t="n">
        <x:f>LN('Source Data'!C321/'Source Data'!C$8)</x:f>
        <x:v>-5.736158494503315</x:v>
      </x:c>
      <x:c r="D321" s="13" t="n">
        <x:f>LN('Source Data'!D321/'Source Data'!D$8)</x:f>
        <x:v>-5.771109827335721</x:v>
      </x:c>
      <x:c r="E321" s="13" t="n">
        <x:f>LN('Source Data'!E321/'Source Data'!E$8)</x:f>
        <x:v>-5.852130915309728</x:v>
      </x:c>
      <x:c r="F321" s="13" t="n">
        <x:f>SLOPE(C321:E321,'Source Data'!C$7:E$7)</x:f>
        <x:v>-0.057986210403206506</x:v>
      </x:c>
      <x:c r="G321" s="14" t="n">
        <x:f>EXP(F321)-1</x:f>
        <x:v>-0.056337039921192766</x:v>
      </x:c>
      <x:c r="H321" s="8" t="n">
        <x:f>'Source Data'!F321</x:f>
        <x:v>44329</x:v>
      </x:c>
      <x:c r="I321" s="8" t="n">
        <x:f>'Source Data'!H321</x:f>
        <x:v>47468</x:v>
      </x:c>
      <x:c r="J321" s="14" t="n">
        <x:f>I321/H321-1</x:f>
        <x:v>0.07081143269642887</x:v>
      </x:c>
      <x:c r="K321" s="8" t="n">
        <x:f>H321*('Source Data'!H$8/'Source Data'!F$8)*EXP(F321*('Source Data'!H$7-'Source Data'!F$7))</x:f>
        <x:v>35776.17803501905</x:v>
      </x:c>
      <x:c r="L321" s="14" t="n">
        <x:f>I321/K321-1</x:f>
        <x:v>0.3268046674392262</x:v>
      </x:c>
      <x:c r="M321" s="8" t="n">
        <x:f>'Source Data'!G321</x:f>
        <x:v>45826</x:v>
      </x:c>
      <x:c r="N321" s="8" t="n">
        <x:f>M321*('Source Data'!H$8/'Source Data'!G$8)*EXP(F321*('Source Data'!H$7-'Source Data'!G$7))</x:f>
        <x:v>39111.256946208465</x:v>
      </x:c>
      <x:c r="O321" s="14" t="n">
        <x:f>I321/N321-1</x:f>
        <x:v>0.21366592910284</x:v>
      </x:c>
      <x:c r="P321" s="2" t="str"/>
    </x:row>
    <x:row r="322">
      <x:c r="A322" s="2" t="str">
        <x:f>'Source Data'!A322</x:f>
        <x:v>334416</x:v>
      </x:c>
      <x:c r="B322" s="2" t="str">
        <x:f>'Source Data'!B322</x:f>
        <x:v>Capacitor, Resistor, Coil, Transformer, and Other Inductor Manufacturing</x:v>
      </x:c>
      <x:c r="C322" s="13" t="n">
        <x:f>LN('Source Data'!C322/'Source Data'!C$8)</x:f>
        <x:v>-8.606141092387288</x:v>
      </x:c>
      <x:c r="D322" s="13" t="n">
        <x:f>LN('Source Data'!D322/'Source Data'!D$8)</x:f>
        <x:v>-8.629192501310232</x:v>
      </x:c>
      <x:c r="E322" s="13" t="n">
        <x:f>LN('Source Data'!E322/'Source Data'!E$8)</x:f>
        <x:v>-8.65696554970382</x:v>
      </x:c>
      <x:c r="F322" s="13" t="n">
        <x:f>SLOPE(C322:E322,'Source Data'!C$7:E$7)</x:f>
        <x:v>-0.025412228658265867</x:v>
      </x:c>
      <x:c r="G322" s="14" t="n">
        <x:f>EXP(F322)-1</x:f>
        <x:v>-0.025092055811072322</x:v>
      </x:c>
      <x:c r="H322" s="8" t="n">
        <x:f>'Source Data'!F322</x:f>
        <x:v>2493</x:v>
      </x:c>
      <x:c r="I322" s="8" t="n">
        <x:f>'Source Data'!H322</x:f>
        <x:v>2099</x:v>
      </x:c>
      <x:c r="J322" s="14" t="n">
        <x:f>I322/H322-1</x:f>
        <x:v>-0.15804251905334943</x:v>
      </x:c>
      <x:c r="K322" s="8" t="n">
        <x:f>H322*('Source Data'!H$8/'Source Data'!F$8)*EXP(F322*('Source Data'!H$7-'Source Data'!F$7))</x:f>
        <x:v>2292.002512388266</x:v>
      </x:c>
      <x:c r="L322" s="14" t="n">
        <x:f>I322/K322-1</x:f>
        <x:v>-0.08420693753391983</x:v>
      </x:c>
      <x:c r="M322" s="8" t="n">
        <x:f>'Source Data'!G322</x:f>
        <x:v>2449</x:v>
      </x:c>
      <x:c r="N322" s="8" t="n">
        <x:f>M322*('Source Data'!H$8/'Source Data'!G$8)*EXP(F322*('Source Data'!H$7-'Source Data'!G$7))</x:f>
        <x:v>2304.7228591111584</x:v>
      </x:c>
      <x:c r="O322" s="14" t="n">
        <x:f>I322/N322-1</x:f>
        <x:v>-0.08926143041358892</x:v>
      </x:c>
      <x:c r="P322" s="2" t="str"/>
    </x:row>
    <x:row r="323">
      <x:c r="A323" s="2" t="str">
        <x:f>'Source Data'!A323</x:f>
        <x:v>334417</x:v>
      </x:c>
      <x:c r="B323" s="2" t="str">
        <x:f>'Source Data'!B323</x:f>
        <x:v>Electronic Connector Manufacturing</x:v>
      </x:c>
      <x:c r="C323" s="13" t="n">
        <x:f>LN('Source Data'!C323/'Source Data'!C$8)</x:f>
        <x:v>-7.93581447282894</x:v>
      </x:c>
      <x:c r="D323" s="13" t="n">
        <x:f>LN('Source Data'!D323/'Source Data'!D$8)</x:f>
        <x:v>-7.91522306552993</x:v>
      </x:c>
      <x:c r="E323" s="13" t="n">
        <x:f>LN('Source Data'!E323/'Source Data'!E$8)</x:f>
        <x:v>-7.836634358345748</x:v>
      </x:c>
      <x:c r="F323" s="13" t="n">
        <x:f>SLOPE(C323:E323,'Source Data'!C$7:E$7)</x:f>
        <x:v>0.04959005724159615</x:v>
      </x:c>
      <x:c r="G323" s="14" t="n">
        <x:f>EXP(F323)-1</x:f>
        <x:v>0.05084022372554098</x:v>
      </x:c>
      <x:c r="H323" s="8" t="n">
        <x:f>'Source Data'!F323</x:f>
        <x:v>5791</x:v>
      </x:c>
      <x:c r="I323" s="8" t="n">
        <x:f>'Source Data'!H323</x:f>
        <x:v>6338</x:v>
      </x:c>
      <x:c r="J323" s="14" t="n">
        <x:f>I323/H323-1</x:f>
        <x:v>0.09445691590398897</x:v>
      </x:c>
      <x:c r="K323" s="8" t="n">
        <x:f>H323*('Source Data'!H$8/'Source Data'!F$8)*EXP(F323*('Source Data'!H$7-'Source Data'!F$7))</x:f>
        <x:v>7186.85183306111</x:v>
      </x:c>
      <x:c r="L323" s="14" t="n">
        <x:f>I323/K323-1</x:f>
        <x:v>-0.11811177588999444</x:v>
      </x:c>
      <x:c r="M323" s="8" t="n">
        <x:f>'Source Data'!G323</x:f>
        <x:v>5840</x:v>
      </x:c>
      <x:c r="N323" s="8" t="n">
        <x:f>M323*('Source Data'!H$8/'Source Data'!G$8)*EXP(F323*('Source Data'!H$7-'Source Data'!G$7))</x:f>
        <x:v>6882.7502047309</x:v>
      </x:c>
      <x:c r="O323" s="14" t="n">
        <x:f>I323/N323-1</x:f>
        <x:v>-0.07914717061160559</x:v>
      </x:c>
      <x:c r="P323" s="2" t="str"/>
    </x:row>
    <x:row r="324">
      <x:c r="A324" s="2" t="str">
        <x:f>'Source Data'!A324</x:f>
        <x:v>334418</x:v>
      </x:c>
      <x:c r="B324" s="2" t="str">
        <x:f>'Source Data'!B324</x:f>
        <x:v>Printed Circuit Assembly (Electronic Assembly) Manufacturing</x:v>
      </x:c>
      <x:c r="C324" s="13" t="n">
        <x:f>LN('Source Data'!C324/'Source Data'!C$8)</x:f>
        <x:v>-7.302521964094139</x:v>
      </x:c>
      <x:c r="D324" s="13" t="n">
        <x:f>LN('Source Data'!D324/'Source Data'!D$8)</x:f>
        <x:v>-7.2010361357880175</x:v>
      </x:c>
      <x:c r="E324" s="13" t="n">
        <x:f>LN('Source Data'!E324/'Source Data'!E$8)</x:f>
        <x:v>-7.239946367227785</x:v>
      </x:c>
      <x:c r="F324" s="13" t="n">
        <x:f>SLOPE(C324:E324,'Source Data'!C$7:E$7)</x:f>
        <x:v>0.031287798433177194</x:v>
      </x:c>
      <x:c r="G324" s="14" t="n">
        <x:f>EXP(F324)-1</x:f>
        <x:v>0.031782406520393325</x:v>
      </x:c>
      <x:c r="H324" s="8" t="n">
        <x:f>'Source Data'!F324</x:f>
        <x:v>10253</x:v>
      </x:c>
      <x:c r="I324" s="8" t="n">
        <x:f>'Source Data'!H324</x:f>
        <x:v>8982</x:v>
      </x:c>
      <x:c r="J324" s="14" t="n">
        <x:f>I324/H324-1</x:f>
        <x:v>-0.12396371793621375</x:v>
      </x:c>
      <x:c r="K324" s="8" t="n">
        <x:f>H324*('Source Data'!H$8/'Source Data'!F$8)*EXP(F324*('Source Data'!H$7-'Source Data'!F$7))</x:f>
        <x:v>11826.106991736913</x:v>
      </x:c>
      <x:c r="L324" s="14" t="n">
        <x:f>I324/K324-1</x:f>
        <x:v>-0.240493933779234</x:v>
      </x:c>
      <x:c r="M324" s="8" t="n">
        <x:f>'Source Data'!G324</x:f>
        <x:v>10119</x:v>
      </x:c>
      <x:c r="N324" s="8" t="n">
        <x:f>M324*('Source Data'!H$8/'Source Data'!G$8)*EXP(F324*('Source Data'!H$7-'Source Data'!G$7))</x:f>
        <x:v>11288.625011990172</x:v>
      </x:c>
      <x:c r="O324" s="14" t="n">
        <x:f>I324/N324-1</x:f>
        <x:v>-0.20433179501845433</x:v>
      </x:c>
      <x:c r="P324" s="2" t="str"/>
    </x:row>
    <x:row r="325">
      <x:c r="A325" s="2" t="str">
        <x:f>'Source Data'!A325</x:f>
        <x:v>334419</x:v>
      </x:c>
      <x:c r="B325" s="2" t="str">
        <x:f>'Source Data'!B325</x:f>
        <x:v>Other Electronic Component Manufacturing</x:v>
      </x:c>
      <x:c r="C325" s="13" t="n">
        <x:f>LN('Source Data'!C325/'Source Data'!C$8)</x:f>
        <x:v>-6.907635282977195</x:v>
      </x:c>
      <x:c r="D325" s="13" t="n">
        <x:f>LN('Source Data'!D325/'Source Data'!D$8)</x:f>
        <x:v>-6.917374792712978</x:v>
      </x:c>
      <x:c r="E325" s="13" t="n">
        <x:f>LN('Source Data'!E325/'Source Data'!E$8)</x:f>
        <x:v>-6.954890691558223</x:v>
      </x:c>
      <x:c r="F325" s="13" t="n">
        <x:f>SLOPE(C325:E325,'Source Data'!C$7:E$7)</x:f>
        <x:v>-0.02362770429051375</x:v>
      </x:c>
      <x:c r="G325" s="14" t="n">
        <x:f>EXP(F325)-1</x:f>
        <x:v>-0.023350755594119144</x:v>
      </x:c>
      <x:c r="H325" s="8" t="n">
        <x:f>'Source Data'!F325</x:f>
        <x:v>13604</x:v>
      </x:c>
      <x:c r="I325" s="8" t="n">
        <x:f>'Source Data'!H325</x:f>
        <x:v>12433</x:v>
      </x:c>
      <x:c r="J325" s="14" t="n">
        <x:f>I325/H325-1</x:f>
        <x:v>-0.08607762422816823</x:v>
      </x:c>
      <x:c r="K325" s="8" t="n">
        <x:f>H325*('Source Data'!H$8/'Source Data'!F$8)*EXP(F325*('Source Data'!H$7-'Source Data'!F$7))</x:f>
        <x:v>12596.777850232153</x:v>
      </x:c>
      <x:c r="L325" s="14" t="n">
        <x:f>I325/K325-1</x:f>
        <x:v>-0.0130015669228567</x:v>
      </x:c>
      <x:c r="M325" s="8" t="n">
        <x:f>'Source Data'!G325</x:f>
        <x:v>14014</x:v>
      </x:c>
      <x:c r="N325" s="8" t="n">
        <x:f>M325*('Source Data'!H$8/'Source Data'!G$8)*EXP(F325*('Source Data'!H$7-'Source Data'!G$7))</x:f>
        <x:v>13259.192157581165</x:v>
      </x:c>
      <x:c r="O325" s="14" t="n">
        <x:f>I325/N325-1</x:f>
        <x:v>-0.06231089705633197</x:v>
      </x:c>
      <x:c r="P325" s="2" t="str"/>
    </x:row>
    <x:row r="326">
      <x:c r="A326" s="2" t="str">
        <x:f>'Source Data'!A326</x:f>
        <x:v>334510</x:v>
      </x:c>
      <x:c r="B326" s="2" t="str">
        <x:f>'Source Data'!B326</x:f>
        <x:v>Electromedical and Electrotherapeutic Apparatus Manufacturing</x:v>
      </x:c>
      <x:c r="C326" s="13" t="n">
        <x:f>LN('Source Data'!C326/'Source Data'!C$8)</x:f>
        <x:v>-6.711854946950045</x:v>
      </x:c>
      <x:c r="D326" s="13" t="n">
        <x:f>LN('Source Data'!D326/'Source Data'!D$8)</x:f>
        <x:v>-6.696817634547507</x:v>
      </x:c>
      <x:c r="E326" s="13" t="n">
        <x:f>LN('Source Data'!E326/'Source Data'!E$8)</x:f>
        <x:v>-6.648056759594112</x:v>
      </x:c>
      <x:c r="F326" s="13" t="n">
        <x:f>SLOPE(C326:E326,'Source Data'!C$7:E$7)</x:f>
        <x:v>0.03189909367796684</x:v>
      </x:c>
      <x:c r="G326" s="14" t="n">
        <x:f>EXP(F326)-1</x:f>
        <x:v>0.03241332301763733</x:v>
      </x:c>
      <x:c r="H326" s="8" t="n">
        <x:f>'Source Data'!F326</x:f>
        <x:v>22150</x:v>
      </x:c>
      <x:c r="I326" s="8" t="n">
        <x:f>'Source Data'!H326</x:f>
        <x:v>20596</x:v>
      </x:c>
      <x:c r="J326" s="14" t="n">
        <x:f>I326/H326-1</x:f>
        <x:v>-0.07015801354401807</x:v>
      </x:c>
      <x:c r="K326" s="8" t="n">
        <x:f>H326*('Source Data'!H$8/'Source Data'!F$8)*EXP(F326*('Source Data'!H$7-'Source Data'!F$7))</x:f>
        <x:v>25610.99819713182</x:v>
      </x:c>
      <x:c r="L326" s="14" t="n">
        <x:f>I326/K326-1</x:f>
        <x:v>-0.1958142419335085</x:v>
      </x:c>
      <x:c r="M326" s="8" t="n">
        <x:f>'Source Data'!G326</x:f>
        <x:v>22085</x:v>
      </x:c>
      <x:c r="N326" s="8" t="n">
        <x:f>M326*('Source Data'!H$8/'Source Data'!G$8)*EXP(F326*('Source Data'!H$7-'Source Data'!G$7))</x:f>
        <x:v>24682.963495905922</x:v>
      </x:c>
      <x:c r="O326" s="14" t="n">
        <x:f>I326/N326-1</x:f>
        <x:v>-0.16557831463729278</x:v>
      </x:c>
      <x:c r="P326" s="2" t="str"/>
    </x:row>
    <x:row r="327">
      <x:c r="A327" s="2" t="str">
        <x:f>'Source Data'!A327</x:f>
        <x:v>334511</x:v>
      </x:c>
      <x:c r="B327" s="2" t="str">
        <x:f>'Source Data'!B327</x:f>
        <x:v>Search, Detection, Navigation, Guidance, Aeronautical, and Nautical System and Instrument Manufacturing</x:v>
      </x:c>
      <x:c r="C327" s="13" t="n">
        <x:f>LN('Source Data'!C327/'Source Data'!C$8)</x:f>
        <x:v>-6.262278276992752</x:v>
      </x:c>
      <x:c r="D327" s="13" t="n">
        <x:f>LN('Source Data'!D327/'Source Data'!D$8)</x:f>
        <x:v>-6.281503850625372</x:v>
      </x:c>
      <x:c r="E327" s="13" t="n">
        <x:f>LN('Source Data'!E327/'Source Data'!E$8)</x:f>
        <x:v>-6.23433311378706</x:v>
      </x:c>
      <x:c r="F327" s="13" t="n">
        <x:f>SLOPE(C327:E327,'Source Data'!C$7:E$7)</x:f>
        <x:v>0.013972581602845757</x:v>
      </x:c>
      <x:c r="G327" s="14" t="n">
        <x:f>EXP(F327)-1</x:f>
        <x:v>0.014070654365371915</x:v>
      </x:c>
      <x:c r="H327" s="8" t="n">
        <x:f>'Source Data'!F327</x:f>
        <x:v>26897</x:v>
      </x:c>
      <x:c r="I327" s="8" t="n">
        <x:f>'Source Data'!H327</x:f>
        <x:v>13256</x:v>
      </x:c>
      <x:c r="J327" s="14" t="n">
        <x:f>I327/H327-1</x:f>
        <x:v>-0.5071569319998512</x:v>
      </x:c>
      <x:c r="K327" s="8" t="n">
        <x:f>H327*('Source Data'!H$8/'Source Data'!F$8)*EXP(F327*('Source Data'!H$7-'Source Data'!F$7))</x:f>
        <x:v>28947.767569666223</x:v>
      </x:c>
      <x:c r="L327" s="14" t="n">
        <x:f>I327/K327-1</x:f>
        <x:v>-0.5420717688126426</x:v>
      </x:c>
      <x:c r="M327" s="8" t="n">
        <x:f>'Source Data'!G327</x:f>
        <x:v>26999</x:v>
      </x:c>
      <x:c r="N327" s="8" t="n">
        <x:f>M327*('Source Data'!H$8/'Source Data'!G$8)*EXP(F327*('Source Data'!H$7-'Source Data'!G$7))</x:f>
        <x:v>28595.086879987102</x:v>
      </x:c>
      <x:c r="O327" s="14" t="n">
        <x:f>I327/N327-1</x:f>
        <x:v>-0.5364238599576523</x:v>
      </x:c>
      <x:c r="P327" s="2" t="str"/>
    </x:row>
    <x:row r="328">
      <x:c r="A328" s="2" t="str">
        <x:f>'Source Data'!A328</x:f>
        <x:v>334512</x:v>
      </x:c>
      <x:c r="B328" s="2" t="str">
        <x:f>'Source Data'!B328</x:f>
        <x:v>Automatic Environmental Control Manufacturing for Residential, Commercial, and Appliance Use</x:v>
      </x:c>
      <x:c r="C328" s="13" t="n">
        <x:f>LN('Source Data'!C328/'Source Data'!C$8)</x:f>
        <x:v>-9.40698846849827</x:v>
      </x:c>
      <x:c r="D328" s="13" t="n">
        <x:f>LN('Source Data'!D328/'Source Data'!D$8)</x:f>
        <x:v>-9.502979409661329</x:v>
      </x:c>
      <x:c r="E328" s="13" t="n">
        <x:f>LN('Source Data'!E328/'Source Data'!E$8)</x:f>
        <x:v>-9.573449499625141</x:v>
      </x:c>
      <x:c r="F328" s="13" t="n">
        <x:f>SLOPE(C328:E328,'Source Data'!C$7:E$7)</x:f>
        <x:v>-0.08323051556343586</x:v>
      </x:c>
      <x:c r="G328" s="14" t="n">
        <x:f>EXP(F328)-1</x:f>
        <x:v>-0.07986098359246929</x:v>
      </x:c>
      <x:c r="H328" s="8" t="n">
        <x:f>'Source Data'!F328</x:f>
        <x:v>723</x:v>
      </x:c>
      <x:c r="I328" s="8" t="n">
        <x:f>'Source Data'!H328</x:f>
        <x:v>548</x:v>
      </x:c>
      <x:c r="J328" s="14" t="n">
        <x:f>I328/H328-1</x:f>
        <x:v>-0.24204702627939145</x:v>
      </x:c>
      <x:c r="K328" s="8" t="n">
        <x:f>H328*('Source Data'!H$8/'Source Data'!F$8)*EXP(F328*('Source Data'!H$7-'Source Data'!F$7))</x:f>
        <x:v>527.4611244999521</x:v>
      </x:c>
      <x:c r="L328" s="14" t="n">
        <x:f>I328/K328-1</x:f>
        <x:v>0.038939126593489304</x:v>
      </x:c>
      <x:c r="M328" s="8" t="n">
        <x:f>'Source Data'!G328</x:f>
        <x:v>776</x:v>
      </x:c>
      <x:c r="N328" s="8" t="n">
        <x:f>M328*('Source Data'!H$8/'Source Data'!G$8)*EXP(F328*('Source Data'!H$7-'Source Data'!G$7))</x:f>
        <x:v>613.9898002623488</x:v>
      </x:c>
      <x:c r="O328" s="14" t="n">
        <x:f>I328/N328-1</x:f>
        <x:v>-0.1074770301300646</x:v>
      </x:c>
      <x:c r="P328" s="2" t="str"/>
    </x:row>
    <x:row r="329">
      <x:c r="A329" s="2" t="str">
        <x:f>'Source Data'!A329</x:f>
        <x:v>334513</x:v>
      </x:c>
      <x:c r="B329" s="2" t="str">
        <x:f>'Source Data'!B329</x:f>
        <x:v>Instruments and Related Products Manufacturing for Measuring, Displaying, and Controlling Industrial Process Variables</x:v>
      </x:c>
      <x:c r="C329" s="13" t="n">
        <x:f>LN('Source Data'!C329/'Source Data'!C$8)</x:f>
        <x:v>-7.386535855594224</x:v>
      </x:c>
      <x:c r="D329" s="13" t="n">
        <x:f>LN('Source Data'!D329/'Source Data'!D$8)</x:f>
        <x:v>-7.420449150774447</x:v>
      </x:c>
      <x:c r="E329" s="13" t="n">
        <x:f>LN('Source Data'!E329/'Source Data'!E$8)</x:f>
        <x:v>-7.490270987771584</x:v>
      </x:c>
      <x:c r="F329" s="13" t="n">
        <x:f>SLOPE(C329:E329,'Source Data'!C$7:E$7)</x:f>
        <x:v>-0.05186756608868004</x:v>
      </x:c>
      <x:c r="G329" s="14" t="n">
        <x:f>EXP(F329)-1</x:f>
        <x:v>-0.050545401496761455</x:v>
      </x:c>
      <x:c r="H329" s="8" t="n">
        <x:f>'Source Data'!F329</x:f>
        <x:v>7566</x:v>
      </x:c>
      <x:c r="I329" s="8" t="n">
        <x:f>'Source Data'!H329</x:f>
        <x:v>6153</x:v>
      </x:c>
      <x:c r="J329" s="14" t="n">
        <x:f>I329/H329-1</x:f>
        <x:v>-0.18675654242664552</x:v>
      </x:c>
      <x:c r="K329" s="8" t="n">
        <x:f>H329*('Source Data'!H$8/'Source Data'!F$8)*EXP(F329*('Source Data'!H$7-'Source Data'!F$7))</x:f>
        <x:v>6257.509527872608</x:v>
      </x:c>
      <x:c r="L329" s="14" t="n">
        <x:f>I329/K329-1</x:f>
        <x:v>-0.016701457250219875</x:v>
      </x:c>
      <x:c r="M329" s="8" t="n">
        <x:f>'Source Data'!G329</x:f>
        <x:v>7449</x:v>
      </x:c>
      <x:c r="N329" s="8" t="n">
        <x:f>M329*('Source Data'!H$8/'Source Data'!G$8)*EXP(F329*('Source Data'!H$7-'Source Data'!G$7))</x:f>
        <x:v>6475.296768406126</x:v>
      </x:c>
      <x:c r="O329" s="14" t="n">
        <x:f>I329/N329-1</x:f>
        <x:v>-0.049773281431463756</x:v>
      </x:c>
      <x:c r="P329" s="2" t="str"/>
    </x:row>
    <x:row r="330">
      <x:c r="A330" s="2" t="str">
        <x:f>'Source Data'!A330</x:f>
        <x:v>334514</x:v>
      </x:c>
      <x:c r="B330" s="2" t="str">
        <x:f>'Source Data'!B330</x:f>
        <x:v>Totalizing Fluid Meter and Counting Device Manufacturing</x:v>
      </x:c>
      <x:c r="C330" s="13" t="n">
        <x:f>LN('Source Data'!C330/'Source Data'!C$8)</x:f>
        <x:v>-10.100135649058213</x:v>
      </x:c>
      <x:c r="D330" s="13" t="n">
        <x:f>LN('Source Data'!D330/'Source Data'!D$8)</x:f>
        <x:v>-10.004075555642713</x:v>
      </x:c>
      <x:c r="E330" s="13" t="n">
        <x:f>LN('Source Data'!E330/'Source Data'!E$8)</x:f>
        <x:v>-9.976020249706941</x:v>
      </x:c>
      <x:c r="F330" s="13" t="n">
        <x:f>SLOPE(C330:E330,'Source Data'!C$7:E$7)</x:f>
        <x:v>0.0620576996756359</x:v>
      </x:c>
      <x:c r="G330" s="14" t="n">
        <x:f>EXP(F330)-1</x:f>
        <x:v>0.06402373678134698</x:v>
      </x:c>
      <x:c r="H330" s="8" t="n">
        <x:f>'Source Data'!F330</x:f>
        <x:v>645</x:v>
      </x:c>
      <x:c r="I330" s="8" t="n">
        <x:f>'Source Data'!H330</x:f>
        <x:v>663</x:v>
      </x:c>
      <x:c r="J330" s="14" t="n">
        <x:f>I330/H330-1</x:f>
        <x:v>0.027906976744185963</x:v>
      </x:c>
      <x:c r="K330" s="8" t="n">
        <x:f>H330*('Source Data'!H$8/'Source Data'!F$8)*EXP(F330*('Source Data'!H$7-'Source Data'!F$7))</x:f>
        <x:v>841.4016402611464</x:v>
      </x:c>
      <x:c r="L330" s="14" t="n">
        <x:f>I330/K330-1</x:f>
        <x:v>-0.21202910919662077</x:v>
      </x:c>
      <x:c r="M330" s="8" t="n">
        <x:f>'Source Data'!G330</x:f>
        <x:v>663</x:v>
      </x:c>
      <x:c r="N330" s="8" t="n">
        <x:f>M330*('Source Data'!H$8/'Source Data'!G$8)*EXP(F330*('Source Data'!H$7-'Source Data'!G$7))</x:f>
        <x:v>811.1600890832076</x:v>
      </x:c>
      <x:c r="O330" s="14" t="n">
        <x:f>I330/N330-1</x:f>
        <x:v>-0.1826520942994886</x:v>
      </x:c>
      <x:c r="P330" s="2" t="str"/>
    </x:row>
    <x:row r="331">
      <x:c r="A331" s="2" t="str">
        <x:f>'Source Data'!A331</x:f>
        <x:v>334515</x:v>
      </x:c>
      <x:c r="B331" s="2" t="str">
        <x:f>'Source Data'!B331</x:f>
        <x:v>Instrument Manufacturing for Measuring and Testing Electricity and Electrical Signals</x:v>
      </x:c>
      <x:c r="C331" s="13" t="n">
        <x:f>LN('Source Data'!C331/'Source Data'!C$8)</x:f>
        <x:v>-7.263920501667291</x:v>
      </x:c>
      <x:c r="D331" s="13" t="n">
        <x:f>LN('Source Data'!D331/'Source Data'!D$8)</x:f>
        <x:v>-7.16367973779193</x:v>
      </x:c>
      <x:c r="E331" s="13" t="n">
        <x:f>LN('Source Data'!E331/'Source Data'!E$8)</x:f>
        <x:v>-7.175466395813583</x:v>
      </x:c>
      <x:c r="F331" s="13" t="n">
        <x:f>SLOPE(C331:E331,'Source Data'!C$7:E$7)</x:f>
        <x:v>0.04422705292685425</x:v>
      </x:c>
      <x:c r="G331" s="14" t="n">
        <x:f>EXP(F331)-1</x:f>
        <x:v>0.04521964812867507</x:v>
      </x:c>
      <x:c r="H331" s="8" t="n">
        <x:f>'Source Data'!F331</x:f>
        <x:v>12030</x:v>
      </x:c>
      <x:c r="I331" s="8" t="n">
        <x:f>'Source Data'!H331</x:f>
        <x:v>9673</x:v>
      </x:c>
      <x:c r="J331" s="14" t="n">
        <x:f>I331/H331-1</x:f>
        <x:v>-0.1959268495428096</x:v>
      </x:c>
      <x:c r="K331" s="8" t="n">
        <x:f>H331*('Source Data'!H$8/'Source Data'!F$8)*EXP(F331*('Source Data'!H$7-'Source Data'!F$7))</x:f>
        <x:v>14612.82761584645</x:v>
      </x:c>
      <x:c r="L331" s="14" t="n">
        <x:f>I331/K331-1</x:f>
        <x:v>-0.3380473475571285</x:v>
      </x:c>
      <x:c r="M331" s="8" t="n">
        <x:f>'Source Data'!G331</x:f>
        <x:v>11638</x:v>
      </x:c>
      <x:c r="N331" s="8" t="n">
        <x:f>M331*('Source Data'!H$8/'Source Data'!G$8)*EXP(F331*('Source Data'!H$7-'Source Data'!G$7))</x:f>
        <x:v>13497.090012516253</x:v>
      </x:c>
      <x:c r="O331" s="14" t="n">
        <x:f>I331/N331-1</x:f>
        <x:v>-0.28332699929911265</x:v>
      </x:c>
      <x:c r="P331" s="2" t="str"/>
    </x:row>
    <x:row r="332">
      <x:c r="A332" s="2" t="str">
        <x:f>'Source Data'!A332</x:f>
        <x:v>334516</x:v>
      </x:c>
      <x:c r="B332" s="2" t="str">
        <x:f>'Source Data'!B332</x:f>
        <x:v>Analytical Laboratory Instrument Manufacturing</x:v>
      </x:c>
      <x:c r="C332" s="13" t="n">
        <x:f>LN('Source Data'!C332/'Source Data'!C$8)</x:f>
        <x:v>-7.345704825650592</x:v>
      </x:c>
      <x:c r="D332" s="13" t="n">
        <x:f>LN('Source Data'!D332/'Source Data'!D$8)</x:f>
        <x:v>-7.380372150998272</x:v>
      </x:c>
      <x:c r="E332" s="13" t="n">
        <x:f>LN('Source Data'!E332/'Source Data'!E$8)</x:f>
        <x:v>-7.3621536955554765</x:v>
      </x:c>
      <x:c r="F332" s="13" t="n">
        <x:f>SLOPE(C332:E332,'Source Data'!C$7:E$7)</x:f>
        <x:v>-0.008224434952442294</x:v>
      </x:c>
      <x:c r="G332" s="14" t="n">
        <x:f>EXP(F332)-1</x:f>
        <x:v>-0.00819070681559253</x:v>
      </x:c>
      <x:c r="H332" s="8" t="n">
        <x:f>'Source Data'!F332</x:f>
        <x:v>15156</x:v>
      </x:c>
      <x:c r="I332" s="8" t="n">
        <x:f>'Source Data'!H332</x:f>
        <x:v>9890</x:v>
      </x:c>
      <x:c r="J332" s="14" t="n">
        <x:f>I332/H332-1</x:f>
        <x:v>-0.3474531538664555</x:v>
      </x:c>
      <x:c r="K332" s="8" t="n">
        <x:f>H332*('Source Data'!H$8/'Source Data'!F$8)*EXP(F332*('Source Data'!H$7-'Source Data'!F$7))</x:f>
        <x:v>14925.732823056234</x:v>
      </x:c>
      <x:c r="L332" s="14" t="n">
        <x:f>I332/K332-1</x:f>
        <x:v>-0.33738596843147184</x:v>
      </x:c>
      <x:c r="M332" s="8" t="n">
        <x:f>'Source Data'!G332</x:f>
        <x:v>14508</x:v>
      </x:c>
      <x:c r="N332" s="8" t="n">
        <x:f>M332*('Source Data'!H$8/'Source Data'!G$8)*EXP(F332*('Source Data'!H$7-'Source Data'!G$7))</x:f>
        <x:v>14375.771562111046</x:v>
      </x:c>
      <x:c r="O332" s="14" t="n">
        <x:f>I332/N332-1</x:f>
        <x:v>-0.312036925651615</x:v>
      </x:c>
      <x:c r="P332" s="2" t="str"/>
    </x:row>
    <x:row r="333">
      <x:c r="A333" s="2" t="str">
        <x:f>'Source Data'!A333</x:f>
        <x:v>334517</x:v>
      </x:c>
      <x:c r="B333" s="2" t="str">
        <x:f>'Source Data'!B333</x:f>
        <x:v>Irradiation Apparatus Manufacturing</x:v>
      </x:c>
      <x:c r="C333" s="13" t="n">
        <x:f>LN('Source Data'!C333/'Source Data'!C$8)</x:f>
        <x:v>-8.69360450965097</x:v>
      </x:c>
      <x:c r="D333" s="13" t="n">
        <x:f>LN('Source Data'!D333/'Source Data'!D$8)</x:f>
        <x:v>-8.725919139058636</x:v>
      </x:c>
      <x:c r="E333" s="13" t="n">
        <x:f>LN('Source Data'!E333/'Source Data'!E$8)</x:f>
        <x:v>-8.703632775702587</x:v>
      </x:c>
      <x:c r="F333" s="13" t="n">
        <x:f>SLOPE(C333:E333,'Source Data'!C$7:E$7)</x:f>
        <x:v>-0.005014133025808221</x:v>
      </x:c>
      <x:c r="G333" s="14" t="n">
        <x:f>EXP(F333)-1</x:f>
        <x:v>-0.005001583244993002</x:v>
      </x:c>
      <x:c r="H333" s="8" t="n">
        <x:f>'Source Data'!F333</x:f>
        <x:v>2654</x:v>
      </x:c>
      <x:c r="I333" s="8" t="n">
        <x:f>'Source Data'!H333</x:f>
        <x:v>2455</x:v>
      </x:c>
      <x:c r="J333" s="14" t="n">
        <x:f>I333/H333-1</x:f>
        <x:v>-0.07498116051243409</x:v>
      </x:c>
      <x:c r="K333" s="8" t="n">
        <x:f>H333*('Source Data'!H$8/'Source Data'!F$8)*EXP(F333*('Source Data'!H$7-'Source Data'!F$7))</x:f>
        <x:v>2647.4566089222317</x:v>
      </x:c>
      <x:c r="L333" s="14" t="n">
        <x:f>I333/K333-1</x:f>
        <x:v>-0.07269490584798666</x:v>
      </x:c>
      <x:c r="M333" s="8" t="n">
        <x:f>'Source Data'!G333</x:f>
        <x:v>2804</x:v>
      </x:c>
      <x:c r="N333" s="8" t="n">
        <x:f>M333*('Source Data'!H$8/'Source Data'!G$8)*EXP(F333*('Source Data'!H$7-'Source Data'!G$7))</x:f>
        <x:v>2805.332057842126</x:v>
      </x:c>
      <x:c r="O333" s="14" t="n">
        <x:f>I333/N333-1</x:f>
        <x:v>-0.12488078081979459</x:v>
      </x:c>
      <x:c r="P333" s="2" t="str"/>
    </x:row>
    <x:row r="334">
      <x:c r="A334" s="2" t="str">
        <x:f>'Source Data'!A334</x:f>
        <x:v>334519</x:v>
      </x:c>
      <x:c r="B334" s="2" t="str">
        <x:f>'Source Data'!B334</x:f>
        <x:v>Other Measuring and Controlling Device Manufacturing</x:v>
      </x:c>
      <x:c r="C334" s="13" t="n">
        <x:f>LN('Source Data'!C334/'Source Data'!C$8)</x:f>
        <x:v>-7.509314974135373</x:v>
      </x:c>
      <x:c r="D334" s="13" t="n">
        <x:f>LN('Source Data'!D334/'Source Data'!D$8)</x:f>
        <x:v>-7.47381860170971</x:v>
      </x:c>
      <x:c r="E334" s="13" t="n">
        <x:f>LN('Source Data'!E334/'Source Data'!E$8)</x:f>
        <x:v>-7.4967896009071815</x:v>
      </x:c>
      <x:c r="F334" s="13" t="n">
        <x:f>SLOPE(C334:E334,'Source Data'!C$7:E$7)</x:f>
        <x:v>0.0062626866140957915</x:v>
      </x:c>
      <x:c r="G334" s="14" t="n">
        <x:f>EXP(F334)-1</x:f>
        <x:v>0.006282338238478236</x:v>
      </x:c>
      <x:c r="H334" s="8" t="n">
        <x:f>'Source Data'!F334</x:f>
        <x:v>10938</x:v>
      </x:c>
      <x:c r="I334" s="8" t="n">
        <x:f>'Source Data'!H334</x:f>
        <x:v>13833</x:v>
      </x:c>
      <x:c r="J334" s="14" t="n">
        <x:f>I334/H334-1</x:f>
        <x:v>0.2646736149204607</x:v>
      </x:c>
      <x:c r="K334" s="8" t="n">
        <x:f>H334*('Source Data'!H$8/'Source Data'!F$8)*EXP(F334*('Source Data'!H$7-'Source Data'!F$7))</x:f>
        <x:v>11414.468490001293</x:v>
      </x:c>
      <x:c r="L334" s="14" t="n">
        <x:f>I334/K334-1</x:f>
        <x:v>0.21188297222225128</x:v>
      </x:c>
      <x:c r="M334" s="8" t="n">
        <x:f>'Source Data'!G334</x:f>
        <x:v>14502</x:v>
      </x:c>
      <x:c r="N334" s="8" t="n">
        <x:f>M334*('Source Data'!H$8/'Source Data'!G$8)*EXP(F334*('Source Data'!H$7-'Source Data'!G$7))</x:f>
        <x:v>15008.12878560379</x:v>
      </x:c>
      <x:c r="O334" s="14" t="n">
        <x:f>I334/N334-1</x:f>
        <x:v>-0.07829948705737433</x:v>
      </x:c>
      <x:c r="P334" s="2" t="str"/>
    </x:row>
    <x:row r="335">
      <x:c r="A335" s="2" t="str">
        <x:f>'Source Data'!A335</x:f>
        <x:v>334610</x:v>
      </x:c>
      <x:c r="B335" s="2" t="str">
        <x:f>'Source Data'!B335</x:f>
        <x:v>Manufacturing and Reproducing Magnetic and Optical Media</x:v>
      </x:c>
      <x:c r="C335" s="13" t="n">
        <x:f>LN('Source Data'!C335/'Source Data'!C$8)</x:f>
        <x:v>-7.983695426042805</x:v>
      </x:c>
      <x:c r="D335" s="13" t="n">
        <x:f>LN('Source Data'!D335/'Source Data'!D$8)</x:f>
        <x:v>-8.036360352850524</x:v>
      </x:c>
      <x:c r="E335" s="13" t="n">
        <x:f>LN('Source Data'!E335/'Source Data'!E$8)</x:f>
        <x:v>-8.077023414490284</x:v>
      </x:c>
      <x:c r="F335" s="13" t="n">
        <x:f>SLOPE(C335:E335,'Source Data'!C$7:E$7)</x:f>
        <x:v>-0.0466639942237399</x:v>
      </x:c>
      <x:c r="G335" s="14" t="n">
        <x:f>EXP(F335)-1</x:f>
        <x:v>-0.04559196966877166</x:v>
      </x:c>
      <x:c r="H335" s="8" t="n">
        <x:f>'Source Data'!F335</x:f>
        <x:v>4373</x:v>
      </x:c>
      <x:c r="I335" s="8" t="n">
        <x:f>'Source Data'!H335</x:f>
        <x:v>3538</x:v>
      </x:c>
      <x:c r="J335" s="14" t="n">
        <x:f>I335/H335-1</x:f>
        <x:v>-0.19094443174022413</x:v>
      </x:c>
      <x:c r="K335" s="8" t="n">
        <x:f>H335*('Source Data'!H$8/'Source Data'!F$8)*EXP(F335*('Source Data'!H$7-'Source Data'!F$7))</x:f>
        <x:v>3692.786420651091</x:v>
      </x:c>
      <x:c r="L335" s="14" t="n">
        <x:f>I335/K335-1</x:f>
        <x:v>-0.04191588763040344</x:v>
      </x:c>
      <x:c r="M335" s="8" t="n">
        <x:f>'Source Data'!G335</x:f>
        <x:v>4022</x:v>
      </x:c>
      <x:c r="N335" s="8" t="n">
        <x:f>M335*('Source Data'!H$8/'Source Data'!G$8)*EXP(F335*('Source Data'!H$7-'Source Data'!G$7))</x:f>
        <x:v>3551.2677458489025</x:v>
      </x:c>
      <x:c r="O335" s="14" t="n">
        <x:f>I335/N335-1</x:f>
        <x:v>-0.003736059007212633</x:v>
      </x:c>
      <x:c r="P335" s="2" t="str"/>
    </x:row>
    <x:row r="336">
      <x:c r="A336" s="2" t="str">
        <x:f>'Source Data'!A336</x:f>
        <x:v>335131</x:v>
      </x:c>
      <x:c r="B336" s="2" t="str">
        <x:f>'Source Data'!B336</x:f>
        <x:v>Residential Electric Lighting Fixture Manufacturing</x:v>
      </x:c>
      <x:c r="C336" s="13" t="n">
        <x:f>LN('Source Data'!C336/'Source Data'!C$8)</x:f>
        <x:v>-9.190339556317706</x:v>
      </x:c>
      <x:c r="D336" s="13" t="n">
        <x:f>LN('Source Data'!D336/'Source Data'!D$8)</x:f>
        <x:v>-9.208901700973142</x:v>
      </x:c>
      <x:c r="E336" s="13" t="n">
        <x:f>LN('Source Data'!E336/'Source Data'!E$8)</x:f>
        <x:v>-9.284319200996995</x:v>
      </x:c>
      <x:c r="F336" s="13" t="n">
        <x:f>SLOPE(C336:E336,'Source Data'!C$7:E$7)</x:f>
        <x:v>-0.04698982233964433</x:v>
      </x:c>
      <x:c r="G336" s="14" t="n">
        <x:f>EXP(F336)-1</x:f>
        <x:v>-0.0459028919827319</x:v>
      </x:c>
      <x:c r="H336" s="8" t="n">
        <x:f>'Source Data'!F336</x:f>
        <x:v>1127</x:v>
      </x:c>
      <x:c r="I336" s="8" t="n">
        <x:f>'Source Data'!H336</x:f>
        <x:v>993</x:v>
      </x:c>
      <x:c r="J336" s="14" t="n">
        <x:f>I336/H336-1</x:f>
        <x:v>-0.11889973380656615</x:v>
      </x:c>
      <x:c r="K336" s="8" t="n">
        <x:f>H336*('Source Data'!H$8/'Source Data'!F$8)*EXP(F336*('Source Data'!H$7-'Source Data'!F$7))</x:f>
        <x:v>950.4572929524974</x:v>
      </x:c>
      <x:c r="L336" s="14" t="n">
        <x:f>I336/K336-1</x:f>
        <x:v>0.04476025105278336</x:v>
      </x:c>
      <x:c r="M336" s="8" t="n">
        <x:f>'Source Data'!G336</x:f>
        <x:v>1070</x:v>
      </x:c>
      <x:c r="N336" s="8" t="n">
        <x:f>M336*('Source Data'!H$8/'Source Data'!G$8)*EXP(F336*('Source Data'!H$7-'Source Data'!G$7))</x:f>
        <x:v>943.8448539436905</x:v>
      </x:c>
      <x:c r="O336" s="14" t="n">
        <x:f>I336/N336-1</x:f>
        <x:v>0.05207968857479428</x:v>
      </x:c>
      <x:c r="P336" s="2" t="str"/>
    </x:row>
    <x:row r="337">
      <x:c r="A337" s="2" t="str">
        <x:f>'Source Data'!A337</x:f>
        <x:v>335132</x:v>
      </x:c>
      <x:c r="B337" s="2" t="str">
        <x:f>'Source Data'!B337</x:f>
        <x:v>Commercial, Industrial, and Institutional Electric Lighting Fixture Manufacturing</x:v>
      </x:c>
      <x:c r="C337" s="13" t="n">
        <x:f>LN('Source Data'!C337/'Source Data'!C$8)</x:f>
        <x:v>-8.13303520555272</x:v>
      </x:c>
      <x:c r="D337" s="13" t="n">
        <x:f>LN('Source Data'!D337/'Source Data'!D$8)</x:f>
        <x:v>-8.161438914902847</x:v>
      </x:c>
      <x:c r="E337" s="13" t="n">
        <x:f>LN('Source Data'!E337/'Source Data'!E$8)</x:f>
        <x:v>-8.216817810875408</x:v>
      </x:c>
      <x:c r="F337" s="13" t="n">
        <x:f>SLOPE(C337:E337,'Source Data'!C$7:E$7)</x:f>
        <x:v>-0.041891302661344554</x:v>
      </x:c>
      <x:c r="G337" s="14" t="n">
        <x:f>EXP(F337)-1</x:f>
        <x:v>-0.04102598716946815</x:v>
      </x:c>
      <x:c r="H337" s="8" t="n">
        <x:f>'Source Data'!F337</x:f>
        <x:v>3046</x:v>
      </x:c>
      <x:c r="I337" s="8" t="n">
        <x:f>'Source Data'!H337</x:f>
        <x:v>2708</x:v>
      </x:c>
      <x:c r="J337" s="14" t="n">
        <x:f>I337/H337-1</x:f>
        <x:v>-0.11096520026263956</x:v>
      </x:c>
      <x:c r="K337" s="8" t="n">
        <x:f>H337*('Source Data'!H$8/'Source Data'!F$8)*EXP(F337*('Source Data'!H$7-'Source Data'!F$7))</x:f>
        <x:v>2621.77625746685</x:v>
      </x:c>
      <x:c r="L337" s="14" t="n">
        <x:f>I337/K337-1</x:f>
        <x:v>0.03288752893675939</x:v>
      </x:c>
      <x:c r="M337" s="8" t="n">
        <x:f>'Source Data'!G337</x:f>
        <x:v>3238</x:v>
      </x:c>
      <x:c r="N337" s="8" t="n">
        <x:f>M337*('Source Data'!H$8/'Source Data'!G$8)*EXP(F337*('Source Data'!H$7-'Source Data'!G$7))</x:f>
        <x:v>2900.2568146201806</x:v>
      </x:c>
      <x:c r="O337" s="14" t="n">
        <x:f>I337/N337-1</x:f>
        <x:v>-0.06628958292624809</x:v>
      </x:c>
      <x:c r="P337" s="2" t="str"/>
    </x:row>
    <x:row r="338">
      <x:c r="A338" s="2" t="str">
        <x:f>'Source Data'!A338</x:f>
        <x:v>335139</x:v>
      </x:c>
      <x:c r="B338" s="2" t="str">
        <x:f>'Source Data'!B338</x:f>
        <x:v>Electric Lamp Bulb and Other Lighting Equipment Manufacturing</x:v>
      </x:c>
      <x:c r="C338" s="13" t="n">
        <x:f>LN('Source Data'!C338/'Source Data'!C$8)</x:f>
        <x:v>-8.695275353815788</x:v>
      </x:c>
      <x:c r="D338" s="13" t="n">
        <x:f>LN('Source Data'!D338/'Source Data'!D$8)</x:f>
        <x:v>-8.811667092001493</x:v>
      </x:c>
      <x:c r="E338" s="13" t="n">
        <x:f>LN('Source Data'!E338/'Source Data'!E$8)</x:f>
        <x:v>-8.862585791520422</x:v>
      </x:c>
      <x:c r="F338" s="13" t="n">
        <x:f>SLOPE(C338:E338,'Source Data'!C$7:E$7)</x:f>
        <x:v>-0.08365521885231697</x:v>
      </x:c>
      <x:c r="G338" s="14" t="n">
        <x:f>EXP(F338)-1</x:f>
        <x:v>-0.08025168668664828</x:v>
      </x:c>
      <x:c r="H338" s="8" t="n">
        <x:f>'Source Data'!F338</x:f>
        <x:v>2047</x:v>
      </x:c>
      <x:c r="I338" s="8" t="n">
        <x:f>'Source Data'!H338</x:f>
        <x:v>1526</x:v>
      </x:c>
      <x:c r="J338" s="14" t="n">
        <x:f>I338/H338-1</x:f>
        <x:v>-0.25451880801172444</x:v>
      </x:c>
      <x:c r="K338" s="8" t="n">
        <x:f>H338*('Source Data'!H$8/'Source Data'!F$8)*EXP(F338*('Source Data'!H$7-'Source Data'!F$7))</x:f>
        <x:v>1490.8440504303683</x:v>
      </x:c>
      <x:c r="L338" s="14" t="n">
        <x:f>I338/K338-1</x:f>
        <x:v>0.02358123880192764</x:v>
      </x:c>
      <x:c r="M338" s="8" t="n">
        <x:f>'Source Data'!G338</x:f>
        <x:v>1623</x:v>
      </x:c>
      <x:c r="N338" s="8" t="n">
        <x:f>M338*('Source Data'!H$8/'Source Data'!G$8)*EXP(F338*('Source Data'!H$7-'Source Data'!G$7))</x:f>
        <x:v>1282.5213877618773</x:v>
      </x:c>
      <x:c r="O338" s="14" t="n">
        <x:f>I338/N338-1</x:f>
        <x:v>0.18984370518998994</x:v>
      </x:c>
      <x:c r="P338" s="2" t="str"/>
    </x:row>
    <x:row r="339">
      <x:c r="A339" s="2" t="str">
        <x:f>'Source Data'!A339</x:f>
        <x:v>335210</x:v>
      </x:c>
      <x:c r="B339" s="2" t="str">
        <x:f>'Source Data'!B339</x:f>
        <x:v>Small Electrical Appliance Manufacturing</x:v>
      </x:c>
      <x:c r="C339" s="13" t="n">
        <x:f>LN('Source Data'!C339/'Source Data'!C$8)</x:f>
        <x:v>-10.558958406278876</x:v>
      </x:c>
      <x:c r="D339" s="13" t="n">
        <x:f>LN('Source Data'!D339/'Source Data'!D$8)</x:f>
        <x:v>-10.221185906152755</x:v>
      </x:c>
      <x:c r="E339" s="13" t="n">
        <x:f>LN('Source Data'!E339/'Source Data'!E$8)</x:f>
        <x:v>-9.974576206134707</x:v>
      </x:c>
      <x:c r="F339" s="13" t="n">
        <x:f>SLOPE(C339:E339,'Source Data'!C$7:E$7)</x:f>
        <x:v>0.2921911000720847</x:v>
      </x:c>
      <x:c r="G339" s="14" t="n">
        <x:f>EXP(F339)-1</x:f>
        <x:v>0.3393589447755616</x:v>
      </x:c>
      <x:c r="H339" s="8" t="n">
        <x:f>'Source Data'!F339</x:f>
        <x:v>573</x:v>
      </x:c>
      <x:c r="I339" s="8" t="n">
        <x:f>'Source Data'!H339</x:f>
        <x:v>334</x:v>
      </x:c>
      <x:c r="J339" s="14" t="n">
        <x:f>I339/H339-1</x:f>
        <x:v>-0.41710296684118675</x:v>
      </x:c>
      <x:c r="K339" s="8" t="n">
        <x:f>H339*('Source Data'!H$8/'Source Data'!F$8)*EXP(F339*('Source Data'!H$7-'Source Data'!F$7))</x:f>
        <x:v>1876.6398110765163</x:v>
      </x:c>
      <x:c r="L339" s="14" t="n">
        <x:f>I339/K339-1</x:f>
        <x:v>-0.8220223198779929</x:v>
      </x:c>
      <x:c r="M339" s="8" t="n">
        <x:f>'Source Data'!G339</x:f>
        <x:v>498</x:v>
      </x:c>
      <x:c r="N339" s="8" t="n">
        <x:f>M339*('Source Data'!H$8/'Source Data'!G$8)*EXP(F339*('Source Data'!H$7-'Source Data'!G$7))</x:f>
        <x:v>1215.2325295469905</x:v>
      </x:c>
      <x:c r="O339" s="14" t="n">
        <x:f>I339/N339-1</x:f>
        <x:v>-0.7251554810464897</x:v>
      </x:c>
      <x:c r="P339" s="2" t="str"/>
    </x:row>
    <x:row r="340">
      <x:c r="A340" s="2" t="str">
        <x:f>'Source Data'!A340</x:f>
        <x:v>335220</x:v>
      </x:c>
      <x:c r="B340" s="2" t="str">
        <x:f>'Source Data'!B340</x:f>
        <x:v>Major Household Appliance Manufacturing</x:v>
      </x:c>
      <x:c r="C340" s="13" t="n">
        <x:f>LN('Source Data'!C340/'Source Data'!C$8)</x:f>
        <x:v>-9.353100587257169</x:v>
      </x:c>
      <x:c r="D340" s="13" t="n">
        <x:f>LN('Source Data'!D340/'Source Data'!D$8)</x:f>
        <x:v>-9.390403921383694</x:v>
      </x:c>
      <x:c r="E340" s="13" t="n">
        <x:f>LN('Source Data'!E340/'Source Data'!E$8)</x:f>
        <x:v>-9.432218357699316</x:v>
      </x:c>
      <x:c r="F340" s="13" t="n">
        <x:f>SLOPE(C340:E340,'Source Data'!C$7:E$7)</x:f>
        <x:v>-0.03955888522107376</x:v>
      </x:c>
      <x:c r="G340" s="14" t="n">
        <x:f>EXP(F340)-1</x:f>
        <x:v>-0.03878664893659978</x:v>
      </x:c>
      <x:c r="H340" s="8" t="n">
        <x:f>'Source Data'!F340</x:f>
        <x:v>863</x:v>
      </x:c>
      <x:c r="I340" s="8" t="n">
        <x:f>'Source Data'!H340</x:f>
        <x:v>804</x:v>
      </x:c>
      <x:c r="J340" s="14" t="n">
        <x:f>I340/H340-1</x:f>
        <x:v>-0.06836616454229427</x:v>
      </x:c>
      <x:c r="K340" s="8" t="n">
        <x:f>H340*('Source Data'!H$8/'Source Data'!F$8)*EXP(F340*('Source Data'!H$7-'Source Data'!F$7))</x:f>
        <x:v>749.7704966974887</x:v>
      </x:c>
      <x:c r="L340" s="14" t="n">
        <x:f>I340/K340-1</x:f>
        <x:v>0.07232813713179675</x:v>
      </x:c>
      <x:c r="M340" s="8" t="n">
        <x:f>'Source Data'!G340</x:f>
        <x:v>658</x:v>
      </x:c>
      <x:c r="N340" s="8" t="n">
        <x:f>M340*('Source Data'!H$8/'Source Data'!G$8)*EXP(F340*('Source Data'!H$7-'Source Data'!G$7))</x:f>
        <x:v>593.5049879006338</x:v>
      </x:c>
      <x:c r="O340" s="14" t="n">
        <x:f>I340/N340-1</x:f>
        <x:v>0.3546642680189369</x:v>
      </x:c>
      <x:c r="P340" s="2" t="str"/>
    </x:row>
    <x:row r="341">
      <x:c r="A341" s="2" t="str">
        <x:f>'Source Data'!A341</x:f>
        <x:v>335311</x:v>
      </x:c>
      <x:c r="B341" s="2" t="str">
        <x:f>'Source Data'!B341</x:f>
        <x:v>Power, Distribution, and Specialty Transformer Manufacturing</x:v>
      </x:c>
      <x:c r="C341" s="13" t="n">
        <x:f>LN('Source Data'!C341/'Source Data'!C$8)</x:f>
        <x:v>-8.90781479287307</x:v>
      </x:c>
      <x:c r="D341" s="13" t="n">
        <x:f>LN('Source Data'!D341/'Source Data'!D$8)</x:f>
        <x:v>-8.919683923074933</x:v>
      </x:c>
      <x:c r="E341" s="13" t="n">
        <x:f>LN('Source Data'!E341/'Source Data'!E$8)</x:f>
        <x:v>-8.85219854043113</x:v>
      </x:c>
      <x:c r="F341" s="13" t="n">
        <x:f>SLOPE(C341:E341,'Source Data'!C$7:E$7)</x:f>
        <x:v>0.027808126220969953</x:v>
      </x:c>
      <x:c r="G341" s="14" t="n">
        <x:f>EXP(F341)-1</x:f>
        <x:v>0.028198381184381116</x:v>
      </x:c>
      <x:c r="H341" s="8" t="n">
        <x:f>'Source Data'!F341</x:f>
        <x:v>2041</x:v>
      </x:c>
      <x:c r="I341" s="8" t="n">
        <x:f>'Source Data'!H341</x:f>
        <x:v>2336</x:v>
      </x:c>
      <x:c r="J341" s="14" t="n">
        <x:f>I341/H341-1</x:f>
        <x:v>0.14453699167074974</x:v>
      </x:c>
      <x:c r="K341" s="8" t="n">
        <x:f>H341*('Source Data'!H$8/'Source Data'!F$8)*EXP(F341*('Source Data'!H$7-'Source Data'!F$7))</x:f>
        <x:v>2321.6088004193784</x:v>
      </x:c>
      <x:c r="L341" s="14" t="n">
        <x:f>I341/K341-1</x:f>
        <x:v>0.006198804715946027</x:v>
      </x:c>
      <x:c r="M341" s="8" t="n">
        <x:f>'Source Data'!G341</x:f>
        <x:v>2246</x:v>
      </x:c>
      <x:c r="N341" s="8" t="n">
        <x:f>M341*('Source Data'!H$8/'Source Data'!G$8)*EXP(F341*('Source Data'!H$7-'Source Data'!G$7))</x:f>
        <x:v>2479.5883972329157</x:v>
      </x:c>
      <x:c r="O341" s="14" t="n">
        <x:f>I341/N341-1</x:f>
        <x:v>-0.057908158222208295</x:v>
      </x:c>
      <x:c r="P341" s="2" t="str"/>
    </x:row>
    <x:row r="342">
      <x:c r="A342" s="2" t="str">
        <x:f>'Source Data'!A342</x:f>
        <x:v>335312</x:v>
      </x:c>
      <x:c r="B342" s="2" t="str">
        <x:f>'Source Data'!B342</x:f>
        <x:v>Motor and Generator Manufacturing</x:v>
      </x:c>
      <x:c r="C342" s="13" t="n">
        <x:f>LN('Source Data'!C342/'Source Data'!C$8)</x:f>
        <x:v>-9.182823292712433</x:v>
      </x:c>
      <x:c r="D342" s="13" t="n">
        <x:f>LN('Source Data'!D342/'Source Data'!D$8)</x:f>
        <x:v>-9.21782114261021</x:v>
      </x:c>
      <x:c r="E342" s="13" t="n">
        <x:f>LN('Source Data'!E342/'Source Data'!E$8)</x:f>
        <x:v>-9.183236999395548</x:v>
      </x:c>
      <x:c r="F342" s="13" t="n">
        <x:f>SLOPE(C342:E342,'Source Data'!C$7:E$7)</x:f>
        <x:v>-0.0002068533415577889</x:v>
      </x:c>
      <x:c r="G342" s="14" t="n">
        <x:f>EXP(F342)-1</x:f>
        <x:v>-0.0002068319488803816</x:v>
      </x:c>
      <x:c r="H342" s="8" t="n">
        <x:f>'Source Data'!F342</x:f>
        <x:v>2030</x:v>
      </x:c>
      <x:c r="I342" s="8" t="n">
        <x:f>'Source Data'!H342</x:f>
        <x:v>2126</x:v>
      </x:c>
      <x:c r="J342" s="14" t="n">
        <x:f>I342/H342-1</x:f>
        <x:v>0.0472906403940887</x:v>
      </x:c>
      <x:c r="K342" s="8" t="n">
        <x:f>H342*('Source Data'!H$8/'Source Data'!F$8)*EXP(F342*('Source Data'!H$7-'Source Data'!F$7))</x:f>
        <x:v>2064.3107321007187</x:v>
      </x:c>
      <x:c r="L342" s="14" t="n">
        <x:f>I342/K342-1</x:f>
        <x:v>0.029883712243507166</x:v>
      </x:c>
      <x:c r="M342" s="8" t="n">
        <x:f>'Source Data'!G342</x:f>
        <x:v>2175</x:v>
      </x:c>
      <x:c r="N342" s="8" t="n">
        <x:f>M342*('Source Data'!H$8/'Source Data'!G$8)*EXP(F342*('Source Data'!H$7-'Source Data'!G$7))</x:f>
        <x:v>2207.6430364742514</x:v>
      </x:c>
      <x:c r="O342" s="14" t="n">
        <x:f>I342/N342-1</x:f>
        <x:v>-0.03698199171032679</x:v>
      </x:c>
      <x:c r="P342" s="2" t="str"/>
    </x:row>
    <x:row r="343">
      <x:c r="A343" s="2" t="str">
        <x:f>'Source Data'!A343</x:f>
        <x:v>335313</x:v>
      </x:c>
      <x:c r="B343" s="2" t="str">
        <x:f>'Source Data'!B343</x:f>
        <x:v>Switchgear and Switchboard Apparatus Manufacturing</x:v>
      </x:c>
      <x:c r="C343" s="13" t="n">
        <x:f>LN('Source Data'!C343/'Source Data'!C$8)</x:f>
        <x:v>-9.202762076316263</x:v>
      </x:c>
      <x:c r="D343" s="13" t="n">
        <x:f>LN('Source Data'!D343/'Source Data'!D$8)</x:f>
        <x:v>-9.070685262085783</x:v>
      </x:c>
      <x:c r="E343" s="13" t="n">
        <x:f>LN('Source Data'!E343/'Source Data'!E$8)</x:f>
        <x:v>-9.090844443501402</x:v>
      </x:c>
      <x:c r="F343" s="13" t="n">
        <x:f>SLOPE(C343:E343,'Source Data'!C$7:E$7)</x:f>
        <x:v>0.055958816407430945</x:v>
      </x:c>
      <x:c r="G343" s="14" t="n">
        <x:f>EXP(F343)-1</x:f>
        <x:v>0.05755412896137946</x:v>
      </x:c>
      <x:c r="H343" s="8" t="n">
        <x:f>'Source Data'!F343</x:f>
        <x:v>2019</x:v>
      </x:c>
      <x:c r="I343" s="8" t="n">
        <x:f>'Source Data'!H343</x:f>
        <x:v>2438</x:v>
      </x:c>
      <x:c r="J343" s="14" t="n">
        <x:f>I343/H343-1</x:f>
        <x:v>0.20752847944526986</x:v>
      </x:c>
      <x:c r="K343" s="8" t="n">
        <x:f>H343*('Source Data'!H$8/'Source Data'!F$8)*EXP(F343*('Source Data'!H$7-'Source Data'!F$7))</x:f>
        <x:v>2570.3076760770946</x:v>
      </x:c>
      <x:c r="L343" s="14" t="n">
        <x:f>I343/K343-1</x:f>
        <x:v>-0.05147542347110279</x:v>
      </x:c>
      <x:c r="M343" s="8" t="n">
        <x:f>'Source Data'!G343</x:f>
        <x:v>2112</x:v>
      </x:c>
      <x:c r="N343" s="8" t="n">
        <x:f>M343*('Source Data'!H$8/'Source Data'!G$8)*EXP(F343*('Source Data'!H$7-'Source Data'!G$7))</x:f>
        <x:v>2537.11892977417</x:v>
      </x:c>
      <x:c r="O343" s="14" t="n">
        <x:f>I343/N343-1</x:f>
        <x:v>-0.03906751418349652</x:v>
      </x:c>
      <x:c r="P343" s="2" t="str"/>
    </x:row>
    <x:row r="344">
      <x:c r="A344" s="2" t="str">
        <x:f>'Source Data'!A344</x:f>
        <x:v>335314</x:v>
      </x:c>
      <x:c r="B344" s="2" t="str">
        <x:f>'Source Data'!B344</x:f>
        <x:v>Relay and Industrial Control Manufacturing</x:v>
      </x:c>
      <x:c r="C344" s="13" t="n">
        <x:f>LN('Source Data'!C344/'Source Data'!C$8)</x:f>
        <x:v>-8.593600551829411</x:v>
      </x:c>
      <x:c r="D344" s="13" t="n">
        <x:f>LN('Source Data'!D344/'Source Data'!D$8)</x:f>
        <x:v>-8.59571184921795</x:v>
      </x:c>
      <x:c r="E344" s="13" t="n">
        <x:f>LN('Source Data'!E344/'Source Data'!E$8)</x:f>
        <x:v>-8.524352275484413</x:v>
      </x:c>
      <x:c r="F344" s="13" t="n">
        <x:f>SLOPE(C344:E344,'Source Data'!C$7:E$7)</x:f>
        <x:v>0.03462413817249921</x:v>
      </x:c>
      <x:c r="G344" s="14" t="n">
        <x:f>EXP(F344)-1</x:f>
        <x:v>0.035230532026206296</x:v>
      </x:c>
      <x:c r="H344" s="8" t="n">
        <x:f>'Source Data'!F344</x:f>
        <x:v>2328</x:v>
      </x:c>
      <x:c r="I344" s="8" t="n">
        <x:f>'Source Data'!H344</x:f>
        <x:v>2087</x:v>
      </x:c>
      <x:c r="J344" s="14" t="n">
        <x:f>I344/H344-1</x:f>
        <x:v>-0.10352233676975942</x:v>
      </x:c>
      <x:c r="K344" s="8" t="n">
        <x:f>H344*('Source Data'!H$8/'Source Data'!F$8)*EXP(F344*('Source Data'!H$7-'Source Data'!F$7))</x:f>
        <x:v>2721.257494581929</x:v>
      </x:c>
      <x:c r="L344" s="14" t="n">
        <x:f>I344/K344-1</x:f>
        <x:v>-0.2330751484726259</x:v>
      </x:c>
      <x:c r="M344" s="8" t="n">
        <x:f>'Source Data'!G344</x:f>
        <x:v>2235</x:v>
      </x:c>
      <x:c r="N344" s="8" t="n">
        <x:f>M344*('Source Data'!H$8/'Source Data'!G$8)*EXP(F344*('Source Data'!H$7-'Source Data'!G$7))</x:f>
        <x:v>2518.4181474234924</x:v>
      </x:c>
      <x:c r="O344" s="14" t="n">
        <x:f>I344/N344-1</x:f>
        <x:v>-0.17130520913092273</x:v>
      </x:c>
      <x:c r="P344" s="2" t="str"/>
    </x:row>
    <x:row r="345">
      <x:c r="A345" s="2" t="str">
        <x:f>'Source Data'!A345</x:f>
        <x:v>335910</x:v>
      </x:c>
      <x:c r="B345" s="2" t="str">
        <x:f>'Source Data'!B345</x:f>
        <x:v>Battery Manufacturing</x:v>
      </x:c>
      <x:c r="C345" s="13" t="n">
        <x:f>LN('Source Data'!C345/'Source Data'!C$8)</x:f>
        <x:v>-8.951139053680185</x:v>
      </x:c>
      <x:c r="D345" s="13" t="n">
        <x:f>LN('Source Data'!D345/'Source Data'!D$8)</x:f>
        <x:v>-8.888462857540187</x:v>
      </x:c>
      <x:c r="E345" s="13" t="n">
        <x:f>LN('Source Data'!E345/'Source Data'!E$8)</x:f>
        <x:v>-8.877889772659811</x:v>
      </x:c>
      <x:c r="F345" s="13" t="n">
        <x:f>SLOPE(C345:E345,'Source Data'!C$7:E$7)</x:f>
        <x:v>0.03662464051018688</x:v>
      </x:c>
      <x:c r="G345" s="14" t="n">
        <x:f>EXP(F345)-1</x:f>
        <x:v>0.0373035860088744</x:v>
      </x:c>
      <x:c r="H345" s="8" t="n">
        <x:f>'Source Data'!F345</x:f>
        <x:v>2385</x:v>
      </x:c>
      <x:c r="I345" s="8" t="n">
        <x:f>'Source Data'!H345</x:f>
        <x:v>4020</x:v>
      </x:c>
      <x:c r="J345" s="14" t="n">
        <x:f>I345/H345-1</x:f>
        <x:v>0.6855345911949686</x:v>
      </x:c>
      <x:c r="K345" s="8" t="n">
        <x:f>H345*('Source Data'!H$8/'Source Data'!F$8)*EXP(F345*('Source Data'!H$7-'Source Data'!F$7))</x:f>
        <x:v>2810.2844092496057</x:v>
      </x:c>
      <x:c r="L345" s="14" t="n">
        <x:f>I345/K345-1</x:f>
        <x:v>0.43046020067179214</x:v>
      </x:c>
      <x:c r="M345" s="8" t="n">
        <x:f>'Source Data'!G345</x:f>
        <x:v>4375</x:v>
      </x:c>
      <x:c r="N345" s="8" t="n">
        <x:f>M345*('Source Data'!H$8/'Source Data'!G$8)*EXP(F345*('Source Data'!H$7-'Source Data'!G$7))</x:f>
        <x:v>4959.464563020708</x:v>
      </x:c>
      <x:c r="O345" s="14" t="n">
        <x:f>I345/N345-1</x:f>
        <x:v>-0.1894286270388228</x:v>
      </x:c>
      <x:c r="P345" s="2" t="str"/>
    </x:row>
    <x:row r="346">
      <x:c r="A346" s="2" t="str">
        <x:f>'Source Data'!A346</x:f>
        <x:v>335921</x:v>
      </x:c>
      <x:c r="B346" s="2" t="str">
        <x:f>'Source Data'!B346</x:f>
        <x:v>Fiber Optic Cable Manufacturing</x:v>
      </x:c>
      <x:c r="C346" s="13" t="n">
        <x:f>LN('Source Data'!C346/'Source Data'!C$8)</x:f>
        <x:v>-9.144100163667678</x:v>
      </x:c>
      <x:c r="D346" s="13" t="n">
        <x:f>LN('Source Data'!D346/'Source Data'!D$8)</x:f>
        <x:v>-9.228909267300677</x:v>
      </x:c>
      <x:c r="E346" s="13" t="n">
        <x:f>LN('Source Data'!E346/'Source Data'!E$8)</x:f>
        <x:v>-9.333254093439347</x:v>
      </x:c>
      <x:c r="F346" s="13" t="n">
        <x:f>SLOPE(C346:E346,'Source Data'!C$7:E$7)</x:f>
        <x:v>-0.09457696488583434</x:v>
      </x:c>
      <x:c r="G346" s="14" t="n">
        <x:f>EXP(F346)-1</x:f>
        <x:v>-0.09024228746703866</x:v>
      </x:c>
      <x:c r="H346" s="8" t="n">
        <x:f>'Source Data'!F346</x:f>
        <x:v>716</x:v>
      </x:c>
      <x:c r="I346" s="8" t="n">
        <x:f>'Source Data'!H346</x:f>
        <x:v>780</x:v>
      </x:c>
      <x:c r="J346" s="14" t="n">
        <x:f>I346/H346-1</x:f>
        <x:v>0.0893854748603351</x:v>
      </x:c>
      <x:c r="K346" s="8" t="n">
        <x:f>H346*('Source Data'!H$8/'Source Data'!F$8)*EXP(F346*('Source Data'!H$7-'Source Data'!F$7))</x:f>
        <x:v>499.17678547395786</x:v>
      </x:c>
      <x:c r="L346" s="14" t="n">
        <x:f>I346/K346-1</x:f>
        <x:v>0.5625726650317009</x:v>
      </x:c>
      <x:c r="M346" s="8" t="n">
        <x:f>'Source Data'!G346</x:f>
        <x:v>770</x:v>
      </x:c>
      <x:c r="N346" s="8" t="n">
        <x:f>M346*('Source Data'!H$8/'Source Data'!G$8)*EXP(F346*('Source Data'!H$7-'Source Data'!G$7))</x:f>
        <x:v>588.8532271826302</x:v>
      </x:c>
      <x:c r="O346" s="14" t="n">
        <x:f>I346/N346-1</x:f>
        <x:v>0.32460851701859905</x:v>
      </x:c>
      <x:c r="P346" s="2" t="str"/>
    </x:row>
    <x:row r="347">
      <x:c r="A347" s="2" t="str">
        <x:f>'Source Data'!A347</x:f>
        <x:v>335929</x:v>
      </x:c>
      <x:c r="B347" s="2" t="str">
        <x:f>'Source Data'!B347</x:f>
        <x:v>Other Communication and Energy Wire Manufacturing</x:v>
      </x:c>
      <x:c r="C347" s="13" t="n">
        <x:f>LN('Source Data'!C347/'Source Data'!C$8)</x:f>
        <x:v>-9.88623399135279</x:v>
      </x:c>
      <x:c r="D347" s="13" t="n">
        <x:f>LN('Source Data'!D347/'Source Data'!D$8)</x:f>
        <x:v>-9.844966366141053</x:v>
      </x:c>
      <x:c r="E347" s="13" t="n">
        <x:f>LN('Source Data'!E347/'Source Data'!E$8)</x:f>
        <x:v>-9.857595159453862</x:v>
      </x:c>
      <x:c r="F347" s="13" t="n">
        <x:f>SLOPE(C347:E347,'Source Data'!C$7:E$7)</x:f>
        <x:v>0.01431941594946462</x:v>
      </x:c>
      <x:c r="G347" s="14" t="n">
        <x:f>EXP(F347)-1</x:f>
        <x:v>0.014422429898596212</x:v>
      </x:c>
      <x:c r="H347" s="8" t="n">
        <x:f>'Source Data'!F347</x:f>
        <x:v>771</x:v>
      </x:c>
      <x:c r="I347" s="8" t="n">
        <x:f>'Source Data'!H347</x:f>
        <x:v>982</x:v>
      </x:c>
      <x:c r="J347" s="14" t="n">
        <x:f>I347/H347-1</x:f>
        <x:v>0.27367055771725024</x:v>
      </x:c>
      <x:c r="K347" s="8" t="n">
        <x:f>H347*('Source Data'!H$8/'Source Data'!F$8)*EXP(F347*('Source Data'!H$7-'Source Data'!F$7))</x:f>
        <x:v>830.9370521437726</x:v>
      </x:c>
      <x:c r="L347" s="14" t="n">
        <x:f>I347/K347-1</x:f>
        <x:v>0.18179830525849483</x:v>
      </x:c>
      <x:c r="M347" s="8" t="n">
        <x:f>'Source Data'!G347</x:f>
        <x:v>1223</x:v>
      </x:c>
      <x:c r="N347" s="8" t="n">
        <x:f>M347*('Source Data'!H$8/'Source Data'!G$8)*EXP(F347*('Source Data'!H$7-'Source Data'!G$7))</x:f>
        <x:v>1296.6479664782453</x:v>
      </x:c>
      <x:c r="O347" s="14" t="n">
        <x:f>I347/N347-1</x:f>
        <x:v>-0.24266259972847015</x:v>
      </x:c>
      <x:c r="P347" s="2" t="str"/>
    </x:row>
    <x:row r="348">
      <x:c r="A348" s="2" t="str">
        <x:f>'Source Data'!A348</x:f>
        <x:v>335931</x:v>
      </x:c>
      <x:c r="B348" s="2" t="str">
        <x:f>'Source Data'!B348</x:f>
        <x:v>Current-Carrying Wiring Device Manufacturing</x:v>
      </x:c>
      <x:c r="C348" s="13" t="n">
        <x:f>LN('Source Data'!C348/'Source Data'!C$8)</x:f>
        <x:v>-8.25799187312024</x:v>
      </x:c>
      <x:c r="D348" s="13" t="n">
        <x:f>LN('Source Data'!D348/'Source Data'!D$8)</x:f>
        <x:v>-8.268318276529943</x:v>
      </x:c>
      <x:c r="E348" s="13" t="n">
        <x:f>LN('Source Data'!E348/'Source Data'!E$8)</x:f>
        <x:v>-8.471942852930667</x:v>
      </x:c>
      <x:c r="F348" s="13" t="n">
        <x:f>SLOPE(C348:E348,'Source Data'!C$7:E$7)</x:f>
        <x:v>-0.10697548990521355</x:v>
      </x:c>
      <x:c r="G348" s="14" t="n">
        <x:f>EXP(F348)-1</x:f>
        <x:v>-0.10145230379038694</x:v>
      </x:c>
      <x:c r="H348" s="8" t="n">
        <x:f>'Source Data'!F348</x:f>
        <x:v>2358</x:v>
      </x:c>
      <x:c r="I348" s="8" t="n">
        <x:f>'Source Data'!H348</x:f>
        <x:v>2044</x:v>
      </x:c>
      <x:c r="J348" s="14" t="n">
        <x:f>I348/H348-1</x:f>
        <x:v>-0.13316369804919426</x:v>
      </x:c>
      <x:c r="K348" s="8" t="n">
        <x:f>H348*('Source Data'!H$8/'Source Data'!F$8)*EXP(F348*('Source Data'!H$7-'Source Data'!F$7))</x:f>
        <x:v>1564.3960634959665</x:v>
      </x:c>
      <x:c r="L348" s="14" t="n">
        <x:f>I348/K348-1</x:f>
        <x:v>0.306574497146368</x:v>
      </x:c>
      <x:c r="M348" s="8" t="n">
        <x:f>'Source Data'!G348</x:f>
        <x:v>2623</x:v>
      </x:c>
      <x:c r="N348" s="8" t="n">
        <x:f>M348*('Source Data'!H$8/'Source Data'!G$8)*EXP(F348*('Source Data'!H$7-'Source Data'!G$7))</x:f>
        <x:v>1932.6837358673888</x:v>
      </x:c>
      <x:c r="O348" s="14" t="n">
        <x:f>I348/N348-1</x:f>
        <x:v>0.057596730425556464</x:v>
      </x:c>
      <x:c r="P348" s="2" t="str"/>
    </x:row>
    <x:row r="349">
      <x:c r="A349" s="2" t="str">
        <x:f>'Source Data'!A349</x:f>
        <x:v>335932</x:v>
      </x:c>
      <x:c r="B349" s="2" t="str">
        <x:f>'Source Data'!B349</x:f>
        <x:v>Noncurrent-Carrying Wiring Device Manufacturing</x:v>
      </x:c>
      <x:c r="C349" s="13" t="n">
        <x:f>LN('Source Data'!C349/'Source Data'!C$8)</x:f>
        <x:v>-9.61344912840558</x:v>
      </x:c>
      <x:c r="D349" s="13" t="n">
        <x:f>LN('Source Data'!D349/'Source Data'!D$8)</x:f>
        <x:v>-9.665875829928543</x:v>
      </x:c>
      <x:c r="E349" s="13" t="n">
        <x:f>LN('Source Data'!E349/'Source Data'!E$8)</x:f>
        <x:v>-9.76216828672683</x:v>
      </x:c>
      <x:c r="F349" s="13" t="n">
        <x:f>SLOPE(C349:E349,'Source Data'!C$7:E$7)</x:f>
        <x:v>-0.07435957916062463</x:v>
      </x:c>
      <x:c r="G349" s="14" t="n">
        <x:f>EXP(F349)-1</x:f>
        <x:v>-0.07166217711676337</x:v>
      </x:c>
      <x:c r="H349" s="8" t="n">
        <x:f>'Source Data'!F349</x:f>
        <x:v>946</x:v>
      </x:c>
      <x:c r="I349" s="8" t="n">
        <x:f>'Source Data'!H349</x:f>
        <x:v>924</x:v>
      </x:c>
      <x:c r="J349" s="14" t="n">
        <x:f>I349/H349-1</x:f>
        <x:v>-0.023255813953488413</x:v>
      </x:c>
      <x:c r="K349" s="8" t="n">
        <x:f>H349*('Source Data'!H$8/'Source Data'!F$8)*EXP(F349*('Source Data'!H$7-'Source Data'!F$7))</x:f>
        <x:v>715.0784503957639</x:v>
      </x:c>
      <x:c r="L349" s="14" t="n">
        <x:f>I349/K349-1</x:f>
        <x:v>0.2921659147868425</x:v>
      </x:c>
      <x:c r="M349" s="8" t="n">
        <x:f>'Source Data'!G349</x:f>
        <x:v>914</x:v>
      </x:c>
      <x:c r="N349" s="8" t="n">
        <x:f>M349*('Source Data'!H$8/'Source Data'!G$8)*EXP(F349*('Source Data'!H$7-'Source Data'!G$7))</x:f>
        <x:v>742.6829046261835</x:v>
      </x:c>
      <x:c r="O349" s="14" t="n">
        <x:f>I349/N349-1</x:f>
        <x:v>0.24413796822895684</x:v>
      </x:c>
      <x:c r="P349" s="2" t="str"/>
    </x:row>
    <x:row r="350">
      <x:c r="A350" s="2" t="str">
        <x:f>'Source Data'!A350</x:f>
        <x:v>335991</x:v>
      </x:c>
      <x:c r="B350" s="2" t="str">
        <x:f>'Source Data'!B350</x:f>
        <x:v>Carbon and Graphite Product Manufacturing</x:v>
      </x:c>
      <x:c r="C350" s="13" t="n">
        <x:f>LN('Source Data'!C350/'Source Data'!C$8)</x:f>
        <x:v>-9.919803577075646</x:v>
      </x:c>
      <x:c r="D350" s="13" t="n">
        <x:f>LN('Source Data'!D350/'Source Data'!D$8)</x:f>
        <x:v>-9.847550346906978</x:v>
      </x:c>
      <x:c r="E350" s="13" t="n">
        <x:f>LN('Source Data'!E350/'Source Data'!E$8)</x:f>
        <x:v>-10.018831215138748</x:v>
      </x:c>
      <x:c r="F350" s="13" t="n">
        <x:f>SLOPE(C350:E350,'Source Data'!C$7:E$7)</x:f>
        <x:v>-0.049513819031551165</x:v>
      </x:c>
      <x:c r="G350" s="14" t="n">
        <x:f>EXP(F350)-1</x:f>
        <x:v>-0.04830799341627445</x:v>
      </x:c>
      <x:c r="H350" s="8" t="n">
        <x:f>'Source Data'!F350</x:f>
        <x:v>859</x:v>
      </x:c>
      <x:c r="I350" s="8" t="n">
        <x:f>'Source Data'!H350</x:f>
        <x:v>1008</x:v>
      </x:c>
      <x:c r="J350" s="14" t="n">
        <x:f>I350/H350-1</x:f>
        <x:v>0.17345750873108257</x:v>
      </x:c>
      <x:c r="K350" s="8" t="n">
        <x:f>H350*('Source Data'!H$8/'Source Data'!F$8)*EXP(F350*('Source Data'!H$7-'Source Data'!F$7))</x:f>
        <x:v>717.1619243076636</x:v>
      </x:c>
      <x:c r="L350" s="14" t="n">
        <x:f>I350/K350-1</x:f>
        <x:v>0.40554031918678146</x:v>
      </x:c>
      <x:c r="M350" s="8" t="n">
        <x:f>'Source Data'!G350</x:f>
        <x:v>938</x:v>
      </x:c>
      <x:c r="N350" s="8" t="n">
        <x:f>M350*('Source Data'!H$8/'Source Data'!G$8)*EXP(F350*('Source Data'!H$7-'Source Data'!G$7))</x:f>
        <x:v>821.1664541170165</x:v>
      </x:c>
      <x:c r="O350" s="14" t="n">
        <x:f>I350/N350-1</x:f>
        <x:v>0.22752213628098317</x:v>
      </x:c>
      <x:c r="P350" s="2" t="str"/>
    </x:row>
    <x:row r="351">
      <x:c r="A351" s="2" t="str">
        <x:f>'Source Data'!A351</x:f>
        <x:v>335999</x:v>
      </x:c>
      <x:c r="B351" s="2" t="str">
        <x:f>'Source Data'!B351</x:f>
        <x:v>All Other Miscellaneous Electrical Equipment and Component Manufacturing</x:v>
      </x:c>
      <x:c r="C351" s="13" t="n">
        <x:f>LN('Source Data'!C351/'Source Data'!C$8)</x:f>
        <x:v>-8.00254632086804</x:v>
      </x:c>
      <x:c r="D351" s="13" t="n">
        <x:f>LN('Source Data'!D351/'Source Data'!D$8)</x:f>
        <x:v>-7.79117353913284</x:v>
      </x:c>
      <x:c r="E351" s="13" t="n">
        <x:f>LN('Source Data'!E351/'Source Data'!E$8)</x:f>
        <x:v>-7.795962085819252</x:v>
      </x:c>
      <x:c r="F351" s="13" t="n">
        <x:f>SLOPE(C351:E351,'Source Data'!C$7:E$7)</x:f>
        <x:v>0.10329211752439393</x:v>
      </x:c>
      <x:c r="G351" s="14" t="n">
        <x:f>EXP(F351)-1</x:f>
        <x:v>0.10881526614209758</x:v>
      </x:c>
      <x:c r="H351" s="8" t="n">
        <x:f>'Source Data'!F351</x:f>
        <x:v>6229</x:v>
      </x:c>
      <x:c r="I351" s="8" t="n">
        <x:f>'Source Data'!H351</x:f>
        <x:v>5634</x:v>
      </x:c>
      <x:c r="J351" s="14" t="n">
        <x:f>I351/H351-1</x:f>
        <x:v>-0.09552095039332154</x:v>
      </x:c>
      <x:c r="K351" s="8" t="n">
        <x:f>H351*('Source Data'!H$8/'Source Data'!F$8)*EXP(F351*('Source Data'!H$7-'Source Data'!F$7))</x:f>
        <x:v>9582.823541287391</x:v>
      </x:c>
      <x:c r="L351" s="14" t="n">
        <x:f>I351/K351-1</x:f>
        <x:v>-0.4120730726464876</x:v>
      </x:c>
      <x:c r="M351" s="8" t="n">
        <x:f>'Source Data'!G351</x:f>
        <x:v>6537</x:v>
      </x:c>
      <x:c r="N351" s="8" t="n">
        <x:f>M351*('Source Data'!H$8/'Source Data'!G$8)*EXP(F351*('Source Data'!H$7-'Source Data'!G$7))</x:f>
        <x:v>9050.970954703527</x:v>
      </x:c>
      <x:c r="O351" s="14" t="n">
        <x:f>I351/N351-1</x:f>
        <x:v>-0.37752534747974487</x:v>
      </x:c>
      <x:c r="P351" s="2" t="str"/>
    </x:row>
    <x:row r="352">
      <x:c r="A352" s="2" t="str">
        <x:f>'Source Data'!A352</x:f>
        <x:v>336211</x:v>
      </x:c>
      <x:c r="B352" s="2" t="str">
        <x:f>'Source Data'!B352</x:f>
        <x:v>Motor Vehicle Body Manufacturing</x:v>
      </x:c>
      <x:c r="C352" s="13" t="n">
        <x:f>LN('Source Data'!C352/'Source Data'!C$8)</x:f>
        <x:v>-8.493085593805109</x:v>
      </x:c>
      <x:c r="D352" s="13" t="n">
        <x:f>LN('Source Data'!D352/'Source Data'!D$8)</x:f>
        <x:v>-8.39524297010361</x:v>
      </x:c>
      <x:c r="E352" s="13" t="n">
        <x:f>LN('Source Data'!E352/'Source Data'!E$8)</x:f>
        <x:v>-8.394720184231772</x:v>
      </x:c>
      <x:c r="F352" s="13" t="n">
        <x:f>SLOPE(C352:E352,'Source Data'!C$7:E$7)</x:f>
        <x:v>0.0491827047866682</x:v>
      </x:c>
      <x:c r="G352" s="14" t="n">
        <x:f>EXP(F352)-1</x:f>
        <x:v>0.05041224855495563</x:v>
      </x:c>
      <x:c r="H352" s="8" t="n">
        <x:f>'Source Data'!F352</x:f>
        <x:v>3099</x:v>
      </x:c>
      <x:c r="I352" s="8" t="n">
        <x:f>'Source Data'!H352</x:f>
        <x:v>3658</x:v>
      </x:c>
      <x:c r="J352" s="14" t="n">
        <x:f>I352/H352-1</x:f>
        <x:v>0.18038076798967406</x:v>
      </x:c>
      <x:c r="K352" s="8" t="n">
        <x:f>H352*('Source Data'!H$8/'Source Data'!F$8)*EXP(F352*('Source Data'!H$7-'Source Data'!F$7))</x:f>
        <x:v>3839.7156065059557</x:v>
      </x:c>
      <x:c r="L352" s="14" t="n">
        <x:f>I352/K352-1</x:f>
        <x:v>-0.04732527747577442</x:v>
      </x:c>
      <x:c r="M352" s="8" t="n">
        <x:f>'Source Data'!G352</x:f>
        <x:v>3640</x:v>
      </x:c>
      <x:c r="N352" s="8" t="n">
        <x:f>M352*('Source Data'!H$8/'Source Data'!G$8)*EXP(F352*('Source Data'!H$7-'Source Data'!G$7))</x:f>
        <x:v>4284.694004184112</x:v>
      </x:c>
      <x:c r="O352" s="14" t="n">
        <x:f>I352/N352-1</x:f>
        <x:v>-0.14626342127865588</x:v>
      </x:c>
      <x:c r="P352" s="2" t="str"/>
    </x:row>
    <x:row r="353">
      <x:c r="A353" s="2" t="str">
        <x:f>'Source Data'!A353</x:f>
        <x:v>336212</x:v>
      </x:c>
      <x:c r="B353" s="2" t="str">
        <x:f>'Source Data'!B353</x:f>
        <x:v>Truck Trailer Manufacturing</x:v>
      </x:c>
      <x:c r="C353" s="13" t="n">
        <x:f>LN('Source Data'!C353/'Source Data'!C$8)</x:f>
        <x:v>-9.413826101975873</x:v>
      </x:c>
      <x:c r="D353" s="13" t="n">
        <x:f>LN('Source Data'!D353/'Source Data'!D$8)</x:f>
        <x:v>-9.409420616819004</x:v>
      </x:c>
      <x:c r="E353" s="13" t="n">
        <x:f>LN('Source Data'!E353/'Source Data'!E$8)</x:f>
        <x:v>-9.428032499766637</x:v>
      </x:c>
      <x:c r="F353" s="13" t="n">
        <x:f>SLOPE(C353:E353,'Source Data'!C$7:E$7)</x:f>
        <x:v>-0.0071031988953818015</x:v>
      </x:c>
      <x:c r="G353" s="14" t="n">
        <x:f>EXP(F353)-1</x:f>
        <x:v>-0.007078030804683499</x:v>
      </x:c>
      <x:c r="H353" s="8" t="n">
        <x:f>'Source Data'!F353</x:f>
        <x:v>1426</x:v>
      </x:c>
      <x:c r="I353" s="8" t="n">
        <x:f>'Source Data'!H353</x:f>
        <x:v>1003</x:v>
      </x:c>
      <x:c r="J353" s="14" t="n">
        <x:f>I353/H353-1</x:f>
        <x:v>-0.2966339410939691</x:v>
      </x:c>
      <x:c r="K353" s="8" t="n">
        <x:f>H353*('Source Data'!H$8/'Source Data'!F$8)*EXP(F353*('Source Data'!H$7-'Source Data'!F$7))</x:f>
        <x:v>1410.6470946794</x:v>
      </x:c>
      <x:c r="L353" s="14" t="n">
        <x:f>I353/K353-1</x:f>
        <x:v>-0.28897879293619255</x:v>
      </x:c>
      <x:c r="M353" s="8" t="n">
        <x:f>'Source Data'!G353</x:f>
        <x:v>1181</x:v>
      </x:c>
      <x:c r="N353" s="8" t="n">
        <x:f>M353*('Source Data'!H$8/'Source Data'!G$8)*EXP(F353*('Source Data'!H$7-'Source Data'!G$7))</x:f>
        <x:v>1174.1791210858753</x:v>
      </x:c>
      <x:c r="O353" s="14" t="n">
        <x:f>I353/N353-1</x:f>
        <x:v>-0.1457862075826809</x:v>
      </x:c>
      <x:c r="P353" s="2" t="str"/>
    </x:row>
    <x:row r="354">
      <x:c r="A354" s="2" t="str">
        <x:f>'Source Data'!A354</x:f>
        <x:v>336213</x:v>
      </x:c>
      <x:c r="B354" s="2" t="str">
        <x:f>'Source Data'!B354</x:f>
        <x:v>Motor Home Manufacturing</x:v>
      </x:c>
      <x:c r="C354" s="13" t="n">
        <x:f>LN('Source Data'!C354/'Source Data'!C$8)</x:f>
        <x:v>-11.79302924176209</x:v>
      </x:c>
      <x:c r="D354" s="13" t="n">
        <x:f>LN('Source Data'!D354/'Source Data'!D$8)</x:f>
        <x:v>-12.055178139004083</x:v>
      </x:c>
      <x:c r="E354" s="13" t="n">
        <x:f>LN('Source Data'!E354/'Source Data'!E$8)</x:f>
        <x:v>-12.015796534994346</x:v>
      </x:c>
      <x:c r="F354" s="13" t="n">
        <x:f>SLOPE(C354:E354,'Source Data'!C$7:E$7)</x:f>
        <x:v>-0.11138364661612776</x:v>
      </x:c>
      <x:c r="G354" s="14" t="n">
        <x:f>EXP(F354)-1</x:f>
        <x:v>-0.10540452544140155</x:v>
      </x:c>
      <x:c r="H354" s="8" t="n">
        <x:f>'Source Data'!F354</x:f>
        <x:v>108</x:v>
      </x:c>
      <x:c r="I354" s="8" t="n">
        <x:f>'Source Data'!H354</x:f>
        <x:v>110</x:v>
      </x:c>
      <x:c r="J354" s="14" t="n">
        <x:f>I354/H354-1</x:f>
        <x:v>0.0185185185185186</x:v>
      </x:c>
      <x:c r="K354" s="8" t="n">
        <x:f>H354*('Source Data'!H$8/'Source Data'!F$8)*EXP(F354*('Source Data'!H$7-'Source Data'!F$7))</x:f>
        <x:v>70.39939333727982</x:v>
      </x:c>
      <x:c r="L354" s="14" t="n">
        <x:f>I354/K354-1</x:f>
        <x:v>0.5625134647538188</x:v>
      </x:c>
      <x:c r="M354" s="8" t="n">
        <x:f>'Source Data'!G354</x:f>
        <x:v>219</x:v>
      </x:c>
      <x:c r="N354" s="8" t="n">
        <x:f>M354*('Source Data'!H$8/'Source Data'!G$8)*EXP(F354*('Source Data'!H$7-'Source Data'!G$7))</x:f>
        <x:v>159.24408207444415</x:v>
      </x:c>
      <x:c r="O354" s="14" t="n">
        <x:f>I354/N354-1</x:f>
        <x:v>-0.3092364967850002</x:v>
      </x:c>
      <x:c r="P354" s="2" t="str"/>
    </x:row>
    <x:row r="355">
      <x:c r="A355" s="2" t="str">
        <x:f>'Source Data'!A355</x:f>
        <x:v>336214</x:v>
      </x:c>
      <x:c r="B355" s="2" t="str">
        <x:f>'Source Data'!B355</x:f>
        <x:v>Travel Trailer and Camper Manufacturing</x:v>
      </x:c>
      <x:c r="C355" s="13" t="n">
        <x:f>LN('Source Data'!C355/'Source Data'!C$8)</x:f>
        <x:v>-8.68736359070514</x:v>
      </x:c>
      <x:c r="D355" s="13" t="n">
        <x:f>LN('Source Data'!D355/'Source Data'!D$8)</x:f>
        <x:v>-8.664229171833295</x:v>
      </x:c>
      <x:c r="E355" s="13" t="n">
        <x:f>LN('Source Data'!E355/'Source Data'!E$8)</x:f>
        <x:v>-8.704037715979432</x:v>
      </x:c>
      <x:c r="F355" s="13" t="n">
        <x:f>SLOPE(C355:E355,'Source Data'!C$7:E$7)</x:f>
        <x:v>-0.008337062637146175</x:v>
      </x:c>
      <x:c r="G355" s="14" t="n">
        <x:f>EXP(F355)-1</x:f>
        <x:v>-0.008302405709639693</x:v>
      </x:c>
      <x:c r="H355" s="8" t="n">
        <x:f>'Source Data'!F355</x:f>
        <x:v>2040</x:v>
      </x:c>
      <x:c r="I355" s="8" t="n">
        <x:f>'Source Data'!H355</x:f>
        <x:v>931</x:v>
      </x:c>
      <x:c r="J355" s="14" t="n">
        <x:f>I355/H355-1</x:f>
        <x:v>-0.5436274509803922</x:v>
      </x:c>
      <x:c r="K355" s="8" t="n">
        <x:f>H355*('Source Data'!H$8/'Source Data'!F$8)*EXP(F355*('Source Data'!H$7-'Source Data'!F$7))</x:f>
        <x:v>2008.101126585054</x:v>
      </x:c>
      <x:c r="L355" s="14" t="n">
        <x:f>I355/K355-1</x:f>
        <x:v>-0.5363779305361756</x:v>
      </x:c>
      <x:c r="M355" s="8" t="n">
        <x:f>'Source Data'!G355</x:f>
        <x:v>1836</x:v>
      </x:c>
      <x:c r="N355" s="8" t="n">
        <x:f>M355*('Source Data'!H$8/'Source Data'!G$8)*EXP(F355*('Source Data'!H$7-'Source Data'!G$7))</x:f>
        <x:v>1818.6517809036163</x:v>
      </x:c>
      <x:c r="O355" s="14" t="n">
        <x:f>I355/N355-1</x:f>
        <x:v>-0.48808232022436815</x:v>
      </x:c>
      <x:c r="P355" s="2" t="str"/>
    </x:row>
    <x:row r="356">
      <x:c r="A356" s="2" t="str">
        <x:f>'Source Data'!A356</x:f>
        <x:v>336310</x:v>
      </x:c>
      <x:c r="B356" s="2" t="str">
        <x:f>'Source Data'!B356</x:f>
        <x:v>Motor Vehicle Gasoline Engine and Engine Parts Manufacturing</x:v>
      </x:c>
      <x:c r="C356" s="13" t="n">
        <x:f>LN('Source Data'!C356/'Source Data'!C$8)</x:f>
        <x:v>-8.696111823960754</x:v>
      </x:c>
      <x:c r="D356" s="13" t="n">
        <x:f>LN('Source Data'!D356/'Source Data'!D$8)</x:f>
        <x:v>-8.717526307586025</x:v>
      </x:c>
      <x:c r="E356" s="13" t="n">
        <x:f>LN('Source Data'!E356/'Source Data'!E$8)</x:f>
        <x:v>-8.747918928137702</x:v>
      </x:c>
      <x:c r="F356" s="13" t="n">
        <x:f>SLOPE(C356:E356,'Source Data'!C$7:E$7)</x:f>
        <x:v>-0.025903552088474058</x:v>
      </x:c>
      <x:c r="G356" s="14" t="n">
        <x:f>EXP(F356)-1</x:f>
        <x:v>-0.025570933274856045</x:v>
      </x:c>
      <x:c r="H356" s="8" t="n">
        <x:f>'Source Data'!F356</x:f>
        <x:v>2208</x:v>
      </x:c>
      <x:c r="I356" s="8" t="n">
        <x:f>'Source Data'!H356</x:f>
        <x:v>1968</x:v>
      </x:c>
      <x:c r="J356" s="14" t="n">
        <x:f>I356/H356-1</x:f>
        <x:v>-0.10869565217391308</x:v>
      </x:c>
      <x:c r="K356" s="8" t="n">
        <x:f>H356*('Source Data'!H$8/'Source Data'!F$8)*EXP(F356*('Source Data'!H$7-'Source Data'!F$7))</x:f>
        <x:v>2025.9949741757728</x:v>
      </x:c>
      <x:c r="L356" s="14" t="n">
        <x:f>I356/K356-1</x:f>
        <x:v>-0.028625428451206636</x:v>
      </x:c>
      <x:c r="M356" s="8" t="n">
        <x:f>'Source Data'!G356</x:f>
        <x:v>2246</x:v>
      </x:c>
      <x:c r="N356" s="8" t="n">
        <x:f>M356*('Source Data'!H$8/'Source Data'!G$8)*EXP(F356*('Source Data'!H$7-'Source Data'!G$7))</x:f>
        <x:v>2110.5689224071143</x:v>
      </x:c>
      <x:c r="O356" s="14" t="n">
        <x:f>I356/N356-1</x:f>
        <x:v>-0.06754999606670686</x:v>
      </x:c>
      <x:c r="P356" s="2" t="str"/>
    </x:row>
    <x:row r="357">
      <x:c r="A357" s="2" t="str">
        <x:f>'Source Data'!A357</x:f>
        <x:v>336320</x:v>
      </x:c>
      <x:c r="B357" s="2" t="str">
        <x:f>'Source Data'!B357</x:f>
        <x:v>Motor Vehicle Electrical and Electronic Equipment Manufacturing</x:v>
      </x:c>
      <x:c r="C357" s="13" t="n">
        <x:f>LN('Source Data'!C357/'Source Data'!C$8)</x:f>
        <x:v>-9.411256507414242</x:v>
      </x:c>
      <x:c r="D357" s="13" t="n">
        <x:f>LN('Source Data'!D357/'Source Data'!D$8)</x:f>
        <x:v>-9.268715517701098</x:v>
      </x:c>
      <x:c r="E357" s="13" t="n">
        <x:f>LN('Source Data'!E357/'Source Data'!E$8)</x:f>
        <x:v>-8.8939212066</x:v>
      </x:c>
      <x:c r="F357" s="13" t="n">
        <x:f>SLOPE(C357:E357,'Source Data'!C$7:E$7)</x:f>
        <x:v>0.25866765040712103</x:v>
      </x:c>
      <x:c r="G357" s="14" t="n">
        <x:f>EXP(F357)-1</x:f>
        <x:v>0.29520327300799387</x:v>
      </x:c>
      <x:c r="H357" s="8" t="n">
        <x:f>'Source Data'!F357</x:f>
        <x:v>2024</x:v>
      </x:c>
      <x:c r="I357" s="8" t="n">
        <x:f>'Source Data'!H357</x:f>
        <x:v>1910</x:v>
      </x:c>
      <x:c r="J357" s="14" t="n">
        <x:f>I357/H357-1</x:f>
        <x:v>-0.05632411067193677</x:v>
      </x:c>
      <x:c r="K357" s="8" t="n">
        <x:f>H357*('Source Data'!H$8/'Source Data'!F$8)*EXP(F357*('Source Data'!H$7-'Source Data'!F$7))</x:f>
        <x:v>5796.964150274937</x:v>
      </x:c>
      <x:c r="L357" s="14" t="n">
        <x:f>I357/K357-1</x:f>
        <x:v>-0.6705171965037229</x:v>
      </x:c>
      <x:c r="M357" s="8" t="n">
        <x:f>'Source Data'!G357</x:f>
        <x:v>2616</x:v>
      </x:c>
      <x:c r="N357" s="8" t="n">
        <x:f>M357*('Source Data'!H$8/'Source Data'!G$8)*EXP(F357*('Source Data'!H$7-'Source Data'!G$7))</x:f>
        <x:v>5772.854818398935</x:v>
      </x:c>
      <x:c r="O357" s="14" t="n">
        <x:f>I357/N357-1</x:f>
        <x:v>-0.6691411684367066</x:v>
      </x:c>
      <x:c r="P357" s="2" t="str"/>
    </x:row>
    <x:row r="358">
      <x:c r="A358" s="2" t="str">
        <x:f>'Source Data'!A358</x:f>
        <x:v>336330</x:v>
      </x:c>
      <x:c r="B358" s="2" t="str">
        <x:f>'Source Data'!B358</x:f>
        <x:v>Motor Vehicle Steering and Suspension Components (except Spring) Manufacturing</x:v>
      </x:c>
      <x:c r="C358" s="13" t="n">
        <x:f>LN('Source Data'!C358/'Source Data'!C$8)</x:f>
        <x:v>-9.516712075588655</x:v>
      </x:c>
      <x:c r="D358" s="13" t="n">
        <x:f>LN('Source Data'!D358/'Source Data'!D$8)</x:f>
        <x:v>-9.551815404395171</x:v>
      </x:c>
      <x:c r="E358" s="13" t="n">
        <x:f>LN('Source Data'!E358/'Source Data'!E$8)</x:f>
        <x:v>-10.209330918376596</x:v>
      </x:c>
      <x:c r="F358" s="13" t="n">
        <x:f>SLOPE(C358:E358,'Source Data'!C$7:E$7)</x:f>
        <x:v>-0.34630942139397014</x:v>
      </x:c>
      <x:c r="G358" s="14" t="n">
        <x:f>EXP(F358)-1</x:f>
        <x:v>-0.29270639852781466</x:v>
      </x:c>
      <x:c r="H358" s="8" t="n">
        <x:f>'Source Data'!F358</x:f>
        <x:v>723</x:v>
      </x:c>
      <x:c r="I358" s="8" t="n">
        <x:f>'Source Data'!H358</x:f>
        <x:v>958</x:v>
      </x:c>
      <x:c r="J358" s="14" t="n">
        <x:f>I358/H358-1</x:f>
        <x:v>0.3250345781466113</x:v>
      </x:c>
      <x:c r="K358" s="8" t="n">
        <x:f>H358*('Source Data'!H$8/'Source Data'!F$8)*EXP(F358*('Source Data'!H$7-'Source Data'!F$7))</x:f>
        <x:v>184.15163871961408</x:v>
      </x:c>
      <x:c r="L358" s="14" t="n">
        <x:f>I358/K358-1</x:f>
        <x:v>4.202234455587079</x:v>
      </x:c>
      <x:c r="M358" s="8" t="n">
        <x:f>'Source Data'!G358</x:f>
        <x:v>596</x:v>
      </x:c>
      <x:c r="N358" s="8" t="n">
        <x:f>M358*('Source Data'!H$8/'Source Data'!G$8)*EXP(F358*('Source Data'!H$7-'Source Data'!G$7))</x:f>
        <x:v>214.1827763211871</x:v>
      </x:c>
      <x:c r="O358" s="14" t="n">
        <x:f>I358/N358-1</x:f>
        <x:v>3.4728153050149535</x:v>
      </x:c>
      <x:c r="P358" s="2" t="str"/>
    </x:row>
    <x:row r="359">
      <x:c r="A359" s="2" t="str">
        <x:f>'Source Data'!A359</x:f>
        <x:v>336340</x:v>
      </x:c>
      <x:c r="B359" s="2" t="str">
        <x:f>'Source Data'!B359</x:f>
        <x:v>Motor Vehicle Brake System Manufacturing</x:v>
      </x:c>
      <x:c r="C359" s="13" t="n">
        <x:f>LN('Source Data'!C359/'Source Data'!C$8)</x:f>
        <x:v>-10.019961905546188</x:v>
      </x:c>
      <x:c r="D359" s="13" t="n">
        <x:f>LN('Source Data'!D359/'Source Data'!D$8)</x:f>
        <x:v>-10.100899740278253</x:v>
      </x:c>
      <x:c r="E359" s="13" t="n">
        <x:f>LN('Source Data'!E359/'Source Data'!E$8)</x:f>
        <x:v>-10.140581385496514</x:v>
      </x:c>
      <x:c r="F359" s="13" t="n">
        <x:f>SLOPE(C359:E359,'Source Data'!C$7:E$7)</x:f>
        <x:v>-0.06030973997516309</x:v>
      </x:c>
      <x:c r="G359" s="14" t="n">
        <x:f>EXP(F359)-1</x:f>
        <x:v>-0.0585271233677529</x:v>
      </x:c>
      <x:c r="H359" s="8" t="n">
        <x:f>'Source Data'!F359</x:f>
        <x:v>489</x:v>
      </x:c>
      <x:c r="I359" s="8" t="n">
        <x:f>'Source Data'!H359</x:f>
        <x:v>458</x:v>
      </x:c>
      <x:c r="J359" s="14" t="n">
        <x:f>I359/H359-1</x:f>
        <x:v>-0.06339468302658491</x:v>
      </x:c>
      <x:c r="K359" s="8" t="n">
        <x:f>H359*('Source Data'!H$8/'Source Data'!F$8)*EXP(F359*('Source Data'!H$7-'Source Data'!F$7))</x:f>
        <x:v>391.0015541060292</x:v>
      </x:c>
      <x:c r="L359" s="14" t="n">
        <x:f>I359/K359-1</x:f>
        <x:v>0.17135084295803749</x:v>
      </x:c>
      <x:c r="M359" s="8" t="n">
        <x:f>'Source Data'!G359</x:f>
        <x:v>472</x:v>
      </x:c>
      <x:c r="N359" s="8" t="n">
        <x:f>M359*('Source Data'!H$8/'Source Data'!G$8)*EXP(F359*('Source Data'!H$7-'Source Data'!G$7))</x:f>
        <x:v>400.04102655093385</x:v>
      </x:c>
      <x:c r="O359" s="14" t="n">
        <x:f>I359/N359-1</x:f>
        <x:v>0.14488257354195833</x:v>
      </x:c>
      <x:c r="P359" s="2" t="str"/>
    </x:row>
    <x:row r="360">
      <x:c r="A360" s="2" t="str">
        <x:f>'Source Data'!A360</x:f>
        <x:v>336350</x:v>
      </x:c>
      <x:c r="B360" s="2" t="str">
        <x:f>'Source Data'!B360</x:f>
        <x:v>Motor Vehicle Transmission and Power Train Parts Manufacturing</x:v>
      </x:c>
      <x:c r="C360" s="13" t="n">
        <x:f>LN('Source Data'!C360/'Source Data'!C$8)</x:f>
        <x:v>-9.688443518281229</x:v>
      </x:c>
      <x:c r="D360" s="13" t="n">
        <x:f>LN('Source Data'!D360/'Source Data'!D$8)</x:f>
        <x:v>-9.706607932768213</x:v>
      </x:c>
      <x:c r="E360" s="13" t="n">
        <x:f>LN('Source Data'!E360/'Source Data'!E$8)</x:f>
        <x:v>-9.645552793526486</x:v>
      </x:c>
      <x:c r="F360" s="13" t="n">
        <x:f>SLOPE(C360:E360,'Source Data'!C$7:E$7)</x:f>
        <x:v>0.021445362377371602</x:v>
      </x:c>
      <x:c r="G360" s="14" t="n">
        <x:f>EXP(F360)-1</x:f>
        <x:v>0.021676966811802645</x:v>
      </x:c>
      <x:c r="H360" s="8" t="n">
        <x:f>'Source Data'!F360</x:f>
        <x:v>1037</x:v>
      </x:c>
      <x:c r="I360" s="8" t="n">
        <x:f>'Source Data'!H360</x:f>
        <x:v>939</x:v>
      </x:c>
      <x:c r="J360" s="14" t="n">
        <x:f>I360/H360-1</x:f>
        <x:v>-0.09450337512053997</x:v>
      </x:c>
      <x:c r="K360" s="8" t="n">
        <x:f>H360*('Source Data'!H$8/'Source Data'!F$8)*EXP(F360*('Source Data'!H$7-'Source Data'!F$7))</x:f>
        <x:v>1149.9303598114705</x:v>
      </x:c>
      <x:c r="L360" s="14" t="n">
        <x:f>I360/K360-1</x:f>
        <x:v>-0.18342881202480144</x:v>
      </x:c>
      <x:c r="M360" s="8" t="n">
        <x:f>'Source Data'!G360</x:f>
        <x:v>990</x:v>
      </x:c>
      <x:c r="N360" s="8" t="n">
        <x:f>M360*('Source Data'!H$8/'Source Data'!G$8)*EXP(F360*('Source Data'!H$7-'Source Data'!G$7))</x:f>
        <x:v>1072.2970185815784</x:v>
      </x:c>
      <x:c r="O360" s="14" t="n">
        <x:f>I360/N360-1</x:f>
        <x:v>-0.12430979129075836</x:v>
      </x:c>
      <x:c r="P360" s="2" t="str"/>
    </x:row>
    <x:row r="361">
      <x:c r="A361" s="2" t="str">
        <x:f>'Source Data'!A361</x:f>
        <x:v>336360</x:v>
      </x:c>
      <x:c r="B361" s="2" t="str">
        <x:f>'Source Data'!B361</x:f>
        <x:v>Motor Vehicle Seating and Interior Trim Manufacturing</x:v>
      </x:c>
      <x:c r="C361" s="13" t="n">
        <x:f>LN('Source Data'!C361/'Source Data'!C$8)</x:f>
        <x:v>-9.318204104270674</x:v>
      </x:c>
      <x:c r="D361" s="13" t="n">
        <x:f>LN('Source Data'!D361/'Source Data'!D$8)</x:f>
        <x:v>-9.510339148493408</x:v>
      </x:c>
      <x:c r="E361" s="13" t="n">
        <x:f>LN('Source Data'!E361/'Source Data'!E$8)</x:f>
        <x:v>-9.682574472538409</x:v>
      </x:c>
      <x:c r="F361" s="13" t="n">
        <x:f>SLOPE(C361:E361,'Source Data'!C$7:E$7)</x:f>
        <x:v>-0.18218518413386775</x:v>
      </x:c>
      <x:c r="G361" s="14" t="n">
        <x:f>EXP(F361)-1</x:f>
        <x:v>-0.16655301503394937</x:v>
      </x:c>
      <x:c r="H361" s="8" t="n">
        <x:f>'Source Data'!F361</x:f>
        <x:v>1205</x:v>
      </x:c>
      <x:c r="I361" s="8" t="n">
        <x:f>'Source Data'!H361</x:f>
        <x:v>1445</x:v>
      </x:c>
      <x:c r="J361" s="14" t="n">
        <x:f>I361/H361-1</x:f>
        <x:v>0.19917012448132776</x:v>
      </x:c>
      <x:c r="K361" s="8" t="n">
        <x:f>H361*('Source Data'!H$8/'Source Data'!F$8)*EXP(F361*('Source Data'!H$7-'Source Data'!F$7))</x:f>
        <x:v>591.7487372625693</x:v>
      </x:c>
      <x:c r="L361" s="14" t="n">
        <x:f>I361/K361-1</x:f>
        <x:v>1.4419148010092466</x:v>
      </x:c>
      <x:c r="M361" s="8" t="n">
        <x:f>'Source Data'!G361</x:f>
        <x:v>1190</x:v>
      </x:c>
      <x:c r="N361" s="8" t="n">
        <x:f>M361*('Source Data'!H$8/'Source Data'!G$8)*EXP(F361*('Source Data'!H$7-'Source Data'!G$7))</x:f>
        <x:v>699.7130876735037</x:v>
      </x:c>
      <x:c r="O361" s="14" t="n">
        <x:f>I361/N361-1</x:f>
        <x:v>1.0651321598178511</x:v>
      </x:c>
      <x:c r="P361" s="2" t="str"/>
    </x:row>
    <x:row r="362">
      <x:c r="A362" s="2" t="str">
        <x:f>'Source Data'!A362</x:f>
        <x:v>336370</x:v>
      </x:c>
      <x:c r="B362" s="2" t="str">
        <x:f>'Source Data'!B362</x:f>
        <x:v>Motor Vehicle Metal Stamping</x:v>
      </x:c>
      <x:c r="C362" s="13" t="n">
        <x:f>LN('Source Data'!C362/'Source Data'!C$8)</x:f>
        <x:v>-10.57800660124957</x:v>
      </x:c>
      <x:c r="D362" s="13" t="n">
        <x:f>LN('Source Data'!D362/'Source Data'!D$8)</x:f>
        <x:v>-10.595196062093033</x:v>
      </x:c>
      <x:c r="E362" s="13" t="n">
        <x:f>LN('Source Data'!E362/'Source Data'!E$8)</x:f>
        <x:v>-10.549459466200918</x:v>
      </x:c>
      <x:c r="F362" s="13" t="n">
        <x:f>SLOPE(C362:E362,'Source Data'!C$7:E$7)</x:f>
        <x:v>0.014273567524325514</x:v>
      </x:c>
      <x:c r="G362" s="14" t="n">
        <x:f>EXP(F362)-1</x:f>
        <x:v>0.014375921293940941</x:v>
      </x:c>
      <x:c r="H362" s="8" t="n">
        <x:f>'Source Data'!F362</x:f>
        <x:v>461</x:v>
      </x:c>
      <x:c r="I362" s="8" t="n">
        <x:f>'Source Data'!H362</x:f>
        <x:v>449</x:v>
      </x:c>
      <x:c r="J362" s="14" t="n">
        <x:f>I362/H362-1</x:f>
        <x:v>-0.026030368763557465</x:v>
      </x:c>
      <x:c r="K362" s="8" t="n">
        <x:f>H362*('Source Data'!H$8/'Source Data'!F$8)*EXP(F362*('Source Data'!H$7-'Source Data'!F$7))</x:f>
        <x:v>496.74673972172485</x:v>
      </x:c>
      <x:c r="L362" s="14" t="n">
        <x:f>I362/K362-1</x:f>
        <x:v>-0.0961188789049171</x:v>
      </x:c>
      <x:c r="M362" s="8" t="n">
        <x:f>'Source Data'!G362</x:f>
        <x:v>457</x:v>
      </x:c>
      <x:c r="N362" s="8" t="n">
        <x:f>M362*('Source Data'!H$8/'Source Data'!G$8)*EXP(F362*('Source Data'!H$7-'Source Data'!G$7))</x:f>
        <x:v>484.45349251042416</x:v>
      </x:c>
      <x:c r="O362" s="14" t="n">
        <x:f>I362/N362-1</x:f>
        <x:v>-0.07318244797184792</x:v>
      </x:c>
      <x:c r="P362" s="2" t="str"/>
    </x:row>
    <x:row r="363">
      <x:c r="A363" s="2" t="str">
        <x:f>'Source Data'!A363</x:f>
        <x:v>336390</x:v>
      </x:c>
      <x:c r="B363" s="2" t="str">
        <x:f>'Source Data'!B363</x:f>
        <x:v>Other Motor Vehicle Parts Manufacturing</x:v>
      </x:c>
      <x:c r="C363" s="13" t="n">
        <x:f>LN('Source Data'!C363/'Source Data'!C$8)</x:f>
        <x:v>-7.933664984947108</x:v>
      </x:c>
      <x:c r="D363" s="13" t="n">
        <x:f>LN('Source Data'!D363/'Source Data'!D$8)</x:f>
        <x:v>-7.990282581129967</x:v>
      </x:c>
      <x:c r="E363" s="13" t="n">
        <x:f>LN('Source Data'!E363/'Source Data'!E$8)</x:f>
        <x:v>-8.066477744822503</x:v>
      </x:c>
      <x:c r="F363" s="13" t="n">
        <x:f>SLOPE(C363:E363,'Source Data'!C$7:E$7)</x:f>
        <x:v>-0.06640637993769749</x:v>
      </x:c>
      <x:c r="G363" s="14" t="n">
        <x:f>EXP(F363)-1</x:f>
        <x:v>-0.06424948322265478</x:v>
      </x:c>
      <x:c r="H363" s="8" t="n">
        <x:f>'Source Data'!F363</x:f>
        <x:v>4178</x:v>
      </x:c>
      <x:c r="I363" s="8" t="n">
        <x:f>'Source Data'!H363</x:f>
        <x:v>3033</x:v>
      </x:c>
      <x:c r="J363" s="14" t="n">
        <x:f>I363/H363-1</x:f>
        <x:v>-0.2740545715653423</x:v>
      </x:c>
      <x:c r="K363" s="8" t="n">
        <x:f>H363*('Source Data'!H$8/'Source Data'!F$8)*EXP(F363*('Source Data'!H$7-'Source Data'!F$7))</x:f>
        <x:v>3260.2215346457483</x:v>
      </x:c>
      <x:c r="L363" s="14" t="n">
        <x:f>I363/K363-1</x:f>
        <x:v>-0.06969512109257259</x:v>
      </x:c>
      <x:c r="M363" s="8" t="n">
        <x:f>'Source Data'!G363</x:f>
        <x:v>3892</x:v>
      </x:c>
      <x:c r="N363" s="8" t="n">
        <x:f>M363*('Source Data'!H$8/'Source Data'!G$8)*EXP(F363*('Source Data'!H$7-'Source Data'!G$7))</x:f>
        <x:v>3238.85984142006</x:v>
      </x:c>
      <x:c r="O363" s="14" t="n">
        <x:f>I363/N363-1</x:f>
        <x:v>-0.06355935468013396</x:v>
      </x:c>
      <x:c r="P363" s="2" t="str"/>
    </x:row>
    <x:row r="364">
      <x:c r="A364" s="2" t="str">
        <x:f>'Source Data'!A364</x:f>
        <x:v>336411</x:v>
      </x:c>
      <x:c r="B364" s="2" t="str">
        <x:f>'Source Data'!B364</x:f>
        <x:v>Aircraft Manufacturing</x:v>
      </x:c>
      <x:c r="C364" s="13" t="n">
        <x:f>LN('Source Data'!C364/'Source Data'!C$8)</x:f>
        <x:v>-6.571123067544747</x:v>
      </x:c>
      <x:c r="D364" s="13" t="n">
        <x:f>LN('Source Data'!D364/'Source Data'!D$8)</x:f>
        <x:v>-6.532400441418088</x:v>
      </x:c>
      <x:c r="E364" s="13" t="n">
        <x:f>LN('Source Data'!E364/'Source Data'!E$8)</x:f>
        <x:v>-6.485353851996985</x:v>
      </x:c>
      <x:c r="F364" s="13" t="n">
        <x:f>SLOPE(C364:E364,'Source Data'!C$7:E$7)</x:f>
        <x:v>0.04288460777388092</x:v>
      </x:c>
      <x:c r="G364" s="14" t="n">
        <x:f>EXP(F364)-1</x:f>
        <x:v>0.043817439482935816</x:v>
      </x:c>
      <x:c r="H364" s="8" t="n">
        <x:f>'Source Data'!F364</x:f>
        <x:v>25906</x:v>
      </x:c>
      <x:c r="I364" s="8" t="n">
        <x:f>'Source Data'!H364</x:f>
        <x:v>36554</x:v>
      </x:c>
      <x:c r="J364" s="14" t="n">
        <x:f>I364/H364-1</x:f>
        <x:v>0.41102447309503587</x:v>
      </x:c>
      <x:c r="K364" s="8" t="n">
        <x:f>H364*('Source Data'!H$8/'Source Data'!F$8)*EXP(F364*('Source Data'!H$7-'Source Data'!F$7))</x:f>
        <x:v>31299.466050231422</x:v>
      </x:c>
      <x:c r="L364" s="14" t="n">
        <x:f>I364/K364-1</x:f>
        <x:v>0.16787934788841952</x:v>
      </x:c>
      <x:c r="M364" s="8" t="n">
        <x:f>'Source Data'!G364</x:f>
        <x:v>26964</x:v>
      </x:c>
      <x:c r="N364" s="8" t="n">
        <x:f>M364*('Source Data'!H$8/'Source Data'!G$8)*EXP(F364*('Source Data'!H$7-'Source Data'!G$7))</x:f>
        <x:v>31145.625714704915</x:v>
      </x:c>
      <x:c r="O364" s="14" t="n">
        <x:f>I364/N364-1</x:f>
        <x:v>0.17364795733551786</x:v>
      </x:c>
      <x:c r="P364" s="2" t="str"/>
    </x:row>
    <x:row r="365">
      <x:c r="A365" s="2" t="str">
        <x:f>'Source Data'!A365</x:f>
        <x:v>336412</x:v>
      </x:c>
      <x:c r="B365" s="2" t="str">
        <x:f>'Source Data'!B365</x:f>
        <x:v>Aircraft Engine and Engine Parts Manufacturing</x:v>
      </x:c>
      <x:c r="C365" s="13" t="n">
        <x:f>LN('Source Data'!C365/'Source Data'!C$8)</x:f>
        <x:v>-9.03149678577072</x:v>
      </x:c>
      <x:c r="D365" s="13" t="n">
        <x:f>LN('Source Data'!D365/'Source Data'!D$8)</x:f>
        <x:v>-9.012337787463645</x:v>
      </x:c>
      <x:c r="E365" s="13" t="n">
        <x:f>LN('Source Data'!E365/'Source Data'!E$8)</x:f>
        <x:v>-9.001896957484906</x:v>
      </x:c>
      <x:c r="F365" s="13" t="n">
        <x:f>SLOPE(C365:E365,'Source Data'!C$7:E$7)</x:f>
        <x:v>0.014799914142907156</x:v>
      </x:c>
      <x:c r="G365" s="14" t="n">
        <x:f>EXP(F365)-1</x:f>
        <x:v>0.014909975166480072</x:v>
      </x:c>
      <x:c r="H365" s="8" t="n">
        <x:f>'Source Data'!F365</x:f>
        <x:v>3245</x:v>
      </x:c>
      <x:c r="I365" s="8" t="n">
        <x:f>'Source Data'!H365</x:f>
        <x:v>5630</x:v>
      </x:c>
      <x:c r="J365" s="14" t="n">
        <x:f>I365/H365-1</x:f>
        <x:v>0.7349768875192604</x:v>
      </x:c>
      <x:c r="K365" s="8" t="n">
        <x:f>H365*('Source Data'!H$8/'Source Data'!F$8)*EXP(F365*('Source Data'!H$7-'Source Data'!F$7))</x:f>
        <x:v>3503.992426996981</x:v>
      </x:c>
      <x:c r="L365" s="14" t="n">
        <x:f>I365/K365-1</x:f>
        <x:v>0.6067386323734343</x:v>
      </x:c>
      <x:c r="M365" s="8" t="n">
        <x:f>'Source Data'!G365</x:f>
        <x:v>3786</x:v>
      </x:c>
      <x:c r="N365" s="8" t="n">
        <x:f>M365*('Source Data'!H$8/'Source Data'!G$8)*EXP(F365*('Source Data'!H$7-'Source Data'!G$7))</x:f>
        <x:v>4019.7798513336807</x:v>
      </x:c>
      <x:c r="O365" s="14" t="n">
        <x:f>I365/N365-1</x:f>
        <x:v>0.400574212573378</x:v>
      </x:c>
      <x:c r="P365" s="2" t="str"/>
    </x:row>
    <x:row r="366">
      <x:c r="A366" s="2" t="str">
        <x:f>'Source Data'!A366</x:f>
        <x:v>336413</x:v>
      </x:c>
      <x:c r="B366" s="2" t="str">
        <x:f>'Source Data'!B366</x:f>
        <x:v>Other Aircraft Parts and Auxiliary Equipment Manufacturing</x:v>
      </x:c>
      <x:c r="C366" s="13" t="n">
        <x:f>LN('Source Data'!C366/'Source Data'!C$8)</x:f>
        <x:v>-6.1832861497767695</x:v>
      </x:c>
      <x:c r="D366" s="13" t="n">
        <x:f>LN('Source Data'!D366/'Source Data'!D$8)</x:f>
        <x:v>-6.236003283595372</x:v>
      </x:c>
      <x:c r="E366" s="13" t="n">
        <x:f>LN('Source Data'!E366/'Source Data'!E$8)</x:f>
        <x:v>-6.239969061211593</x:v>
      </x:c>
      <x:c r="F366" s="13" t="n">
        <x:f>SLOPE(C366:E366,'Source Data'!C$7:E$7)</x:f>
        <x:v>-0.028341455717411534</x:v>
      </x:c>
      <x:c r="G366" s="14" t="n">
        <x:f>EXP(F366)-1</x:f>
        <x:v>-0.02794360408623764</x:v>
      </x:c>
      <x:c r="H366" s="8" t="n">
        <x:f>'Source Data'!F366</x:f>
        <x:v>22897</x:v>
      </x:c>
      <x:c r="I366" s="8" t="n">
        <x:f>'Source Data'!H366</x:f>
        <x:v>24790</x:v>
      </x:c>
      <x:c r="J366" s="14" t="n">
        <x:f>I366/H366-1</x:f>
        <x:v>0.08267458619033063</x:v>
      </x:c>
      <x:c r="K366" s="8" t="n">
        <x:f>H366*('Source Data'!H$8/'Source Data'!F$8)*EXP(F366*('Source Data'!H$7-'Source Data'!F$7))</x:f>
        <x:v>20805.722724284195</x:v>
      </x:c>
      <x:c r="L366" s="14" t="n">
        <x:f>I366/K366-1</x:f>
        <x:v>0.19149910476627685</x:v>
      </x:c>
      <x:c r="M366" s="8" t="n">
        <x:f>'Source Data'!G366</x:f>
        <x:v>24027</x:v>
      </x:c>
      <x:c r="N366" s="8" t="n">
        <x:f>M366*('Source Data'!H$8/'Source Data'!G$8)*EXP(F366*('Source Data'!H$7-'Source Data'!G$7))</x:f>
        <x:v>22413.672977491875</x:v>
      </x:c>
      <x:c r="O366" s="14" t="n">
        <x:f>I366/N366-1</x:f>
        <x:v>0.10602131229872347</x:v>
      </x:c>
      <x:c r="P366" s="2" t="str"/>
    </x:row>
    <x:row r="367">
      <x:c r="A367" s="2" t="str">
        <x:f>'Source Data'!A367</x:f>
        <x:v>336414</x:v>
      </x:c>
      <x:c r="B367" s="2" t="str">
        <x:f>'Source Data'!B367</x:f>
        <x:v>Guided Missile and Space Vehicle Manufacturing</x:v>
      </x:c>
      <x:c r="C367" s="13" t="n">
        <x:f>LN('Source Data'!C367/'Source Data'!C$8)</x:f>
        <x:v>-6.555160007975969</x:v>
      </x:c>
      <x:c r="D367" s="13" t="n">
        <x:f>LN('Source Data'!D367/'Source Data'!D$8)</x:f>
        <x:v>-6.586324071364688</x:v>
      </x:c>
      <x:c r="E367" s="13" t="n">
        <x:f>LN('Source Data'!E367/'Source Data'!E$8)</x:f>
        <x:v>-6.619344697880222</x:v>
      </x:c>
      <x:c r="F367" s="13" t="n">
        <x:f>SLOPE(C367:E367,'Source Data'!C$7:E$7)</x:f>
        <x:v>-0.03209234495212643</x:v>
      </x:c>
      <x:c r="G367" s="14" t="n">
        <x:f>EXP(F367)-1</x:f>
        <x:v>-0.03158285048537213</x:v>
      </x:c>
      <x:c r="H367" s="8" t="n">
        <x:f>'Source Data'!F367</x:f>
        <x:v>21637</x:v>
      </x:c>
      <x:c r="I367" s="8" t="n">
        <x:f>'Source Data'!H367</x:f>
        <x:v>25746</x:v>
      </x:c>
      <x:c r="J367" s="14" t="n">
        <x:f>I367/H367-1</x:f>
        <x:v>0.18990617923002273</x:v>
      </x:c>
      <x:c r="K367" s="8" t="n">
        <x:f>H367*('Source Data'!H$8/'Source Data'!F$8)*EXP(F367*('Source Data'!H$7-'Source Data'!F$7))</x:f>
        <x:v>19368.023587526906</x:v>
      </x:c>
      <x:c r="L367" s="14" t="n">
        <x:f>I367/K367-1</x:f>
        <x:v>0.32930445296341637</x:v>
      </x:c>
      <x:c r="M367" s="8" t="n">
        <x:f>'Source Data'!G367</x:f>
        <x:v>23500</x:v>
      </x:c>
      <x:c r="N367" s="8" t="n">
        <x:f>M367*('Source Data'!H$8/'Source Data'!G$8)*EXP(F367*('Source Data'!H$7-'Source Data'!G$7))</x:f>
        <x:v>21676.76021569835</x:v>
      </x:c>
      <x:c r="O367" s="14" t="n">
        <x:f>I367/N367-1</x:f>
        <x:v>0.187723614774993</x:v>
      </x:c>
      <x:c r="P367" s="2" t="str"/>
    </x:row>
    <x:row r="368">
      <x:c r="A368" s="2" t="str">
        <x:f>'Source Data'!A368</x:f>
        <x:v>336510</x:v>
      </x:c>
      <x:c r="B368" s="2" t="str">
        <x:f>'Source Data'!B368</x:f>
        <x:v>Railroad Rolling Stock Manufacturing</x:v>
      </x:c>
      <x:c r="C368" s="13" t="n">
        <x:f>LN('Source Data'!C368/'Source Data'!C$8)</x:f>
        <x:v>-9.48214534595335</x:v>
      </x:c>
      <x:c r="D368" s="13" t="n">
        <x:f>LN('Source Data'!D368/'Source Data'!D$8)</x:f>
        <x:v>-9.406919573414415</x:v>
      </x:c>
      <x:c r="E368" s="13" t="n">
        <x:f>LN('Source Data'!E368/'Source Data'!E$8)</x:f>
        <x:v>-9.06669010278041</x:v>
      </x:c>
      <x:c r="F368" s="13" t="n">
        <x:f>SLOPE(C368:E368,'Source Data'!C$7:E$7)</x:f>
        <x:v>0.2077276215864705</x:v>
      </x:c>
      <x:c r="G368" s="14" t="n">
        <x:f>EXP(F368)-1</x:f>
        <x:v>0.23087785932673555</x:v>
      </x:c>
      <x:c r="H368" s="8" t="n">
        <x:f>'Source Data'!F368</x:f>
        <x:v>2205</x:v>
      </x:c>
      <x:c r="I368" s="8" t="n">
        <x:f>'Source Data'!H368</x:f>
        <x:v>2765</x:v>
      </x:c>
      <x:c r="J368" s="14" t="n">
        <x:f>I368/H368-1</x:f>
        <x:v>0.25396825396825395</x:v>
      </x:c>
      <x:c r="K368" s="8" t="n">
        <x:f>H368*('Source Data'!H$8/'Source Data'!F$8)*EXP(F368*('Source Data'!H$7-'Source Data'!F$7))</x:f>
        <x:v>5151.180956573341</x:v>
      </x:c>
      <x:c r="L368" s="14" t="n">
        <x:f>I368/K368-1</x:f>
        <x:v>-0.4632298839217389</x:v>
      </x:c>
      <x:c r="M368" s="8" t="n">
        <x:f>'Source Data'!G368</x:f>
        <x:v>2828</x:v>
      </x:c>
      <x:c r="N368" s="8" t="n">
        <x:f>M368*('Source Data'!H$8/'Source Data'!G$8)*EXP(F368*('Source Data'!H$7-'Source Data'!G$7))</x:f>
        <x:v>5356.28134484242</x:v>
      </x:c>
      <x:c r="O368" s="14" t="n">
        <x:f>I368/N368-1</x:f>
        <x:v>-0.48378365100958953</x:v>
      </x:c>
      <x:c r="P368" s="2" t="str"/>
    </x:row>
    <x:row r="369">
      <x:c r="A369" s="2" t="str">
        <x:f>'Source Data'!A369</x:f>
        <x:v>336611</x:v>
      </x:c>
      <x:c r="B369" s="2" t="str">
        <x:f>'Source Data'!B369</x:f>
        <x:v>Ship Building and Repairing</x:v>
      </x:c>
      <x:c r="C369" s="13" t="n">
        <x:f>LN('Source Data'!C369/'Source Data'!C$8)</x:f>
        <x:v>-7.5025698006137</x:v>
      </x:c>
      <x:c r="D369" s="13" t="n">
        <x:f>LN('Source Data'!D369/'Source Data'!D$8)</x:f>
        <x:v>-7.6012413237031815</x:v>
      </x:c>
      <x:c r="E369" s="13" t="n">
        <x:f>LN('Source Data'!E369/'Source Data'!E$8)</x:f>
        <x:v>-7.557066093912442</x:v>
      </x:c>
      <x:c r="F369" s="13" t="n">
        <x:f>SLOPE(C369:E369,'Source Data'!C$7:E$7)</x:f>
        <x:v>-0.02724814664937103</x:v>
      </x:c>
      <x:c r="G369" s="14" t="n">
        <x:f>EXP(F369)-1</x:f>
        <x:v>-0.026880264840638213</x:v>
      </x:c>
      <x:c r="H369" s="8" t="n">
        <x:f>'Source Data'!F369</x:f>
        <x:v>7986</x:v>
      </x:c>
      <x:c r="I369" s="8" t="n">
        <x:f>'Source Data'!H369</x:f>
        <x:v>7991</x:v>
      </x:c>
      <x:c r="J369" s="14" t="n">
        <x:f>I369/H369-1</x:f>
        <x:v>0.0006260956674180029</x:v>
      </x:c>
      <x:c r="K369" s="8" t="n">
        <x:f>H369*('Source Data'!H$8/'Source Data'!F$8)*EXP(F369*('Source Data'!H$7-'Source Data'!F$7))</x:f>
        <x:v>7288.410086780382</x:v>
      </x:c>
      <x:c r="L369" s="14" t="n">
        <x:f>I369/K369-1</x:f>
        <x:v>0.09639824116016271</x:v>
      </x:c>
      <x:c r="M369" s="8" t="n">
        <x:f>'Source Data'!G369</x:f>
        <x:v>8157</x:v>
      </x:c>
      <x:c r="N369" s="8" t="n">
        <x:f>M369*('Source Data'!H$8/'Source Data'!G$8)*EXP(F369*('Source Data'!H$7-'Source Data'!G$7))</x:f>
        <x:v>7634.285536887305</x:v>
      </x:c>
      <x:c r="O369" s="14" t="n">
        <x:f>I369/N369-1</x:f>
        <x:v>0.04672532372402416</x:v>
      </x:c>
      <x:c r="P369" s="2" t="str"/>
    </x:row>
    <x:row r="370">
      <x:c r="A370" s="2" t="str">
        <x:f>'Source Data'!A370</x:f>
        <x:v>336612</x:v>
      </x:c>
      <x:c r="B370" s="2" t="str">
        <x:f>'Source Data'!B370</x:f>
        <x:v>Boat Building</x:v>
      </x:c>
      <x:c r="C370" s="13" t="n">
        <x:f>LN('Source Data'!C370/'Source Data'!C$8)</x:f>
        <x:v>-9.382586752911632</x:v>
      </x:c>
      <x:c r="D370" s="13" t="n">
        <x:f>LN('Source Data'!D370/'Source Data'!D$8)</x:f>
        <x:v>-9.473180365040763</x:v>
      </x:c>
      <x:c r="E370" s="13" t="n">
        <x:f>LN('Source Data'!E370/'Source Data'!E$8)</x:f>
        <x:v>-9.49006789068609</x:v>
      </x:c>
      <x:c r="F370" s="13" t="n">
        <x:f>SLOPE(C370:E370,'Source Data'!C$7:E$7)</x:f>
        <x:v>-0.05374056888722922</x:v>
      </x:c>
      <x:c r="G370" s="14" t="n">
        <x:f>EXP(F370)-1</x:f>
        <x:v>-0.05232206824655661</x:v>
      </x:c>
      <x:c r="H370" s="8" t="n">
        <x:f>'Source Data'!F370</x:f>
        <x:v>1434</x:v>
      </x:c>
      <x:c r="I370" s="8" t="n">
        <x:f>'Source Data'!H370</x:f>
        <x:v>1248</x:v>
      </x:c>
      <x:c r="J370" s="14" t="n">
        <x:f>I370/H370-1</x:f>
        <x:v>-0.12970711297071125</x:v>
      </x:c>
      <x:c r="K370" s="8" t="n">
        <x:f>H370*('Source Data'!H$8/'Source Data'!F$8)*EXP(F370*('Source Data'!H$7-'Source Data'!F$7))</x:f>
        <x:v>1177.14671448319</x:v>
      </x:c>
      <x:c r="L370" s="14" t="n">
        <x:f>I370/K370-1</x:f>
        <x:v>0.060190700653586005</x:v>
      </x:c>
      <x:c r="M370" s="8" t="n">
        <x:f>'Source Data'!G370</x:f>
        <x:v>1240</x:v>
      </x:c>
      <x:c r="N370" s="8" t="n">
        <x:f>M370*('Source Data'!H$8/'Source Data'!G$8)*EXP(F370*('Source Data'!H$7-'Source Data'!G$7))</x:f>
        <x:v>1071.8723890751423</x:v>
      </x:c>
      <x:c r="O370" s="14" t="n">
        <x:f>I370/N370-1</x:f>
        <x:v>0.16431770490592457</x:v>
      </x:c>
      <x:c r="P370" s="2" t="str"/>
    </x:row>
    <x:row r="371">
      <x:c r="A371" s="2" t="str">
        <x:f>'Source Data'!A371</x:f>
        <x:v>336991</x:v>
      </x:c>
      <x:c r="B371" s="2" t="str">
        <x:f>'Source Data'!B371</x:f>
        <x:v>Motorcycle, Bicycle, and Parts Manufacturing</x:v>
      </x:c>
      <x:c r="C371" s="13" t="n">
        <x:f>LN('Source Data'!C371/'Source Data'!C$8)</x:f>
        <x:v>-8.852496517562715</x:v>
      </x:c>
      <x:c r="D371" s="13" t="n">
        <x:f>LN('Source Data'!D371/'Source Data'!D$8)</x:f>
        <x:v>-8.918150572403944</x:v>
      </x:c>
      <x:c r="E371" s="13" t="n">
        <x:f>LN('Source Data'!E371/'Source Data'!E$8)</x:f>
        <x:v>-8.9718033378231</x:v>
      </x:c>
      <x:c r="F371" s="13" t="n">
        <x:f>SLOPE(C371:E371,'Source Data'!C$7:E$7)</x:f>
        <x:v>-0.059653410130192874</x:v>
      </x:c>
      <x:c r="G371" s="14" t="n">
        <x:f>EXP(F371)-1</x:f>
        <x:v>-0.05790900379761721</x:v>
      </x:c>
      <x:c r="H371" s="8" t="n">
        <x:f>'Source Data'!F371</x:f>
        <x:v>2137</x:v>
      </x:c>
      <x:c r="I371" s="8" t="n">
        <x:f>'Source Data'!H371</x:f>
        <x:v>1665</x:v>
      </x:c>
      <x:c r="J371" s="14" t="n">
        <x:f>I371/H371-1</x:f>
        <x:v>-0.2208703790360318</x:v>
      </x:c>
      <x:c r="K371" s="8" t="n">
        <x:f>H371*('Source Data'!H$8/'Source Data'!F$8)*EXP(F371*('Source Data'!H$7-'Source Data'!F$7))</x:f>
        <x:v>1713.2246259812773</x:v>
      </x:c>
      <x:c r="L371" s="14" t="n">
        <x:f>I371/K371-1</x:f>
        <x:v>-0.02814845482019379</x:v>
      </x:c>
      <x:c r="M371" s="8" t="n">
        <x:f>'Source Data'!G371</x:f>
        <x:v>1972</x:v>
      </x:c>
      <x:c r="N371" s="8" t="n">
        <x:f>M371*('Source Data'!H$8/'Source Data'!G$8)*EXP(F371*('Source Data'!H$7-'Source Data'!G$7))</x:f>
        <x:v>1674.6519763168894</x:v>
      </x:c>
      <x:c r="O371" s="14" t="n">
        <x:f>I371/N371-1</x:f>
        <x:v>-0.005763571448509142</x:v>
      </x:c>
      <x:c r="P371" s="2" t="str"/>
    </x:row>
    <x:row r="372">
      <x:c r="A372" s="2" t="str">
        <x:f>'Source Data'!A372</x:f>
        <x:v>336992</x:v>
      </x:c>
      <x:c r="B372" s="2" t="str">
        <x:f>'Source Data'!B372</x:f>
        <x:v>Military Armored Vehicle, Tank, and Tank Component Manufacturing</x:v>
      </x:c>
      <x:c r="C372" s="13" t="n">
        <x:f>LN('Source Data'!C372/'Source Data'!C$8)</x:f>
        <x:v>-10.078230813670164</x:v>
      </x:c>
      <x:c r="D372" s="13" t="n">
        <x:f>LN('Source Data'!D372/'Source Data'!D$8)</x:f>
        <x:v>-10.077834467347257</x:v>
      </x:c>
      <x:c r="E372" s="13" t="n">
        <x:f>LN('Source Data'!E372/'Source Data'!E$8)</x:f>
        <x:v>-9.676129767095768</x:v>
      </x:c>
      <x:c r="F372" s="13" t="n">
        <x:f>SLOPE(C372:E372,'Source Data'!C$7:E$7)</x:f>
        <x:v>0.20105052328719797</x:v>
      </x:c>
      <x:c r="G372" s="14" t="n">
        <x:f>EXP(F372)-1</x:f>
        <x:v>0.2226865444062731</x:v>
      </x:c>
      <x:c r="H372" s="8" t="n">
        <x:f>'Source Data'!F372</x:f>
        <x:v>974</x:v>
      </x:c>
      <x:c r="I372" s="8" t="n">
        <x:f>'Source Data'!H372</x:f>
        <x:v>840</x:v>
      </x:c>
      <x:c r="J372" s="14" t="n">
        <x:f>I372/H372-1</x:f>
        <x:v>-0.13757700205338808</x:v>
      </x:c>
      <x:c r="K372" s="8" t="n">
        <x:f>H372*('Source Data'!H$8/'Source Data'!F$8)*EXP(F372*('Source Data'!H$7-'Source Data'!F$7))</x:f>
        <x:v>2215.429130059578</x:v>
      </x:c>
      <x:c r="L372" s="14" t="n">
        <x:f>I372/K372-1</x:f>
        <x:v>-0.6208409519389995</x:v>
      </x:c>
      <x:c r="M372" s="8" t="n">
        <x:f>'Source Data'!G372</x:f>
        <x:v>916</x:v>
      </x:c>
      <x:c r="N372" s="8" t="n">
        <x:f>M372*('Source Data'!H$8/'Source Data'!G$8)*EXP(F372*('Source Data'!H$7-'Source Data'!G$7))</x:f>
        <x:v>1700.5130473984418</x:v>
      </x:c>
      <x:c r="O372" s="14" t="n">
        <x:f>I372/N372-1</x:f>
        <x:v>-0.5060314289942744</x:v>
      </x:c>
      <x:c r="P372" s="2" t="str"/>
    </x:row>
    <x:row r="373">
      <x:c r="A373" s="2" t="str">
        <x:f>'Source Data'!A373</x:f>
        <x:v>336999</x:v>
      </x:c>
      <x:c r="B373" s="2" t="str">
        <x:f>'Source Data'!B373</x:f>
        <x:v>All Other Transportation Equipment Manufacturing</x:v>
      </x:c>
      <x:c r="C373" s="13" t="n">
        <x:f>LN('Source Data'!C373/'Source Data'!C$8)</x:f>
        <x:v>-9.963415139241583</x:v>
      </x:c>
      <x:c r="D373" s="13" t="n">
        <x:f>LN('Source Data'!D373/'Source Data'!D$8)</x:f>
        <x:v>-10.445740226569983</x:v>
      </x:c>
      <x:c r="E373" s="13" t="n">
        <x:f>LN('Source Data'!E373/'Source Data'!E$8)</x:f>
        <x:v>-10.43567301022902</x:v>
      </x:c>
      <x:c r="F373" s="13" t="n">
        <x:f>SLOPE(C373:E373,'Source Data'!C$7:E$7)</x:f>
        <x:v>-0.23612893549371883</x:v>
      </x:c>
      <x:c r="G373" s="14" t="n">
        <x:f>EXP(F373)-1</x:f>
        <x:v>-0.21032115026380271</x:v>
      </x:c>
      <x:c r="H373" s="8" t="n">
        <x:f>'Source Data'!F373</x:f>
        <x:v>537</x:v>
      </x:c>
      <x:c r="I373" s="8" t="n">
        <x:f>'Source Data'!H373</x:f>
        <x:v>508</x:v>
      </x:c>
      <x:c r="J373" s="14" t="n">
        <x:f>I373/H373-1</x:f>
        <x:v>-0.054003724394785846</x:v>
      </x:c>
      <x:c r="K373" s="8" t="n">
        <x:f>H373*('Source Data'!H$8/'Source Data'!F$8)*EXP(F373*('Source Data'!H$7-'Source Data'!F$7))</x:f>
        <x:v>212.527280220488</x:v>
      </x:c>
      <x:c r="L373" s="14" t="n">
        <x:f>I373/K373-1</x:f>
        <x:v>1.3902813769271014</x:v>
      </x:c>
      <x:c r="M373" s="8" t="n">
        <x:f>'Source Data'!G373</x:f>
        <x:v>518</x:v>
      </x:c>
      <x:c r="N373" s="8" t="n">
        <x:f>M373*('Source Data'!H$8/'Source Data'!G$8)*EXP(F373*('Source Data'!H$7-'Source Data'!G$7))</x:f>
        <x:v>259.0719385997281</x:v>
      </x:c>
      <x:c r="O373" s="14" t="n">
        <x:f>I373/N373-1</x:f>
        <x:v>0.9608453263819947</x:v>
      </x:c>
      <x:c r="P373" s="2" t="str"/>
    </x:row>
    <x:row r="374">
      <x:c r="A374" s="2" t="str">
        <x:f>'Source Data'!A374</x:f>
        <x:v>337110</x:v>
      </x:c>
      <x:c r="B374" s="2" t="str">
        <x:f>'Source Data'!B374</x:f>
        <x:v>Wood Kitchen Cabinet and Countertop Manufacturing</x:v>
      </x:c>
      <x:c r="C374" s="13" t="n">
        <x:f>LN('Source Data'!C374/'Source Data'!C$8)</x:f>
        <x:v>-7.25973305786157</x:v>
      </x:c>
      <x:c r="D374" s="13" t="n">
        <x:f>LN('Source Data'!D374/'Source Data'!D$8)</x:f>
        <x:v>-7.250771440583054</x:v>
      </x:c>
      <x:c r="E374" s="13" t="n">
        <x:f>LN('Source Data'!E374/'Source Data'!E$8)</x:f>
        <x:v>-7.300477316616631</x:v>
      </x:c>
      <x:c r="F374" s="13" t="n">
        <x:f>SLOPE(C374:E374,'Source Data'!C$7:E$7)</x:f>
        <x:v>-0.02037212937753008</x:v>
      </x:c>
      <x:c r="G374" s="14" t="n">
        <x:f>EXP(F374)-1</x:f>
        <x:v>-0.020166019554725856</x:v>
      </x:c>
      <x:c r="H374" s="8" t="n">
        <x:f>'Source Data'!F374</x:f>
        <x:v>10188</x:v>
      </x:c>
      <x:c r="I374" s="8" t="n">
        <x:f>'Source Data'!H374</x:f>
        <x:v>8240</x:v>
      </x:c>
      <x:c r="J374" s="14" t="n">
        <x:f>I374/H374-1</x:f>
        <x:v>-0.19120533961523356</x:v>
      </x:c>
      <x:c r="K374" s="8" t="n">
        <x:f>H374*('Source Data'!H$8/'Source Data'!F$8)*EXP(F374*('Source Data'!H$7-'Source Data'!F$7))</x:f>
        <x:v>9557.345725204426</x:v>
      </x:c>
      <x:c r="L374" s="14" t="n">
        <x:f>I374/K374-1</x:f>
        <x:v>-0.13783593929539983</x:v>
      </x:c>
      <x:c r="M374" s="8" t="n">
        <x:f>'Source Data'!G374</x:f>
        <x:v>10003</x:v>
      </x:c>
      <x:c r="N374" s="8" t="n">
        <x:f>M374*('Source Data'!H$8/'Source Data'!G$8)*EXP(F374*('Source Data'!H$7-'Source Data'!G$7))</x:f>
        <x:v>9557.115947680872</x:v>
      </x:c>
      <x:c r="O374" s="14" t="n">
        <x:f>I374/N374-1</x:f>
        <x:v>-0.13781521066514657</x:v>
      </x:c>
      <x:c r="P374" s="2" t="str"/>
    </x:row>
    <x:row r="375">
      <x:c r="A375" s="2" t="str">
        <x:f>'Source Data'!A375</x:f>
        <x:v>337121</x:v>
      </x:c>
      <x:c r="B375" s="2" t="str">
        <x:f>'Source Data'!B375</x:f>
        <x:v>Upholstered Household Furniture Manufacturing</x:v>
      </x:c>
      <x:c r="C375" s="13" t="n">
        <x:f>LN('Source Data'!C375/'Source Data'!C$8)</x:f>
        <x:v>-7.785527720530569</x:v>
      </x:c>
      <x:c r="D375" s="13" t="n">
        <x:f>LN('Source Data'!D375/'Source Data'!D$8)</x:f>
        <x:v>-7.815630369493895</x:v>
      </x:c>
      <x:c r="E375" s="13" t="n">
        <x:f>LN('Source Data'!E375/'Source Data'!E$8)</x:f>
        <x:v>-7.92516255216878</x:v>
      </x:c>
      <x:c r="F375" s="13" t="n">
        <x:f>SLOPE(C375:E375,'Source Data'!C$7:E$7)</x:f>
        <x:v>-0.06981741581910583</x:v>
      </x:c>
      <x:c r="G375" s="14" t="n">
        <x:f>EXP(F375)-1</x:f>
        <x:v>-0.06743592418962896</x:v>
      </x:c>
      <x:c r="H375" s="8" t="n">
        <x:f>'Source Data'!F375</x:f>
        <x:v>3972</x:v>
      </x:c>
      <x:c r="I375" s="8" t="n">
        <x:f>'Source Data'!H375</x:f>
        <x:v>2779</x:v>
      </x:c>
      <x:c r="J375" s="14" t="n">
        <x:f>I375/H375-1</x:f>
        <x:v>-0.30035246727089626</x:v>
      </x:c>
      <x:c r="K375" s="8" t="n">
        <x:f>H375*('Source Data'!H$8/'Source Data'!F$8)*EXP(F375*('Source Data'!H$7-'Source Data'!F$7))</x:f>
        <x:v>3057.4709521338564</x:v>
      </x:c>
      <x:c r="L375" s="14" t="n">
        <x:f>I375/K375-1</x:f>
        <x:v>-0.09107885454790898</x:v>
      </x:c>
      <x:c r="M375" s="8" t="n">
        <x:f>'Source Data'!G375</x:f>
        <x:v>3353</x:v>
      </x:c>
      <x:c r="N375" s="8" t="n">
        <x:f>M375*('Source Data'!H$8/'Source Data'!G$8)*EXP(F375*('Source Data'!H$7-'Source Data'!G$7))</x:f>
        <x:v>2761.9047336489766</x:v>
      </x:c>
      <x:c r="O375" s="14" t="n">
        <x:f>I375/N375-1</x:f>
        <x:v>0.006189665466280303</x:v>
      </x:c>
      <x:c r="P375" s="2" t="str"/>
    </x:row>
    <x:row r="376">
      <x:c r="A376" s="2" t="str">
        <x:f>'Source Data'!A376</x:f>
        <x:v>337122</x:v>
      </x:c>
      <x:c r="B376" s="2" t="str">
        <x:f>'Source Data'!B376</x:f>
        <x:v>Nonupholstered Wood Household Furniture Manufacturing</x:v>
      </x:c>
      <x:c r="C376" s="13" t="n">
        <x:f>LN('Source Data'!C376/'Source Data'!C$8)</x:f>
        <x:v>-8.399577832214591</x:v>
      </x:c>
      <x:c r="D376" s="13" t="n">
        <x:f>LN('Source Data'!D376/'Source Data'!D$8)</x:f>
        <x:v>-8.528125812215745</x:v>
      </x:c>
      <x:c r="E376" s="13" t="n">
        <x:f>LN('Source Data'!E376/'Source Data'!E$8)</x:f>
        <x:v>-8.744539119259205</x:v>
      </x:c>
      <x:c r="F376" s="13" t="n">
        <x:f>SLOPE(C376:E376,'Source Data'!C$7:E$7)</x:f>
        <x:v>-0.17248064352230674</x:v>
      </x:c>
      <x:c r="G376" s="14" t="n">
        <x:f>EXP(F376)-1</x:f>
        <x:v>-0.1584254214263261</x:v>
      </x:c>
      <x:c r="H376" s="8" t="n">
        <x:f>'Source Data'!F376</x:f>
        <x:v>2291</x:v>
      </x:c>
      <x:c r="I376" s="8" t="n">
        <x:f>'Source Data'!H376</x:f>
        <x:v>1558</x:v>
      </x:c>
      <x:c r="J376" s="14" t="n">
        <x:f>I376/H376-1</x:f>
        <x:v>-0.31994762112614583</x:v>
      </x:c>
      <x:c r="K376" s="8" t="n">
        <x:f>H376*('Source Data'!H$8/'Source Data'!F$8)*EXP(F376*('Source Data'!H$7-'Source Data'!F$7))</x:f>
        <x:v>1169.5906718546537</x:v>
      </x:c>
      <x:c r="L376" s="14" t="n">
        <x:f>I376/K376-1</x:f>
        <x:v>0.33208996744941066</x:v>
      </x:c>
      <x:c r="M376" s="8" t="n">
        <x:f>'Source Data'!G376</x:f>
        <x:v>2177</x:v>
      </x:c>
      <x:c r="N376" s="8" t="n">
        <x:f>M376*('Source Data'!H$8/'Source Data'!G$8)*EXP(F376*('Source Data'!H$7-'Source Data'!G$7))</x:f>
        <x:v>1317.878430876151</x:v>
      </x:c>
      <x:c r="O376" s="14" t="n">
        <x:f>I376/N376-1</x:f>
        <x:v>0.18220312549178885</x:v>
      </x:c>
      <x:c r="P376" s="2" t="str"/>
    </x:row>
    <x:row r="377">
      <x:c r="A377" s="2" t="str">
        <x:f>'Source Data'!A377</x:f>
        <x:v>337126</x:v>
      </x:c>
      <x:c r="B377" s="2" t="str">
        <x:f>'Source Data'!B377</x:f>
        <x:v>Household Furniture (except Wood and Upholstered) Manufacturing</x:v>
      </x:c>
      <x:c r="C377" s="13" t="n">
        <x:f>LN('Source Data'!C377/'Source Data'!C$8)</x:f>
        <x:v>-9.065418514805387</x:v>
      </x:c>
      <x:c r="D377" s="13" t="n">
        <x:f>LN('Source Data'!D377/'Source Data'!D$8)</x:f>
        <x:v>-9.114461248502016</x:v>
      </x:c>
      <x:c r="E377" s="13" t="n">
        <x:f>LN('Source Data'!E377/'Source Data'!E$8)</x:f>
        <x:v>-9.30257454548974</x:v>
      </x:c>
      <x:c r="F377" s="13" t="n">
        <x:f>SLOPE(C377:E377,'Source Data'!C$7:E$7)</x:f>
        <x:v>-0.11857801534217671</x:v>
      </x:c>
      <x:c r="G377" s="14" t="n">
        <x:f>EXP(F377)-1</x:f>
        <x:v>-0.11181747890947835</x:v>
      </x:c>
      <x:c r="H377" s="8" t="n">
        <x:f>'Source Data'!F377</x:f>
        <x:v>1207</x:v>
      </x:c>
      <x:c r="I377" s="8" t="n">
        <x:f>'Source Data'!H377</x:f>
        <x:v>693</x:v>
      </x:c>
      <x:c r="J377" s="14" t="n">
        <x:f>I377/H377-1</x:f>
        <x:v>-0.4258492129246064</x:v>
      </x:c>
      <x:c r="K377" s="8" t="n">
        <x:f>H377*('Source Data'!H$8/'Source Data'!F$8)*EXP(F377*('Source Data'!H$7-'Source Data'!F$7))</x:f>
        <x:v>764.4595891842403</x:v>
      </x:c>
      <x:c r="L377" s="14" t="n">
        <x:f>I377/K377-1</x:f>
        <x:v>-0.09347726183995575</x:v>
      </x:c>
      <x:c r="M377" s="8" t="n">
        <x:f>'Source Data'!G377</x:f>
        <x:v>1125</x:v>
      </x:c>
      <x:c r="N377" s="8" t="n">
        <x:f>M377*('Source Data'!H$8/'Source Data'!G$8)*EXP(F377*('Source Data'!H$7-'Source Data'!G$7))</x:f>
        <x:v>800.5681084293394</x:v>
      </x:c>
      <x:c r="O377" s="14" t="n">
        <x:f>I377/N377-1</x:f>
        <x:v>-0.13436471837528075</x:v>
      </x:c>
      <x:c r="P377" s="2" t="str"/>
    </x:row>
    <x:row r="378">
      <x:c r="A378" s="2" t="str">
        <x:f>'Source Data'!A378</x:f>
        <x:v>337127</x:v>
      </x:c>
      <x:c r="B378" s="2" t="str">
        <x:f>'Source Data'!B378</x:f>
        <x:v>Institutional Furniture Manufacturing</x:v>
      </x:c>
      <x:c r="C378" s="13" t="n">
        <x:f>LN('Source Data'!C378/'Source Data'!C$8)</x:f>
        <x:v>-9.242427332708695</x:v>
      </x:c>
      <x:c r="D378" s="13" t="n">
        <x:f>LN('Source Data'!D378/'Source Data'!D$8)</x:f>
        <x:v>-9.348697796936992</x:v>
      </x:c>
      <x:c r="E378" s="13" t="n">
        <x:f>LN('Source Data'!E378/'Source Data'!E$8)</x:f>
        <x:v>-9.380715353758726</x:v>
      </x:c>
      <x:c r="F378" s="13" t="n">
        <x:f>SLOPE(C378:E378,'Source Data'!C$7:E$7)</x:f>
        <x:v>-0.06914401052501518</x:v>
      </x:c>
      <x:c r="G378" s="14" t="n">
        <x:f>EXP(F378)-1</x:f>
        <x:v>-0.0668077191093257</x:v>
      </x:c>
      <x:c r="H378" s="8" t="n">
        <x:f>'Source Data'!F378</x:f>
        <x:v>1075</x:v>
      </x:c>
      <x:c r="I378" s="8" t="n">
        <x:f>'Source Data'!H378</x:f>
        <x:v>1171</x:v>
      </x:c>
      <x:c r="J378" s="14" t="n">
        <x:f>I378/H378-1</x:f>
        <x:v>0.08930232558139539</x:v>
      </x:c>
      <x:c r="K378" s="8" t="n">
        <x:f>H378*('Source Data'!H$8/'Source Data'!F$8)*EXP(F378*('Source Data'!H$7-'Source Data'!F$7))</x:f>
        <x:v>829.7196756481876</x:v>
      </x:c>
      <x:c r="L378" s="14" t="n">
        <x:f>I378/K378-1</x:f>
        <x:v>0.41132003298005415</x:v>
      </x:c>
      <x:c r="M378" s="8" t="n">
        <x:f>'Source Data'!G378</x:f>
        <x:v>1097</x:v>
      </x:c>
      <x:c r="N378" s="8" t="n">
        <x:f>M378*('Source Data'!H$8/'Source Data'!G$8)*EXP(F378*('Source Data'!H$7-'Source Data'!G$7))</x:f>
        <x:v>905.4388753280056</x:v>
      </x:c>
      <x:c r="O378" s="14" t="n">
        <x:f>I378/N378-1</x:f>
        <x:v>0.2932954746125649</x:v>
      </x:c>
      <x:c r="P378" s="2" t="str"/>
    </x:row>
    <x:row r="379">
      <x:c r="A379" s="2" t="str">
        <x:f>'Source Data'!A379</x:f>
        <x:v>337211</x:v>
      </x:c>
      <x:c r="B379" s="2" t="str">
        <x:f>'Source Data'!B379</x:f>
        <x:v>Wood Office Furniture Manufacturing</x:v>
      </x:c>
      <x:c r="C379" s="13" t="n">
        <x:f>LN('Source Data'!C379/'Source Data'!C$8)</x:f>
        <x:v>-9.18350425971185</x:v>
      </x:c>
      <x:c r="D379" s="13" t="n">
        <x:f>LN('Source Data'!D379/'Source Data'!D$8)</x:f>
        <x:v>-9.329249498230364</x:v>
      </x:c>
      <x:c r="E379" s="13" t="n">
        <x:f>LN('Source Data'!E379/'Source Data'!E$8)</x:f>
        <x:v>-9.340116491700389</x:v>
      </x:c>
      <x:c r="F379" s="13" t="n">
        <x:f>SLOPE(C379:E379,'Source Data'!C$7:E$7)</x:f>
        <x:v>-0.07830611599426973</x:v>
      </x:c>
      <x:c r="G379" s="14" t="n">
        <x:f>EXP(F379)-1</x:f>
        <x:v>-0.07531867652815638</x:v>
      </x:c>
      <x:c r="H379" s="8" t="n">
        <x:f>'Source Data'!F379</x:f>
        <x:v>1174</x:v>
      </x:c>
      <x:c r="I379" s="8" t="n">
        <x:f>'Source Data'!H379</x:f>
        <x:v>753</x:v>
      </x:c>
      <x:c r="J379" s="14" t="n">
        <x:f>I379/H379-1</x:f>
        <x:v>-0.358603066439523</x:v>
      </x:c>
      <x:c r="K379" s="8" t="n">
        <x:f>H379*('Source Data'!H$8/'Source Data'!F$8)*EXP(F379*('Source Data'!H$7-'Source Data'!F$7))</x:f>
        <x:v>873.5239446541267</x:v>
      </x:c>
      <x:c r="L379" s="14" t="n">
        <x:f>I379/K379-1</x:f>
        <x:v>-0.13797440286751195</x:v>
      </x:c>
      <x:c r="M379" s="8" t="n">
        <x:f>'Source Data'!G379</x:f>
        <x:v>1089</x:v>
      </x:c>
      <x:c r="N379" s="8" t="n">
        <x:f>M379*('Source Data'!H$8/'Source Data'!G$8)*EXP(F379*('Source Data'!H$7-'Source Data'!G$7))</x:f>
        <x:v>874.466614900773</x:v>
      </x:c>
      <x:c r="O379" s="14" t="n">
        <x:f>I379/N379-1</x:f>
        <x:v>-0.13890366176478453</x:v>
      </x:c>
      <x:c r="P379" s="2" t="str"/>
    </x:row>
    <x:row r="380">
      <x:c r="A380" s="2" t="str">
        <x:f>'Source Data'!A380</x:f>
        <x:v>337212</x:v>
      </x:c>
      <x:c r="B380" s="2" t="str">
        <x:f>'Source Data'!B380</x:f>
        <x:v>Custom Architectural Woodwork and Millwork Manufacturing</x:v>
      </x:c>
      <x:c r="C380" s="13" t="n">
        <x:f>LN('Source Data'!C380/'Source Data'!C$8)</x:f>
        <x:v>-8.710439924114834</x:v>
      </x:c>
      <x:c r="D380" s="13" t="n">
        <x:f>LN('Source Data'!D380/'Source Data'!D$8)</x:f>
        <x:v>-8.657122943745</x:v>
      </x:c>
      <x:c r="E380" s="13" t="n">
        <x:f>LN('Source Data'!E380/'Source Data'!E$8)</x:f>
        <x:v>-8.65080220199615</x:v>
      </x:c>
      <x:c r="F380" s="13" t="n">
        <x:f>SLOPE(C380:E380,'Source Data'!C$7:E$7)</x:f>
        <x:v>0.029818861059341728</x:v>
      </x:c>
      <x:c r="G380" s="14" t="n">
        <x:f>EXP(F380)-1</x:f>
        <x:v>0.030267895415103885</x:v>
      </x:c>
      <x:c r="H380" s="8" t="n">
        <x:f>'Source Data'!F380</x:f>
        <x:v>2933</x:v>
      </x:c>
      <x:c r="I380" s="8" t="n">
        <x:f>'Source Data'!H380</x:f>
        <x:v>3117</x:v>
      </x:c>
      <x:c r="J380" s="14" t="n">
        <x:f>I380/H380-1</x:f>
        <x:v>0.06273440163654964</x:v>
      </x:c>
      <x:c r="K380" s="8" t="n">
        <x:f>H380*('Source Data'!H$8/'Source Data'!F$8)*EXP(F380*('Source Data'!H$7-'Source Data'!F$7))</x:f>
        <x:v>3363.187682743672</x:v>
      </x:c>
      <x:c r="L380" s="14" t="n">
        <x:f>I380/K380-1</x:f>
        <x:v>-0.0732006970669069</x:v>
      </x:c>
      <x:c r="M380" s="8" t="n">
        <x:f>'Source Data'!G380</x:f>
        <x:v>3079</x:v>
      </x:c>
      <x:c r="N380" s="8" t="n">
        <x:f>M380*('Source Data'!H$8/'Source Data'!G$8)*EXP(F380*('Source Data'!H$7-'Source Data'!G$7))</x:f>
        <x:v>3419.7887996730665</x:v>
      </x:c>
      <x:c r="O380" s="14" t="n">
        <x:f>I380/N380-1</x:f>
        <x:v>-0.0885402045009368</x:v>
      </x:c>
      <x:c r="P380" s="2" t="str"/>
    </x:row>
    <x:row r="381">
      <x:c r="A381" s="2" t="str">
        <x:f>'Source Data'!A381</x:f>
        <x:v>337214</x:v>
      </x:c>
      <x:c r="B381" s="2" t="str">
        <x:f>'Source Data'!B381</x:f>
        <x:v>Office Furniture (except Wood) Manufacturing</x:v>
      </x:c>
      <x:c r="C381" s="13" t="n">
        <x:f>LN('Source Data'!C381/'Source Data'!C$8)</x:f>
        <x:v>-9.115056495897159</x:v>
      </x:c>
      <x:c r="D381" s="13" t="n">
        <x:f>LN('Source Data'!D381/'Source Data'!D$8)</x:f>
        <x:v>-9.072471508467247</x:v>
      </x:c>
      <x:c r="E381" s="13" t="n">
        <x:f>LN('Source Data'!E381/'Source Data'!E$8)</x:f>
        <x:v>-9.149161056997011</x:v>
      </x:c>
      <x:c r="F381" s="13" t="n">
        <x:f>SLOPE(C381:E381,'Source Data'!C$7:E$7)</x:f>
        <x:v>-0.017052280549926024</x:v>
      </x:c>
      <x:c r="G381" s="14" t="n">
        <x:f>EXP(F381)-1</x:f>
        <x:v>-0.016907713314011197</x:v>
      </x:c>
      <x:c r="H381" s="8" t="n">
        <x:f>'Source Data'!F381</x:f>
        <x:v>1480</x:v>
      </x:c>
      <x:c r="I381" s="8" t="n">
        <x:f>'Source Data'!H381</x:f>
        <x:v>1266</x:v>
      </x:c>
      <x:c r="J381" s="14" t="n">
        <x:f>I381/H381-1</x:f>
        <x:v>-0.14459459459459456</x:v>
      </x:c>
      <x:c r="K381" s="8" t="n">
        <x:f>H381*('Source Data'!H$8/'Source Data'!F$8)*EXP(F381*('Source Data'!H$7-'Source Data'!F$7))</x:f>
        <x:v>1406.9453989675299</x:v>
      </x:c>
      <x:c r="L381" s="14" t="n">
        <x:f>I381/K381-1</x:f>
        <x:v>-0.10017830050189647</x:v>
      </x:c>
      <x:c r="M381" s="8" t="n">
        <x:f>'Source Data'!G381</x:f>
        <x:v>1600</x:v>
      </x:c>
      <x:c r="N381" s="8" t="n">
        <x:f>M381*('Source Data'!H$8/'Source Data'!G$8)*EXP(F381*('Source Data'!H$7-'Source Data'!G$7))</x:f>
        <x:v>1543.9809758123797</x:v>
      </x:c>
      <x:c r="O381" s="14" t="n">
        <x:f>I381/N381-1</x:f>
        <x:v>-0.1800417104661004</x:v>
      </x:c>
      <x:c r="P381" s="2" t="str"/>
    </x:row>
    <x:row r="382">
      <x:c r="A382" s="2" t="str">
        <x:f>'Source Data'!A382</x:f>
        <x:v>337215</x:v>
      </x:c>
      <x:c r="B382" s="2" t="str">
        <x:f>'Source Data'!B382</x:f>
        <x:v>Showcase, Partition, Shelving, and Locker Manufacturing</x:v>
      </x:c>
      <x:c r="C382" s="13" t="n">
        <x:f>LN('Source Data'!C382/'Source Data'!C$8)</x:f>
        <x:v>-8.531022977772198</x:v>
      </x:c>
      <x:c r="D382" s="13" t="n">
        <x:f>LN('Source Data'!D382/'Source Data'!D$8)</x:f>
        <x:v>-8.529856215831463</x:v>
      </x:c>
      <x:c r="E382" s="13" t="n">
        <x:f>LN('Source Data'!E382/'Source Data'!E$8)</x:f>
        <x:v>-8.472906708426974</x:v>
      </x:c>
      <x:c r="F382" s="13" t="n">
        <x:f>SLOPE(C382:E382,'Source Data'!C$7:E$7)</x:f>
        <x:v>0.029058134672611757</x:v>
      </x:c>
      <x:c r="G382" s="14" t="n">
        <x:f>EXP(F382)-1</x:f>
        <x:v>0.029484441476485213</x:v>
      </x:c>
      <x:c r="H382" s="8" t="n">
        <x:f>'Source Data'!F382</x:f>
        <x:v>2716</x:v>
      </x:c>
      <x:c r="I382" s="8" t="n">
        <x:f>'Source Data'!H382</x:f>
        <x:v>2709</x:v>
      </x:c>
      <x:c r="J382" s="14" t="n">
        <x:f>I382/H382-1</x:f>
        <x:v>-0.002577319587628857</x:v>
      </x:c>
      <x:c r="K382" s="8" t="n">
        <x:f>H382*('Source Data'!H$8/'Source Data'!F$8)*EXP(F382*('Source Data'!H$7-'Source Data'!F$7))</x:f>
        <x:v>3104.8976549885833</x:v>
      </x:c>
      <x:c r="L382" s="14" t="n">
        <x:f>I382/K382-1</x:f>
        <x:v>-0.1275074733469883</x:v>
      </x:c>
      <x:c r="M382" s="8" t="n">
        <x:f>'Source Data'!G382</x:f>
        <x:v>2668</x:v>
      </x:c>
      <x:c r="N382" s="8" t="n">
        <x:f>M382*('Source Data'!H$8/'Source Data'!G$8)*EXP(F382*('Source Data'!H$7-'Source Data'!G$7))</x:f>
        <x:v>2956.5435742769596</x:v>
      </x:c>
      <x:c r="O382" s="14" t="n">
        <x:f>I382/N382-1</x:f>
        <x:v>-0.08372735529105058</x:v>
      </x:c>
      <x:c r="P382" s="2" t="str"/>
    </x:row>
    <x:row r="383">
      <x:c r="A383" s="2" t="str">
        <x:f>'Source Data'!A383</x:f>
        <x:v>337910</x:v>
      </x:c>
      <x:c r="B383" s="2" t="str">
        <x:f>'Source Data'!B383</x:f>
        <x:v>Mattress Manufacturing</x:v>
      </x:c>
      <x:c r="C383" s="13" t="n">
        <x:f>LN('Source Data'!C383/'Source Data'!C$8)</x:f>
        <x:v>-8.727131944453934</x:v>
      </x:c>
      <x:c r="D383" s="13" t="n">
        <x:f>LN('Source Data'!D383/'Source Data'!D$8)</x:f>
        <x:v>-8.732684492558269</x:v>
      </x:c>
      <x:c r="E383" s="13" t="n">
        <x:f>LN('Source Data'!E383/'Source Data'!E$8)</x:f>
        <x:v>-8.80809401072427</x:v>
      </x:c>
      <x:c r="F383" s="13" t="n">
        <x:f>SLOPE(C383:E383,'Source Data'!C$7:E$7)</x:f>
        <x:v>-0.040481033135168154</x:v>
      </x:c>
      <x:c r="G383" s="14" t="n">
        <x:f>EXP(F383)-1</x:f>
        <x:v>-0.0396726212617341</x:v>
      </x:c>
      <x:c r="H383" s="8" t="n">
        <x:f>'Source Data'!F383</x:f>
        <x:v>2460</x:v>
      </x:c>
      <x:c r="I383" s="8" t="n">
        <x:f>'Source Data'!H383</x:f>
        <x:v>1613</x:v>
      </x:c>
      <x:c r="J383" s="14" t="n">
        <x:f>I383/H383-1</x:f>
        <x:v>-0.34430894308943094</x:v>
      </x:c>
      <x:c r="K383" s="8" t="n">
        <x:f>H383*('Source Data'!H$8/'Source Data'!F$8)*EXP(F383*('Source Data'!H$7-'Source Data'!F$7))</x:f>
        <x:v>2129.368000903824</x:v>
      </x:c>
      <x:c r="L383" s="14" t="n">
        <x:f>I383/K383-1</x:f>
        <x:v>-0.24249824393183717</x:v>
      </x:c>
      <x:c r="M383" s="8" t="n">
        <x:f>'Source Data'!G383</x:f>
        <x:v>2164</x:v>
      </x:c>
      <x:c r="N383" s="8" t="n">
        <x:f>M383*('Source Data'!H$8/'Source Data'!G$8)*EXP(F383*('Source Data'!H$7-'Source Data'!G$7))</x:f>
        <x:v>1946.4994473420838</x:v>
      </x:c>
      <x:c r="O383" s="14" t="n">
        <x:f>I383/N383-1</x:f>
        <x:v>-0.17133292680738876</x:v>
      </x:c>
      <x:c r="P383" s="2" t="str"/>
    </x:row>
    <x:row r="384">
      <x:c r="A384" s="2" t="str">
        <x:f>'Source Data'!A384</x:f>
        <x:v>337920</x:v>
      </x:c>
      <x:c r="B384" s="2" t="str">
        <x:f>'Source Data'!B384</x:f>
        <x:v>Blind and Shade Manufacturing</x:v>
      </x:c>
      <x:c r="C384" s="13" t="n">
        <x:f>LN('Source Data'!C384/'Source Data'!C$8)</x:f>
        <x:v>-8.729292239094043</x:v>
      </x:c>
      <x:c r="D384" s="13" t="n">
        <x:f>LN('Source Data'!D384/'Source Data'!D$8)</x:f>
        <x:v>-8.721713918395658</x:v>
      </x:c>
      <x:c r="E384" s="13" t="n">
        <x:f>LN('Source Data'!E384/'Source Data'!E$8)</x:f>
        <x:v>-8.804952881823409</x:v>
      </x:c>
      <x:c r="F384" s="13" t="n">
        <x:f>SLOPE(C384:E384,'Source Data'!C$7:E$7)</x:f>
        <x:v>-0.037830321364682895</x:v>
      </x:c>
      <x:c r="G384" s="14" t="n">
        <x:f>EXP(F384)-1</x:f>
        <x:v>-0.03712369343134725</x:v>
      </x:c>
      <x:c r="H384" s="8" t="n">
        <x:f>'Source Data'!F384</x:f>
        <x:v>1515</x:v>
      </x:c>
      <x:c r="I384" s="8" t="n">
        <x:f>'Source Data'!H384</x:f>
        <x:v>1119</x:v>
      </x:c>
      <x:c r="J384" s="14" t="n">
        <x:f>I384/H384-1</x:f>
        <x:v>-0.2613861386138614</x:v>
      </x:c>
      <x:c r="K384" s="8" t="n">
        <x:f>H384*('Source Data'!H$8/'Source Data'!F$8)*EXP(F384*('Source Data'!H$7-'Source Data'!F$7))</x:f>
        <x:v>1325.357399584509</x:v>
      </x:c>
      <x:c r="L384" s="14" t="n">
        <x:f>I384/K384-1</x:f>
        <x:v>-0.15569943597794889</x:v>
      </x:c>
      <x:c r="M384" s="8" t="n">
        <x:f>'Source Data'!G384</x:f>
        <x:v>1334</x:v>
      </x:c>
      <x:c r="N384" s="8" t="n">
        <x:f>M384*('Source Data'!H$8/'Source Data'!G$8)*EXP(F384*('Source Data'!H$7-'Source Data'!G$7))</x:f>
        <x:v>1209.5015419890467</x:v>
      </x:c>
      <x:c r="O384" s="14" t="n">
        <x:f>I384/N384-1</x:f>
        <x:v>-0.07482548706818126</x:v>
      </x:c>
      <x:c r="P384" s="2" t="str"/>
    </x:row>
    <x:row r="385">
      <x:c r="A385" s="2" t="str">
        <x:f>'Source Data'!A385</x:f>
        <x:v>339112</x:v>
      </x:c>
      <x:c r="B385" s="2" t="str">
        <x:f>'Source Data'!B385</x:f>
        <x:v>Surgical and Medical Instrument Manufacturing</x:v>
      </x:c>
      <x:c r="C385" s="13" t="n">
        <x:f>LN('Source Data'!C385/'Source Data'!C$8)</x:f>
        <x:v>-6.445657195767323</x:v>
      </x:c>
      <x:c r="D385" s="13" t="n">
        <x:f>LN('Source Data'!D385/'Source Data'!D$8)</x:f>
        <x:v>-6.316596476452478</x:v>
      </x:c>
      <x:c r="E385" s="13" t="n">
        <x:f>LN('Source Data'!E385/'Source Data'!E$8)</x:f>
        <x:v>-6.293664921669948</x:v>
      </x:c>
      <x:c r="F385" s="13" t="n">
        <x:f>SLOPE(C385:E385,'Source Data'!C$7:E$7)</x:f>
        <x:v>0.07599613704868746</x:v>
      </x:c>
      <x:c r="G385" s="14" t="n">
        <x:f>EXP(F385)-1</x:f>
        <x:v>0.07895840618544225</x:v>
      </x:c>
      <x:c r="H385" s="8" t="n">
        <x:f>'Source Data'!F385</x:f>
        <x:v>29822</x:v>
      </x:c>
      <x:c r="I385" s="8" t="n">
        <x:f>'Source Data'!H385</x:f>
        <x:v>30970</x:v>
      </x:c>
      <x:c r="J385" s="14" t="n">
        <x:f>I385/H385-1</x:f>
        <x:v>0.038495070753135296</x:v>
      </x:c>
      <x:c r="K385" s="8" t="n">
        <x:f>H385*('Source Data'!H$8/'Source Data'!F$8)*EXP(F385*('Source Data'!H$7-'Source Data'!F$7))</x:f>
        <x:v>41133.337720584525</x:v>
      </x:c>
      <x:c r="L385" s="14" t="n">
        <x:f>I385/K385-1</x:f>
        <x:v>-0.24708273832829386</x:v>
      </x:c>
      <x:c r="M385" s="8" t="n">
        <x:f>'Source Data'!G385</x:f>
        <x:v>30101</x:v>
      </x:c>
      <x:c r="N385" s="8" t="n">
        <x:f>M385*('Source Data'!H$8/'Source Data'!G$8)*EXP(F385*('Source Data'!H$7-'Source Data'!G$7))</x:f>
        <x:v>38400.25681669473</x:v>
      </x:c>
      <x:c r="O385" s="14" t="n">
        <x:f>I385/N385-1</x:f>
        <x:v>-0.19349497718630837</x:v>
      </x:c>
      <x:c r="P385" s="2" t="str"/>
    </x:row>
    <x:row r="386">
      <x:c r="A386" s="2" t="str">
        <x:f>'Source Data'!A386</x:f>
        <x:v>339113</x:v>
      </x:c>
      <x:c r="B386" s="2" t="str">
        <x:f>'Source Data'!B386</x:f>
        <x:v>Surgical Appliance and Supplies Manufacturing</x:v>
      </x:c>
      <x:c r="C386" s="13" t="n">
        <x:f>LN('Source Data'!C386/'Source Data'!C$8)</x:f>
        <x:v>-7.199313294708008</x:v>
      </x:c>
      <x:c r="D386" s="13" t="n">
        <x:f>LN('Source Data'!D386/'Source Data'!D$8)</x:f>
        <x:v>-7.239651694104056</x:v>
      </x:c>
      <x:c r="E386" s="13" t="n">
        <x:f>LN('Source Data'!E386/'Source Data'!E$8)</x:f>
        <x:v>-7.214968195367647</x:v>
      </x:c>
      <x:c r="F386" s="13" t="n">
        <x:f>SLOPE(C386:E386,'Source Data'!C$7:E$7)</x:f>
        <x:v>-0.007827450329819463</x:v>
      </x:c>
      <x:c r="G386" s="14" t="n">
        <x:f>EXP(F386)-1</x:f>
        <x:v>-0.007796895614300303</x:v>
      </x:c>
      <x:c r="H386" s="8" t="n">
        <x:f>'Source Data'!F386</x:f>
        <x:v>11399</x:v>
      </x:c>
      <x:c r="I386" s="8" t="n">
        <x:f>'Source Data'!H386</x:f>
        <x:v>8744</x:v>
      </x:c>
      <x:c r="J386" s="14" t="n">
        <x:f>I386/H386-1</x:f>
        <x:v>-0.2329151679971927</x:v>
      </x:c>
      <x:c r="K386" s="8" t="n">
        <x:f>H386*('Source Data'!H$8/'Source Data'!F$8)*EXP(F386*('Source Data'!H$7-'Source Data'!F$7))</x:f>
        <x:v>11243.653498879237</x:v>
      </x:c>
      <x:c r="L386" s="14" t="n">
        <x:f>I386/K386-1</x:f>
        <x:v>-0.22231683848389683</x:v>
      </x:c>
      <x:c r="M386" s="8" t="n">
        <x:f>'Source Data'!G386</x:f>
        <x:v>11741</x:v>
      </x:c>
      <x:c r="N386" s="8" t="n">
        <x:f>M386*('Source Data'!H$8/'Source Data'!G$8)*EXP(F386*('Source Data'!H$7-'Source Data'!G$7))</x:f>
        <x:v>11647.854281752047</x:v>
      </x:c>
      <x:c r="O386" s="14" t="n">
        <x:f>I386/N386-1</x:f>
        <x:v>-0.24930379548972648</x:v>
      </x:c>
      <x:c r="P386" s="2" t="str"/>
    </x:row>
    <x:row r="387">
      <x:c r="A387" s="2" t="str">
        <x:f>'Source Data'!A387</x:f>
        <x:v>339114</x:v>
      </x:c>
      <x:c r="B387" s="2" t="str">
        <x:f>'Source Data'!B387</x:f>
        <x:v>Dental Equipment and Supplies Manufacturing</x:v>
      </x:c>
      <x:c r="C387" s="13" t="n">
        <x:f>LN('Source Data'!C387/'Source Data'!C$8)</x:f>
        <x:v>-8.403317319277152</x:v>
      </x:c>
      <x:c r="D387" s="13" t="n">
        <x:f>LN('Source Data'!D387/'Source Data'!D$8)</x:f>
        <x:v>-8.441085620519086</x:v>
      </x:c>
      <x:c r="E387" s="13" t="n">
        <x:f>LN('Source Data'!E387/'Source Data'!E$8)</x:f>
        <x:v>-8.466498483998205</x:v>
      </x:c>
      <x:c r="F387" s="13" t="n">
        <x:f>SLOPE(C387:E387,'Source Data'!C$7:E$7)</x:f>
        <x:v>-0.031590582360526476</x:v>
      </x:c>
      <x:c r="G387" s="14" t="n">
        <x:f>EXP(F387)-1</x:f>
        <x:v>-0.031096813059179884</x:v>
      </x:c>
      <x:c r="H387" s="8" t="n">
        <x:f>'Source Data'!F387</x:f>
        <x:v>3242</x:v>
      </x:c>
      <x:c r="I387" s="8" t="n">
        <x:f>'Source Data'!H387</x:f>
        <x:v>3412</x:v>
      </x:c>
      <x:c r="J387" s="14" t="n">
        <x:f>I387/H387-1</x:f>
        <x:v>0.05243676742751391</x:v>
      </x:c>
      <x:c r="K387" s="8" t="n">
        <x:f>H387*('Source Data'!H$8/'Source Data'!F$8)*EXP(F387*('Source Data'!H$7-'Source Data'!F$7))</x:f>
        <x:v>2907.856171838673</x:v>
      </x:c>
      <x:c r="L387" s="14" t="n">
        <x:f>I387/K387-1</x:f>
        <x:v>0.17337302753958106</x:v>
      </x:c>
      <x:c r="M387" s="8" t="n">
        <x:f>'Source Data'!G387</x:f>
        <x:v>3157</x:v>
      </x:c>
      <x:c r="N387" s="8" t="n">
        <x:f>M387*('Source Data'!H$8/'Source Data'!G$8)*EXP(F387*('Source Data'!H$7-'Source Data'!G$7))</x:f>
        <x:v>2916.4519885300438</x:v>
      </x:c>
      <x:c r="O387" s="14" t="n">
        <x:f>I387/N387-1</x:f>
        <x:v>0.16991468174990376</x:v>
      </x:c>
      <x:c r="P387" s="2" t="str"/>
    </x:row>
    <x:row r="388">
      <x:c r="A388" s="2" t="str">
        <x:f>'Source Data'!A388</x:f>
        <x:v>339115</x:v>
      </x:c>
      <x:c r="B388" s="2" t="str">
        <x:f>'Source Data'!B388</x:f>
        <x:v>Ophthalmic Goods Manufacturing</x:v>
      </x:c>
      <x:c r="C388" s="13" t="n">
        <x:f>LN('Source Data'!C388/'Source Data'!C$8)</x:f>
        <x:v>-7.931909743150784</x:v>
      </x:c>
      <x:c r="D388" s="13" t="n">
        <x:f>LN('Source Data'!D388/'Source Data'!D$8)</x:f>
        <x:v>-8.148818197318397</x:v>
      </x:c>
      <x:c r="E388" s="13" t="n">
        <x:f>LN('Source Data'!E388/'Source Data'!E$8)</x:f>
        <x:v>-8.180894583503694</x:v>
      </x:c>
      <x:c r="F388" s="13" t="n">
        <x:f>SLOPE(C388:E388,'Source Data'!C$7:E$7)</x:f>
        <x:v>-0.12449242017645501</x:v>
      </x:c>
      <x:c r="G388" s="14" t="n">
        <x:f>EXP(F388)-1</x:f>
        <x:v>-0.11705504609202544</x:v>
      </x:c>
      <x:c r="H388" s="8" t="n">
        <x:f>'Source Data'!F388</x:f>
        <x:v>4625</x:v>
      </x:c>
      <x:c r="I388" s="8" t="n">
        <x:f>'Source Data'!H388</x:f>
        <x:v>3740</x:v>
      </x:c>
      <x:c r="J388" s="14" t="n">
        <x:f>I388/H388-1</x:f>
        <x:v>-0.1913513513513514</x:v>
      </x:c>
      <x:c r="K388" s="8" t="n">
        <x:f>H388*('Source Data'!H$8/'Source Data'!F$8)*EXP(F388*('Source Data'!H$7-'Source Data'!F$7))</x:f>
        <x:v>2860.7810883449824</x:v>
      </x:c>
      <x:c r="L388" s="14" t="n">
        <x:f>I388/K388-1</x:f>
        <x:v>0.30733526421752977</x:v>
      </x:c>
      <x:c r="M388" s="8" t="n">
        <x:f>'Source Data'!G388</x:f>
        <x:v>4455</x:v>
      </x:c>
      <x:c r="N388" s="8" t="n">
        <x:f>M388*('Source Data'!H$8/'Source Data'!G$8)*EXP(F388*('Source Data'!H$7-'Source Data'!G$7))</x:f>
        <x:v>3114.4953819692796</x:v>
      </x:c>
      <x:c r="O388" s="14" t="n">
        <x:f>I388/N388-1</x:f>
        <x:v>0.20083658548731487</x:v>
      </x:c>
      <x:c r="P388" s="2" t="str"/>
    </x:row>
    <x:row r="389">
      <x:c r="A389" s="2" t="str">
        <x:f>'Source Data'!A389</x:f>
        <x:v>339116</x:v>
      </x:c>
      <x:c r="B389" s="2" t="str">
        <x:f>'Source Data'!B389</x:f>
        <x:v>Dental Laboratories</x:v>
      </x:c>
      <x:c r="C389" s="13" t="n">
        <x:f>LN('Source Data'!C389/'Source Data'!C$8)</x:f>
        <x:v>-7.340082581410675</x:v>
      </x:c>
      <x:c r="D389" s="13" t="n">
        <x:f>LN('Source Data'!D389/'Source Data'!D$8)</x:f>
        <x:v>-7.34458861555879</x:v>
      </x:c>
      <x:c r="E389" s="13" t="n">
        <x:f>LN('Source Data'!E389/'Source Data'!E$8)</x:f>
        <x:v>-7.340478589104173</x:v>
      </x:c>
      <x:c r="F389" s="13" t="n">
        <x:f>SLOPE(C389:E389,'Source Data'!C$7:E$7)</x:f>
        <x:v>-0.00019800384674883986</x:v>
      </x:c>
      <x:c r="G389" s="14" t="n">
        <x:f>EXP(F389)-1</x:f>
        <x:v>-0.0001979842452809466</x:v>
      </x:c>
      <x:c r="H389" s="8" t="n">
        <x:f>'Source Data'!F389</x:f>
        <x:v>9565</x:v>
      </x:c>
      <x:c r="I389" s="8" t="n">
        <x:f>'Source Data'!H389</x:f>
        <x:v>7993</x:v>
      </x:c>
      <x:c r="J389" s="14" t="n">
        <x:f>I389/H389-1</x:f>
        <x:v>-0.16434918975431256</x:v>
      </x:c>
      <x:c r="K389" s="8" t="n">
        <x:f>H389*('Source Data'!H$8/'Source Data'!F$8)*EXP(F389*('Source Data'!H$7-'Source Data'!F$7))</x:f>
        <x:v>9727.010395414756</x:v>
      </x:c>
      <x:c r="L389" s="14" t="n">
        <x:f>I389/K389-1</x:f>
        <x:v>-0.17826755857402565</x:v>
      </x:c>
      <x:c r="M389" s="8" t="n">
        <x:f>'Source Data'!G389</x:f>
        <x:v>9715</x:v>
      </x:c>
      <x:c r="N389" s="8" t="n">
        <x:f>M389*('Source Data'!H$8/'Source Data'!G$8)*EXP(F389*('Source Data'!H$7-'Source Data'!G$7))</x:f>
        <x:v>9861.067355836334</x:v>
      </x:c>
      <x:c r="O389" s="14" t="n">
        <x:f>I389/N389-1</x:f>
        <x:v>-0.1894386569351143</x:v>
      </x:c>
      <x:c r="P389" s="2" t="str"/>
    </x:row>
    <x:row r="390">
      <x:c r="A390" s="2" t="str">
        <x:f>'Source Data'!A390</x:f>
        <x:v>339910</x:v>
      </x:c>
      <x:c r="B390" s="2" t="str">
        <x:f>'Source Data'!B390</x:f>
        <x:v>Jewelry and Silverware Manufacturing</x:v>
      </x:c>
      <x:c r="C390" s="13" t="n">
        <x:f>LN('Source Data'!C390/'Source Data'!C$8)</x:f>
        <x:v>-8.559447269504195</x:v>
      </x:c>
      <x:c r="D390" s="13" t="n">
        <x:f>LN('Source Data'!D390/'Source Data'!D$8)</x:f>
        <x:v>-8.560097620234291</x:v>
      </x:c>
      <x:c r="E390" s="13" t="n">
        <x:f>LN('Source Data'!E390/'Source Data'!E$8)</x:f>
        <x:v>-8.605382498227266</x:v>
      </x:c>
      <x:c r="F390" s="13" t="n">
        <x:f>SLOPE(C390:E390,'Source Data'!C$7:E$7)</x:f>
        <x:v>-0.022967614361535382</x:v>
      </x:c>
      <x:c r="G390" s="14" t="n">
        <x:f>EXP(F390)-1</x:f>
        <x:v>-0.02270586644474193</x:v>
      </x:c>
      <x:c r="H390" s="8" t="n">
        <x:f>'Source Data'!F390</x:f>
        <x:v>2772</x:v>
      </x:c>
      <x:c r="I390" s="8" t="n">
        <x:f>'Source Data'!H390</x:f>
        <x:v>2396</x:v>
      </x:c>
      <x:c r="J390" s="14" t="n">
        <x:f>I390/H390-1</x:f>
        <x:v>-0.13564213564213567</x:v>
      </x:c>
      <x:c r="K390" s="8" t="n">
        <x:f>H390*('Source Data'!H$8/'Source Data'!F$8)*EXP(F390*('Source Data'!H$7-'Source Data'!F$7))</x:f>
        <x:v>2573.550927160368</x:v>
      </x:c>
      <x:c r="L390" s="14" t="n">
        <x:f>I390/K390-1</x:f>
        <x:v>-0.06899064063063864</x:v>
      </x:c>
      <x:c r="M390" s="8" t="n">
        <x:f>'Source Data'!G390</x:f>
        <x:v>2580</x:v>
      </x:c>
      <x:c r="N390" s="8" t="n">
        <x:f>M390*('Source Data'!H$8/'Source Data'!G$8)*EXP(F390*('Source Data'!H$7-'Source Data'!G$7))</x:f>
        <x:v>2445.877363446421</x:v>
      </x:c>
      <x:c r="O390" s="14" t="n">
        <x:f>I390/N390-1</x:f>
        <x:v>-0.02039242203711311</x:v>
      </x:c>
      <x:c r="P390" s="2" t="str"/>
    </x:row>
    <x:row r="391">
      <x:c r="A391" s="2" t="str">
        <x:f>'Source Data'!A391</x:f>
        <x:v>339920</x:v>
      </x:c>
      <x:c r="B391" s="2" t="str">
        <x:f>'Source Data'!B391</x:f>
        <x:v>Sporting and Athletic Goods Manufacturing</x:v>
      </x:c>
      <x:c r="C391" s="13" t="n">
        <x:f>LN('Source Data'!C391/'Source Data'!C$8)</x:f>
        <x:v>-8.01073534300873</x:v>
      </x:c>
      <x:c r="D391" s="13" t="n">
        <x:f>LN('Source Data'!D391/'Source Data'!D$8)</x:f>
        <x:v>-8.019169153794945</x:v>
      </x:c>
      <x:c r="E391" s="13" t="n">
        <x:f>LN('Source Data'!E391/'Source Data'!E$8)</x:f>
        <x:v>-8.083317520998817</x:v>
      </x:c>
      <x:c r="F391" s="13" t="n">
        <x:f>SLOPE(C391:E391,'Source Data'!C$7:E$7)</x:f>
        <x:v>-0.03629108899504363</x:v>
      </x:c>
      <x:c r="G391" s="14" t="n">
        <x:f>EXP(F391)-1</x:f>
        <x:v>-0.03564046182611269</x:v>
      </x:c>
      <x:c r="H391" s="8" t="n">
        <x:f>'Source Data'!F391</x:f>
        <x:v>5325</x:v>
      </x:c>
      <x:c r="I391" s="8" t="n">
        <x:f>'Source Data'!H391</x:f>
        <x:v>4594</x:v>
      </x:c>
      <x:c r="J391" s="14" t="n">
        <x:f>I391/H391-1</x:f>
        <x:v>-0.13727699530516435</x:v>
      </x:c>
      <x:c r="K391" s="8" t="n">
        <x:f>H391*('Source Data'!H$8/'Source Data'!F$8)*EXP(F391*('Source Data'!H$7-'Source Data'!F$7))</x:f>
        <x:v>4687.204553456927</x:v>
      </x:c>
      <x:c r="L391" s="14" t="n">
        <x:f>I391/K391-1</x:f>
        <x:v>-0.019884891387593973</x:v>
      </x:c>
      <x:c r="M391" s="8" t="n">
        <x:f>'Source Data'!G391</x:f>
        <x:v>5037</x:v>
      </x:c>
      <x:c r="N391" s="8" t="n">
        <x:f>M391*('Source Data'!H$8/'Source Data'!G$8)*EXP(F391*('Source Data'!H$7-'Source Data'!G$7))</x:f>
        <x:v>4588.048371891984</x:v>
      </x:c>
      <x:c r="O391" s="14" t="n">
        <x:f>I391/N391-1</x:f>
        <x:v>0.001297202563180777</x:v>
      </x:c>
      <x:c r="P391" s="2" t="str"/>
    </x:row>
    <x:row r="392">
      <x:c r="A392" s="2" t="str">
        <x:f>'Source Data'!A392</x:f>
        <x:v>339930</x:v>
      </x:c>
      <x:c r="B392" s="2" t="str">
        <x:f>'Source Data'!B392</x:f>
        <x:v>Doll, Toy, and Game Manufacturing</x:v>
      </x:c>
      <x:c r="C392" s="13" t="n">
        <x:f>LN('Source Data'!C392/'Source Data'!C$8)</x:f>
        <x:v>-8.603086489019438</x:v>
      </x:c>
      <x:c r="D392" s="13" t="n">
        <x:f>LN('Source Data'!D392/'Source Data'!D$8)</x:f>
        <x:v>-8.468722340874663</x:v>
      </x:c>
      <x:c r="E392" s="13" t="n">
        <x:f>LN('Source Data'!E392/'Source Data'!E$8)</x:f>
        <x:v>-8.593345146971362</x:v>
      </x:c>
      <x:c r="F392" s="13" t="n">
        <x:f>SLOPE(C392:E392,'Source Data'!C$7:E$7)</x:f>
        <x:v>0.004870671024037598</x:v>
      </x:c>
      <x:c r="G392" s="14" t="n">
        <x:f>EXP(F392)-1</x:f>
        <x:v>0.004882552023798281</x:v>
      </x:c>
      <x:c r="H392" s="8" t="n">
        <x:f>'Source Data'!F392</x:f>
        <x:v>2602</x:v>
      </x:c>
      <x:c r="I392" s="8" t="n">
        <x:f>'Source Data'!H392</x:f>
        <x:v>2745</x:v>
      </x:c>
      <x:c r="J392" s="14" t="n">
        <x:f>I392/H392-1</x:f>
        <x:v>0.054957724827056076</x:v>
      </x:c>
      <x:c r="K392" s="8" t="n">
        <x:f>H392*('Source Data'!H$8/'Source Data'!F$8)*EXP(F392*('Source Data'!H$7-'Source Data'!F$7))</x:f>
        <x:v>2700.26811325402</x:v>
      </x:c>
      <x:c r="L392" s="14" t="n">
        <x:f>I392/K392-1</x:f>
        <x:v>0.016565720465467004</x:v>
      </x:c>
      <x:c r="M392" s="8" t="n">
        <x:f>'Source Data'!G392</x:f>
        <x:v>2613</x:v>
      </x:c>
      <x:c r="N392" s="8" t="n">
        <x:f>M392*('Source Data'!H$8/'Source Data'!G$8)*EXP(F392*('Source Data'!H$7-'Source Data'!G$7))</x:f>
        <x:v>2692.9260198541306</x:v>
      </x:c>
      <x:c r="O392" s="14" t="n">
        <x:f>I392/N392-1</x:f>
        <x:v>0.019337322957238223</x:v>
      </x:c>
      <x:c r="P392" s="2" t="str"/>
    </x:row>
    <x:row r="393">
      <x:c r="A393" s="2" t="str">
        <x:f>'Source Data'!A393</x:f>
        <x:v>339940</x:v>
      </x:c>
      <x:c r="B393" s="2" t="str">
        <x:f>'Source Data'!B393</x:f>
        <x:v>Office Supplies (except Paper) Manufacturing</x:v>
      </x:c>
      <x:c r="C393" s="13" t="n">
        <x:f>LN('Source Data'!C393/'Source Data'!C$8)</x:f>
        <x:v>-9.750126826719468</x:v>
      </x:c>
      <x:c r="D393" s="13" t="n">
        <x:f>LN('Source Data'!D393/'Source Data'!D$8)</x:f>
        <x:v>-9.71677176955822</x:v>
      </x:c>
      <x:c r="E393" s="13" t="n">
        <x:f>LN('Source Data'!E393/'Source Data'!E$8)</x:f>
        <x:v>-9.701063308064652</x:v>
      </x:c>
      <x:c r="F393" s="13" t="n">
        <x:f>SLOPE(C393:E393,'Source Data'!C$7:E$7)</x:f>
        <x:v>0.0245317593274077</x:v>
      </x:c>
      <x:c r="G393" s="14" t="n">
        <x:f>EXP(F393)-1</x:f>
        <x:v>0.024835138665059375</x:v>
      </x:c>
      <x:c r="H393" s="8" t="n">
        <x:f>'Source Data'!F393</x:f>
        <x:v>922</x:v>
      </x:c>
      <x:c r="I393" s="8" t="n">
        <x:f>'Source Data'!H393</x:f>
        <x:v>719</x:v>
      </x:c>
      <x:c r="J393" s="14" t="n">
        <x:f>I393/H393-1</x:f>
        <x:v>-0.22017353579175702</x:v>
      </x:c>
      <x:c r="K393" s="8" t="n">
        <x:f>H393*('Source Data'!H$8/'Source Data'!F$8)*EXP(F393*('Source Data'!H$7-'Source Data'!F$7))</x:f>
        <x:v>1035.1071904252683</x:v>
      </x:c>
      <x:c r="L393" s="14" t="n">
        <x:f>I393/K393-1</x:f>
        <x:v>-0.3053859478025627</x:v>
      </x:c>
      <x:c r="M393" s="8" t="n">
        <x:f>'Source Data'!G393</x:f>
        <x:v>1035</x:v>
      </x:c>
      <x:c r="N393" s="8" t="n">
        <x:f>M393*('Source Data'!H$8/'Source Data'!G$8)*EXP(F393*('Source Data'!H$7-'Source Data'!G$7))</x:f>
        <x:v>1131.4658984320251</x:v>
      </x:c>
      <x:c r="O393" s="14" t="n">
        <x:f>I393/N393-1</x:f>
        <x:v>-0.36454116646698453</x:v>
      </x:c>
      <x:c r="P393" s="2" t="str"/>
    </x:row>
    <x:row r="394">
      <x:c r="A394" s="2" t="str">
        <x:f>'Source Data'!A394</x:f>
        <x:v>339950</x:v>
      </x:c>
      <x:c r="B394" s="2" t="str">
        <x:f>'Source Data'!B394</x:f>
        <x:v>Sign Manufacturing</x:v>
      </x:c>
      <x:c r="C394" s="13" t="n">
        <x:f>LN('Source Data'!C394/'Source Data'!C$8)</x:f>
        <x:v>-7.59959377689576</x:v>
      </x:c>
      <x:c r="D394" s="13" t="n">
        <x:f>LN('Source Data'!D394/'Source Data'!D$8)</x:f>
        <x:v>-7.599737049915247</x:v>
      </x:c>
      <x:c r="E394" s="13" t="n">
        <x:f>LN('Source Data'!E394/'Source Data'!E$8)</x:f>
        <x:v>-7.638503307459711</x:v>
      </x:c>
      <x:c r="F394" s="13" t="n">
        <x:f>SLOPE(C394:E394,'Source Data'!C$7:E$7)</x:f>
        <x:v>-0.01945476528197565</x:v>
      </x:c>
      <x:c r="G394" s="14" t="n">
        <x:f>EXP(F394)-1</x:f>
        <x:v>-0.019266742622342292</x:v>
      </x:c>
      <x:c r="H394" s="8" t="n">
        <x:f>'Source Data'!F394</x:f>
        <x:v>6090</x:v>
      </x:c>
      <x:c r="I394" s="8" t="n">
        <x:f>'Source Data'!H394</x:f>
        <x:v>6150</x:v>
      </x:c>
      <x:c r="J394" s="14" t="n">
        <x:f>I394/H394-1</x:f>
        <x:v>0.009852216748768461</x:v>
      </x:c>
      <x:c r="K394" s="8" t="n">
        <x:f>H394*('Source Data'!H$8/'Source Data'!F$8)*EXP(F394*('Source Data'!H$7-'Source Data'!F$7))</x:f>
        <x:v>5734.020976338929</x:v>
      </x:c>
      <x:c r="L394" s="14" t="n">
        <x:f>I394/K394-1</x:f>
        <x:v>0.0725457798946989</x:v>
      </x:c>
      <x:c r="M394" s="8" t="n">
        <x:f>'Source Data'!G394</x:f>
        <x:v>6302</x:v>
      </x:c>
      <x:c r="N394" s="8" t="n">
        <x:f>M394*('Source Data'!H$8/'Source Data'!G$8)*EXP(F394*('Source Data'!H$7-'Source Data'!G$7))</x:f>
        <x:v>6037.681556852012</x:v>
      </x:c>
      <x:c r="O394" s="14" t="n">
        <x:f>I394/N394-1</x:f>
        <x:v>0.018602909426470138</x:v>
      </x:c>
      <x:c r="P394" s="2" t="str"/>
    </x:row>
    <x:row r="395">
      <x:c r="A395" s="2" t="str">
        <x:f>'Source Data'!A395</x:f>
        <x:v>339991</x:v>
      </x:c>
      <x:c r="B395" s="2" t="str">
        <x:f>'Source Data'!B395</x:f>
        <x:v>Gasket, Packing, and Sealing Device Manufacturing</x:v>
      </x:c>
      <x:c r="C395" s="13" t="n">
        <x:f>LN('Source Data'!C395/'Source Data'!C$8)</x:f>
        <x:v>-8.963635820495444</x:v>
      </x:c>
      <x:c r="D395" s="13" t="n">
        <x:f>LN('Source Data'!D395/'Source Data'!D$8)</x:f>
        <x:v>-8.92019556289167</x:v>
      </x:c>
      <x:c r="E395" s="13" t="n">
        <x:f>LN('Source Data'!E395/'Source Data'!E$8)</x:f>
        <x:v>-8.874041764063639</x:v>
      </x:c>
      <x:c r="F395" s="13" t="n">
        <x:f>SLOPE(C395:E395,'Source Data'!C$7:E$7)</x:f>
        <x:v>0.04479702821590248</x:v>
      </x:c>
      <x:c r="G395" s="14" t="n">
        <x:f>EXP(F395)-1</x:f>
        <x:v>0.045815567313207906</x:v>
      </x:c>
      <x:c r="H395" s="8" t="n">
        <x:f>'Source Data'!F395</x:f>
        <x:v>1865</x:v>
      </x:c>
      <x:c r="I395" s="8" t="n">
        <x:f>'Source Data'!H395</x:f>
        <x:v>2235</x:v>
      </x:c>
      <x:c r="J395" s="14" t="n">
        <x:f>I395/H395-1</x:f>
        <x:v>0.19839142091152806</x:v>
      </x:c>
      <x:c r="K395" s="8" t="n">
        <x:f>H395*('Source Data'!H$8/'Source Data'!F$8)*EXP(F395*('Source Data'!H$7-'Source Data'!F$7))</x:f>
        <x:v>2270.5842359829594</x:v>
      </x:c>
      <x:c r="L395" s="14" t="n">
        <x:f>I395/K395-1</x:f>
        <x:v>-0.015671841378549267</x:v>
      </x:c>
      <x:c r="M395" s="8" t="n">
        <x:f>'Source Data'!G395</x:f>
        <x:v>2052</x:v>
      </x:c>
      <x:c r="N395" s="8" t="n">
        <x:f>M395*('Source Data'!H$8/'Source Data'!G$8)*EXP(F395*('Source Data'!H$7-'Source Data'!G$7))</x:f>
        <x:v>2383.8655588709526</x:v>
      </x:c>
      <x:c r="O395" s="14" t="n">
        <x:f>I395/N395-1</x:f>
        <x:v>-0.06244712849555922</x:v>
      </x:c>
      <x:c r="P395" s="2" t="str"/>
    </x:row>
    <x:row r="396">
      <x:c r="A396" s="2" t="str">
        <x:f>'Source Data'!A396</x:f>
        <x:v>339992</x:v>
      </x:c>
      <x:c r="B396" s="2" t="str">
        <x:f>'Source Data'!B396</x:f>
        <x:v>Musical Instrument Manufacturing</x:v>
      </x:c>
      <x:c r="C396" s="13" t="n">
        <x:f>LN('Source Data'!C396/'Source Data'!C$8)</x:f>
        <x:v>-8.429892752278507</x:v>
      </x:c>
      <x:c r="D396" s="13" t="n">
        <x:f>LN('Source Data'!D396/'Source Data'!D$8)</x:f>
        <x:v>-8.395848663641207</x:v>
      </x:c>
      <x:c r="E396" s="13" t="n">
        <x:f>LN('Source Data'!E396/'Source Data'!E$8)</x:f>
        <x:v>-8.401580762967853</x:v>
      </x:c>
      <x:c r="F396" s="13" t="n">
        <x:f>SLOPE(C396:E396,'Source Data'!C$7:E$7)</x:f>
        <x:v>0.014155994655326687</x:v>
      </x:c>
      <x:c r="G396" s="14" t="n">
        <x:f>EXP(F396)-1</x:f>
        <x:v>0.014256665217407871</x:v>
      </x:c>
      <x:c r="H396" s="8" t="n">
        <x:f>'Source Data'!F396</x:f>
        <x:v>3856</x:v>
      </x:c>
      <x:c r="I396" s="8" t="n">
        <x:f>'Source Data'!H396</x:f>
        <x:v>3088</x:v>
      </x:c>
      <x:c r="J396" s="14" t="n">
        <x:f>I396/H396-1</x:f>
        <x:v>-0.19917012448132776</x:v>
      </x:c>
      <x:c r="K396" s="8" t="n">
        <x:f>H396*('Source Data'!H$8/'Source Data'!F$8)*EXP(F396*('Source Data'!H$7-'Source Data'!F$7))</x:f>
        <x:v>4153.047327109973</x:v>
      </x:c>
      <x:c r="L396" s="14" t="n">
        <x:f>I396/K396-1</x:f>
        <x:v>-0.25644960031098873</x:v>
      </x:c>
      <x:c r="M396" s="8" t="n">
        <x:f>'Source Data'!G396</x:f>
        <x:v>3801</x:v>
      </x:c>
      <x:c r="N396" s="8" t="n">
        <x:f>M396*('Source Data'!H$8/'Source Data'!G$8)*EXP(F396*('Source Data'!H$7-'Source Data'!G$7))</x:f>
        <x:v>4027.91759473987</x:v>
      </x:c>
      <x:c r="O396" s="14" t="n">
        <x:f>I396/N396-1</x:f>
        <x:v>-0.2333507507619632</x:v>
      </x:c>
      <x:c r="P396" s="2" t="str"/>
    </x:row>
    <x:row r="397">
      <x:c r="A397" s="2" t="str">
        <x:f>'Source Data'!A397</x:f>
        <x:v>339993</x:v>
      </x:c>
      <x:c r="B397" s="2" t="str">
        <x:f>'Source Data'!B397</x:f>
        <x:v>Fastener, Button, Needle, and Pin Manufacturing</x:v>
      </x:c>
      <x:c r="C397" s="13" t="n">
        <x:f>LN('Source Data'!C397/'Source Data'!C$8)</x:f>
        <x:v>-10.357063270844963</x:v>
      </x:c>
      <x:c r="D397" s="13" t="n">
        <x:f>LN('Source Data'!D397/'Source Data'!D$8)</x:f>
        <x:v>-10.521478486196465</x:v>
      </x:c>
      <x:c r="E397" s="13" t="n">
        <x:f>LN('Source Data'!E397/'Source Data'!E$8)</x:f>
        <x:v>-10.62672824699173</x:v>
      </x:c>
      <x:c r="F397" s="13" t="n">
        <x:f>SLOPE(C397:E397,'Source Data'!C$7:E$7)</x:f>
        <x:v>-0.13483248807338377</x:v>
      </x:c>
      <x:c r="G397" s="14" t="n">
        <x:f>EXP(F397)-1</x:f>
        <x:v>-0.1261377182172574</x:v>
      </x:c>
      <x:c r="H397" s="8" t="n">
        <x:f>'Source Data'!F397</x:f>
        <x:v>262</x:v>
      </x:c>
      <x:c r="I397" s="8" t="n">
        <x:f>'Source Data'!H397</x:f>
        <x:v>201</x:v>
      </x:c>
      <x:c r="J397" s="14" t="n">
        <x:f>I397/H397-1</x:f>
        <x:v>-0.23282442748091603</x:v>
      </x:c>
      <x:c r="K397" s="8" t="n">
        <x:f>H397*('Source Data'!H$8/'Source Data'!F$8)*EXP(F397*('Source Data'!H$7-'Source Data'!F$7))</x:f>
        <x:v>155.49328642422742</x:v>
      </x:c>
      <x:c r="L397" s="14" t="n">
        <x:f>I397/K397-1</x:f>
        <x:v>0.29266031108004276</x:v>
      </x:c>
      <x:c r="M397" s="8" t="n">
        <x:f>'Source Data'!G397</x:f>
        <x:v>231</x:v>
      </x:c>
      <x:c r="N397" s="8" t="n">
        <x:f>M397*('Source Data'!H$8/'Source Data'!G$8)*EXP(F397*('Source Data'!H$7-'Source Data'!G$7))</x:f>
        <x:v>156.55972849067408</x:v>
      </x:c>
      <x:c r="O397" s="14" t="n">
        <x:f>I397/N397-1</x:f>
        <x:v>0.2838550624592655</x:v>
      </x:c>
      <x:c r="P397" s="2" t="str"/>
    </x:row>
    <x:row r="398">
      <x:c r="A398" s="2" t="str">
        <x:f>'Source Data'!A398</x:f>
        <x:v>339994</x:v>
      </x:c>
      <x:c r="B398" s="2" t="str">
        <x:f>'Source Data'!B398</x:f>
        <x:v>Broom, Brush, and Mop Manufacturing</x:v>
      </x:c>
      <x:c r="C398" s="13" t="n">
        <x:f>LN('Source Data'!C398/'Source Data'!C$8)</x:f>
        <x:v>-10.073243272159125</x:v>
      </x:c>
      <x:c r="D398" s="13" t="n">
        <x:f>LN('Source Data'!D398/'Source Data'!D$8)</x:f>
        <x:v>-10.0584790243943</x:v>
      </x:c>
      <x:c r="E398" s="13" t="n">
        <x:f>LN('Source Data'!E398/'Source Data'!E$8)</x:f>
        <x:v>-10.076255834224511</x:v>
      </x:c>
      <x:c r="F398" s="13" t="n">
        <x:f>SLOPE(C398:E398,'Source Data'!C$7:E$7)</x:f>
        <x:v>-0.0015062810326931242</x:v>
      </x:c>
      <x:c r="G398" s="14" t="n">
        <x:f>EXP(F398)-1</x:f>
        <x:v>-0.0015051471607997469</x:v>
      </x:c>
      <x:c r="H398" s="8" t="n">
        <x:f>'Source Data'!F398</x:f>
        <x:v>492</x:v>
      </x:c>
      <x:c r="I398" s="8" t="n">
        <x:f>'Source Data'!H398</x:f>
        <x:v>417</x:v>
      </x:c>
      <x:c r="J398" s="14" t="n">
        <x:f>I398/H398-1</x:f>
        <x:v>-0.15243902439024393</x:v>
      </x:c>
      <x:c r="K398" s="8" t="n">
        <x:f>H398*('Source Data'!H$8/'Source Data'!F$8)*EXP(F398*('Source Data'!H$7-'Source Data'!F$7))</x:f>
        <x:v>497.72195482555736</x:v>
      </x:c>
      <x:c r="L398" s="14" t="n">
        <x:f>I398/K398-1</x:f>
        <x:v>-0.16218282927432637</x:v>
      </x:c>
      <x:c r="M398" s="8" t="n">
        <x:f>'Source Data'!G398</x:f>
        <x:v>466</x:v>
      </x:c>
      <x:c r="N398" s="8" t="n">
        <x:f>M398*('Source Data'!H$8/'Source Data'!G$8)*EXP(F398*('Source Data'!H$7-'Source Data'!G$7))</x:f>
        <x:v>471.1535896774822</x:v>
      </x:c>
      <x:c r="O398" s="14" t="n">
        <x:f>I398/N398-1</x:f>
        <x:v>-0.11493829371978648</x:v>
      </x:c>
      <x:c r="P398" s="2" t="str"/>
    </x:row>
    <x:row r="399">
      <x:c r="A399" s="2" t="str">
        <x:f>'Source Data'!A399</x:f>
        <x:v>339995</x:v>
      </x:c>
      <x:c r="B399" s="2" t="str">
        <x:f>'Source Data'!B399</x:f>
        <x:v>Burial Casket Manufacturing</x:v>
      </x:c>
      <x:c r="C399" s="13" t="n">
        <x:f>LN('Source Data'!C399/'Source Data'!C$8)</x:f>
        <x:v>-12.811598822756665</x:v>
      </x:c>
      <x:c r="D399" s="13" t="n">
        <x:f>LN('Source Data'!D399/'Source Data'!D$8)</x:f>
        <x:v>-12.942481334004986</x:v>
      </x:c>
      <x:c r="E399" s="13" t="n">
        <x:f>LN('Source Data'!E399/'Source Data'!E$8)</x:f>
        <x:v>-12.98924568070845</x:v>
      </x:c>
      <x:c r="F399" s="13" t="n">
        <x:f>SLOPE(C399:E399,'Source Data'!C$7:E$7)</x:f>
        <x:v>-0.08882342897589268</x:v>
      </x:c>
      <x:c r="G399" s="14" t="n">
        <x:f>EXP(F399)-1</x:f>
        <x:v>-0.08499287694366287</x:v>
      </x:c>
      <x:c r="H399" s="8" t="n">
        <x:f>'Source Data'!F399</x:f>
        <x:v>33</x:v>
      </x:c>
      <x:c r="I399" s="8" t="n">
        <x:f>'Source Data'!H399</x:f>
        <x:v>31</x:v>
      </x:c>
      <x:c r="J399" s="14" t="n">
        <x:f>I399/H399-1</x:f>
        <x:v>-0.06060606060606055</x:v>
      </x:c>
      <x:c r="K399" s="8" t="n">
        <x:f>H399*('Source Data'!H$8/'Source Data'!F$8)*EXP(F399*('Source Data'!H$7-'Source Data'!F$7))</x:f>
        <x:v>23.54237174692574</x:v>
      </x:c>
      <x:c r="L399" s="14" t="n">
        <x:f>I399/K399-1</x:f>
        <x:v>0.31677472147843866</x:v>
      </x:c>
      <x:c r="M399" s="8" t="n">
        <x:f>'Source Data'!G399</x:f>
        <x:v>42</x:v>
      </x:c>
      <x:c r="N399" s="8" t="n">
        <x:f>M399*('Source Data'!H$8/'Source Data'!G$8)*EXP(F399*('Source Data'!H$7-'Source Data'!G$7))</x:f>
        <x:v>32.67847727589502</x:v>
      </x:c>
      <x:c r="O399" s="14" t="n">
        <x:f>I399/N399-1</x:f>
        <x:v>-0.05136338703067822</x:v>
      </x:c>
      <x:c r="P399" s="2" t="str"/>
    </x:row>
    <x:row r="400">
      <x:c r="A400" s="2" t="str">
        <x:f>'Source Data'!A400</x:f>
        <x:v>339999</x:v>
      </x:c>
      <x:c r="B400" s="2" t="str">
        <x:f>'Source Data'!B400</x:f>
        <x:v>All Other Miscellaneous Manufacturing</x:v>
      </x:c>
      <x:c r="C400" s="13" t="n">
        <x:f>LN('Source Data'!C400/'Source Data'!C$8)</x:f>
        <x:v>-7.733544544657483</x:v>
      </x:c>
      <x:c r="D400" s="13" t="n">
        <x:f>LN('Source Data'!D400/'Source Data'!D$8)</x:f>
        <x:v>-7.684985961977204</x:v>
      </x:c>
      <x:c r="E400" s="13" t="n">
        <x:f>LN('Source Data'!E400/'Source Data'!E$8)</x:f>
        <x:v>-7.75170919818515</x:v>
      </x:c>
      <x:c r="F400" s="13" t="n">
        <x:f>SLOPE(C400:E400,'Source Data'!C$7:E$7)</x:f>
        <x:v>-0.009082326763833581</x:v>
      </x:c>
      <x:c r="G400" s="14" t="n">
        <x:f>EXP(F400)-1</x:f>
        <x:v>-0.009041207015936026</x:v>
      </x:c>
      <x:c r="H400" s="8" t="n">
        <x:f>'Source Data'!F400</x:f>
        <x:v>5886</x:v>
      </x:c>
      <x:c r="I400" s="8" t="n">
        <x:f>'Source Data'!H400</x:f>
        <x:v>4704</x:v>
      </x:c>
      <x:c r="J400" s="14" t="n">
        <x:f>I400/H400-1</x:f>
        <x:v>-0.200815494393476</x:v>
      </x:c>
      <x:c r="K400" s="8" t="n">
        <x:f>H400*('Source Data'!H$8/'Source Data'!F$8)*EXP(F400*('Source Data'!H$7-'Source Data'!F$7))</x:f>
        <x:v>5776.715957992391</x:v>
      </x:c>
      <x:c r="L400" s="14" t="n">
        <x:f>I400/K400-1</x:f>
        <x:v>-0.18569650399864857</x:v>
      </x:c>
      <x:c r="M400" s="8" t="n">
        <x:f>'Source Data'!G400</x:f>
        <x:v>5482</x:v>
      </x:c>
      <x:c r="N400" s="8" t="n">
        <x:f>M400*('Source Data'!H$8/'Source Data'!G$8)*EXP(F400*('Source Data'!H$7-'Source Data'!G$7))</x:f>
        <x:v>5418.073774655223</x:v>
      </x:c>
      <x:c r="O400" s="14" t="n">
        <x:f>I400/N400-1</x:f>
        <x:v>-0.1317947677264072</x:v>
      </x:c>
      <x:c r="P400" s="2" t="str"/>
    </x:row>
    <x:row r="401">
      <x:c r="A401" s="2" t="str">
        <x:f>'Source Data'!A401</x:f>
        <x:v>423110</x:v>
      </x:c>
      <x:c r="B401" s="2" t="str">
        <x:f>'Source Data'!B401</x:f>
        <x:v>Automobile and Other Motor Vehicle Merchant Wholesalers</x:v>
      </x:c>
      <x:c r="C401" s="13" t="n">
        <x:f>LN('Source Data'!C401/'Source Data'!C$8)</x:f>
        <x:v>-7.169328115450907</x:v>
      </x:c>
      <x:c r="D401" s="13" t="n">
        <x:f>LN('Source Data'!D401/'Source Data'!D$8)</x:f>
        <x:v>-7.110766445124743</x:v>
      </x:c>
      <x:c r="E401" s="13" t="n">
        <x:f>LN('Source Data'!E401/'Source Data'!E$8)</x:f>
        <x:v>-7.120281159134989</x:v>
      </x:c>
      <x:c r="F401" s="13" t="n">
        <x:f>SLOPE(C401:E401,'Source Data'!C$7:E$7)</x:f>
        <x:v>0.024523478157958856</x:v>
      </x:c>
      <x:c r="G401" s="14" t="n">
        <x:f>EXP(F401)-1</x:f>
        <x:v>0.024826651866759253</x:v>
      </x:c>
      <x:c r="H401" s="8" t="n">
        <x:f>'Source Data'!F401</x:f>
        <x:v>11704</x:v>
      </x:c>
      <x:c r="I401" s="8" t="n">
        <x:f>'Source Data'!H401</x:f>
        <x:v>11974</x:v>
      </x:c>
      <x:c r="J401" s="14" t="n">
        <x:f>I401/H401-1</x:f>
        <x:v>0.023069036226931017</x:v>
      </x:c>
      <x:c r="K401" s="8" t="n">
        <x:f>H401*('Source Data'!H$8/'Source Data'!F$8)*EXP(F401*('Source Data'!H$7-'Source Data'!F$7))</x:f>
        <x:v>13139.363624083566</x:v>
      </x:c>
      <x:c r="L401" s="14" t="n">
        <x:f>I401/K401-1</x:f>
        <x:v>-0.08869254687095596</x:v>
      </x:c>
      <x:c r="M401" s="8" t="n">
        <x:f>'Source Data'!G401</x:f>
        <x:v>12322</x:v>
      </x:c>
      <x:c r="N401" s="8" t="n">
        <x:f>M401*('Source Data'!H$8/'Source Data'!G$8)*EXP(F401*('Source Data'!H$7-'Source Data'!G$7))</x:f>
        <x:v>13470.12216280811</x:v>
      </x:c>
      <x:c r="O401" s="14" t="n">
        <x:f>I401/N401-1</x:f>
        <x:v>-0.11106968034328601</x:v>
      </x:c>
      <x:c r="P401" s="2" t="str"/>
    </x:row>
    <x:row r="402">
      <x:c r="A402" s="2" t="str">
        <x:f>'Source Data'!A402</x:f>
        <x:v>423120</x:v>
      </x:c>
      <x:c r="B402" s="2" t="str">
        <x:f>'Source Data'!B402</x:f>
        <x:v>Motor Vehicle Supplies and New Parts Merchant Wholesalers</x:v>
      </x:c>
      <x:c r="C402" s="13" t="n">
        <x:f>LN('Source Data'!C402/'Source Data'!C$8)</x:f>
        <x:v>-6.444864069486487</x:v>
      </x:c>
      <x:c r="D402" s="13" t="n">
        <x:f>LN('Source Data'!D402/'Source Data'!D$8)</x:f>
        <x:v>-6.44967888671771</x:v>
      </x:c>
      <x:c r="E402" s="13" t="n">
        <x:f>LN('Source Data'!E402/'Source Data'!E$8)</x:f>
        <x:v>-6.462148126212187</x:v>
      </x:c>
      <x:c r="F402" s="13" t="n">
        <x:f>SLOPE(C402:E402,'Source Data'!C$7:E$7)</x:f>
        <x:v>-0.00864202836285033</x:v>
      </x:c>
      <x:c r="G402" s="14" t="n">
        <x:f>EXP(F402)-1</x:f>
        <x:v>-0.00860479337488107</x:v>
      </x:c>
      <x:c r="H402" s="8" t="n">
        <x:f>'Source Data'!F402</x:f>
        <x:v>21318</x:v>
      </x:c>
      <x:c r="I402" s="8" t="n">
        <x:f>'Source Data'!H402</x:f>
        <x:v>18855</x:v>
      </x:c>
      <x:c r="J402" s="14" t="n">
        <x:f>I402/H402-1</x:f>
        <x:v>-0.11553616661975796</x:v>
      </x:c>
      <x:c r="K402" s="8" t="n">
        <x:f>H402*('Source Data'!H$8/'Source Data'!F$8)*EXP(F402*('Source Data'!H$7-'Source Data'!F$7))</x:f>
        <x:v>20959.07397541348</x:v>
      </x:c>
      <x:c r="L402" s="14" t="n">
        <x:f>I402/K402-1</x:f>
        <x:v>-0.10038964402156858</x:v>
      </x:c>
      <x:c r="M402" s="8" t="n">
        <x:f>'Source Data'!G402</x:f>
        <x:v>21206</x:v>
      </x:c>
      <x:c r="N402" s="8" t="n">
        <x:f>M402*('Source Data'!H$8/'Source Data'!G$8)*EXP(F402*('Source Data'!H$7-'Source Data'!G$7))</x:f>
        <x:v>20986.41698011842</x:v>
      </x:c>
      <x:c r="O402" s="14" t="n">
        <x:f>I402/N402-1</x:f>
        <x:v>-0.10156173786776601</x:v>
      </x:c>
      <x:c r="P402" s="2" t="str"/>
    </x:row>
    <x:row r="403">
      <x:c r="A403" s="2" t="str">
        <x:f>'Source Data'!A403</x:f>
        <x:v>423130</x:v>
      </x:c>
      <x:c r="B403" s="2" t="str">
        <x:f>'Source Data'!B403</x:f>
        <x:v>Tire and Tube Merchant Wholesalers</x:v>
      </x:c>
      <x:c r="C403" s="13" t="n">
        <x:f>LN('Source Data'!C403/'Source Data'!C$8)</x:f>
        <x:v>-8.425414177934119</x:v>
      </x:c>
      <x:c r="D403" s="13" t="n">
        <x:f>LN('Source Data'!D403/'Source Data'!D$8)</x:f>
        <x:v>-8.366004610487204</x:v>
      </x:c>
      <x:c r="E403" s="13" t="n">
        <x:f>LN('Source Data'!E403/'Source Data'!E$8)</x:f>
        <x:v>-8.366004469588455</x:v>
      </x:c>
      <x:c r="F403" s="13" t="n">
        <x:f>SLOPE(C403:E403,'Source Data'!C$7:E$7)</x:f>
        <x:v>0.02970485417283175</x:v>
      </x:c>
      <x:c r="G403" s="14" t="n">
        <x:f>EXP(F403)-1</x:f>
        <x:v>0.030150444475311566</x:v>
      </x:c>
      <x:c r="H403" s="8" t="n">
        <x:f>'Source Data'!F403</x:f>
        <x:v>3382</x:v>
      </x:c>
      <x:c r="I403" s="8" t="n">
        <x:f>'Source Data'!H403</x:f>
        <x:v>3503</x:v>
      </x:c>
      <x:c r="J403" s="14" t="n">
        <x:f>I403/H403-1</x:f>
        <x:v>0.03577764636309877</x:v>
      </x:c>
      <x:c r="K403" s="8" t="n">
        <x:f>H403*('Source Data'!H$8/'Source Data'!F$8)*EXP(F403*('Source Data'!H$7-'Source Data'!F$7))</x:f>
        <x:v>3876.275121414847</x:v>
      </x:c>
      <x:c r="L403" s="14" t="n">
        <x:f>I403/K403-1</x:f>
        <x:v>-0.09629737563070628</x:v>
      </x:c>
      <x:c r="M403" s="8" t="n">
        <x:f>'Source Data'!G403</x:f>
        <x:v>3985</x:v>
      </x:c>
      <x:c r="N403" s="8" t="n">
        <x:f>M403*('Source Data'!H$8/'Source Data'!G$8)*EXP(F403*('Source Data'!H$7-'Source Data'!G$7))</x:f>
        <x:v>4424.552827080368</x:v>
      </x:c>
      <x:c r="O403" s="14" t="n">
        <x:f>I403/N403-1</x:f>
        <x:v>-0.2082815740022418</x:v>
      </x:c>
      <x:c r="P403" s="2" t="str"/>
    </x:row>
    <x:row r="404">
      <x:c r="A404" s="2" t="str">
        <x:f>'Source Data'!A404</x:f>
        <x:v>423140</x:v>
      </x:c>
      <x:c r="B404" s="2" t="str">
        <x:f>'Source Data'!B404</x:f>
        <x:v>Motor Vehicle Parts (Used) Merchant Wholesalers</x:v>
      </x:c>
      <x:c r="C404" s="13" t="n">
        <x:f>LN('Source Data'!C404/'Source Data'!C$8)</x:f>
        <x:v>-8.846156579233353</x:v>
      </x:c>
      <x:c r="D404" s="13" t="n">
        <x:f>LN('Source Data'!D404/'Source Data'!D$8)</x:f>
        <x:v>-8.8391298372261</x:v>
      </x:c>
      <x:c r="E404" s="13" t="n">
        <x:f>LN('Source Data'!E404/'Source Data'!E$8)</x:f>
        <x:v>-8.781484901996306</x:v>
      </x:c>
      <x:c r="F404" s="13" t="n">
        <x:f>SLOPE(C404:E404,'Source Data'!C$7:E$7)</x:f>
        <x:v>0.03233583861852374</x:v>
      </x:c>
      <x:c r="G404" s="14" t="n">
        <x:f>EXP(F404)-1</x:f>
        <x:v>0.03286432279179463</x:v>
      </x:c>
      <x:c r="H404" s="8" t="n">
        <x:f>'Source Data'!F404</x:f>
        <x:v>2123</x:v>
      </x:c>
      <x:c r="I404" s="8" t="n">
        <x:f>'Source Data'!H404</x:f>
        <x:v>1871</x:v>
      </x:c>
      <x:c r="J404" s="14" t="n">
        <x:f>I404/H404-1</x:f>
        <x:v>-0.1186999528968441</x:v>
      </x:c>
      <x:c r="K404" s="8" t="n">
        <x:f>H404*('Source Data'!H$8/'Source Data'!F$8)*EXP(F404*('Source Data'!H$7-'Source Data'!F$7))</x:f>
        <x:v>2459.016669765368</x:v>
      </x:c>
      <x:c r="L404" s="14" t="n">
        <x:f>I404/K404-1</x:f>
        <x:v>-0.23912675216694435</x:v>
      </x:c>
      <x:c r="M404" s="8" t="n">
        <x:f>'Source Data'!G404</x:f>
        <x:v>2090</x:v>
      </x:c>
      <x:c r="N404" s="8" t="n">
        <x:f>M404*('Source Data'!H$8/'Source Data'!G$8)*EXP(F404*('Source Data'!H$7-'Source Data'!G$7))</x:f>
        <x:v>2338.919158062762</x:v>
      </x:c>
      <x:c r="O404" s="14" t="n">
        <x:f>I404/N404-1</x:f>
        <x:v>-0.2000578585410886</x:v>
      </x:c>
      <x:c r="P404" s="2" t="str"/>
    </x:row>
    <x:row r="405">
      <x:c r="A405" s="2" t="str">
        <x:f>'Source Data'!A405</x:f>
        <x:v>423210</x:v>
      </x:c>
      <x:c r="B405" s="2" t="str">
        <x:f>'Source Data'!B405</x:f>
        <x:v>Furniture Merchant Wholesalers</x:v>
      </x:c>
      <x:c r="C405" s="13" t="n">
        <x:f>LN('Source Data'!C405/'Source Data'!C$8)</x:f>
        <x:v>-7.2613262076558724</x:v>
      </x:c>
      <x:c r="D405" s="13" t="n">
        <x:f>LN('Source Data'!D405/'Source Data'!D$8)</x:f>
        <x:v>-7.254731459280044</x:v>
      </x:c>
      <x:c r="E405" s="13" t="n">
        <x:f>LN('Source Data'!E405/'Source Data'!E$8)</x:f>
        <x:v>-7.251061779334916</x:v>
      </x:c>
      <x:c r="F405" s="13" t="n">
        <x:f>SLOPE(C405:E405,'Source Data'!C$7:E$7)</x:f>
        <x:v>0.005132214160478377</x:v>
      </x:c>
      <x:c r="G405" s="14" t="n">
        <x:f>EXP(F405)-1</x:f>
        <x:v>0.005145406530606911</x:v>
      </x:c>
      <x:c r="H405" s="8" t="n">
        <x:f>'Source Data'!F405</x:f>
        <x:v>9403</x:v>
      </x:c>
      <x:c r="I405" s="8" t="n">
        <x:f>'Source Data'!H405</x:f>
        <x:v>6633</x:v>
      </x:c>
      <x:c r="J405" s="14" t="n">
        <x:f>I405/H405-1</x:f>
        <x:v>-0.2945868339891524</x:v>
      </x:c>
      <x:c r="K405" s="8" t="n">
        <x:f>H405*('Source Data'!H$8/'Source Data'!F$8)*EXP(F405*('Source Data'!H$7-'Source Data'!F$7))</x:f>
        <x:v>9768.33126025433</x:v>
      </x:c>
      <x:c r="L405" s="14" t="n">
        <x:f>I405/K405-1</x:f>
        <x:v>-0.3209689737909951</x:v>
      </x:c>
      <x:c r="M405" s="8" t="n">
        <x:f>'Source Data'!G405</x:f>
        <x:v>8561</x:v>
      </x:c>
      <x:c r="N405" s="8" t="n">
        <x:f>M405*('Source Data'!H$8/'Source Data'!G$8)*EXP(F405*('Source Data'!H$7-'Source Data'!G$7))</x:f>
        <x:v>8829.787872319846</x:v>
      </x:c>
      <x:c r="O405" s="14" t="n">
        <x:f>I405/N405-1</x:f>
        <x:v>-0.24879282538671965</x:v>
      </x:c>
      <x:c r="P405" s="2" t="str"/>
    </x:row>
    <x:row r="406">
      <x:c r="A406" s="2" t="str">
        <x:f>'Source Data'!A406</x:f>
        <x:v>423220</x:v>
      </x:c>
      <x:c r="B406" s="2" t="str">
        <x:f>'Source Data'!B406</x:f>
        <x:v>Home Furnishing Merchant Wholesalers</x:v>
      </x:c>
      <x:c r="C406" s="13" t="n">
        <x:f>LN('Source Data'!C406/'Source Data'!C$8)</x:f>
        <x:v>-7.227717008958625</x:v>
      </x:c>
      <x:c r="D406" s="13" t="n">
        <x:f>LN('Source Data'!D406/'Source Data'!D$8)</x:f>
        <x:v>-7.16801852354205</x:v>
      </x:c>
      <x:c r="E406" s="13" t="n">
        <x:f>LN('Source Data'!E406/'Source Data'!E$8)</x:f>
        <x:v>-7.202348299341741</x:v>
      </x:c>
      <x:c r="F406" s="13" t="n">
        <x:f>SLOPE(C406:E406,'Source Data'!C$7:E$7)</x:f>
        <x:v>0.012684354808441878</x:v>
      </x:c>
      <x:c r="G406" s="14" t="n">
        <x:f>EXP(F406)-1</x:f>
        <x:v>0.012765142455255729</x:v>
      </x:c>
      <x:c r="H406" s="8" t="n">
        <x:f>'Source Data'!F406</x:f>
        <x:v>11179</x:v>
      </x:c>
      <x:c r="I406" s="8" t="n">
        <x:f>'Source Data'!H406</x:f>
        <x:v>9746</x:v>
      </x:c>
      <x:c r="J406" s="14" t="n">
        <x:f>I406/H406-1</x:f>
        <x:v>-0.1281867787816442</x:v>
      </x:c>
      <x:c r="K406" s="8" t="n">
        <x:f>H406*('Source Data'!H$8/'Source Data'!F$8)*EXP(F406*('Source Data'!H$7-'Source Data'!F$7))</x:f>
        <x:v>11969.508319019495</x:v>
      </x:c>
      <x:c r="L406" s="14" t="n">
        <x:f>I406/K406-1</x:f>
        <x:v>-0.18576438227511405</x:v>
      </x:c>
      <x:c r="M406" s="8" t="n">
        <x:f>'Source Data'!G406</x:f>
        <x:v>10402</x:v>
      </x:c>
      <x:c r="N406" s="8" t="n">
        <x:f>M406*('Source Data'!H$8/'Source Data'!G$8)*EXP(F406*('Source Data'!H$7-'Source Data'!G$7))</x:f>
        <x:v>10974.435278132105</x:v>
      </x:c>
      <x:c r="O406" s="14" t="n">
        <x:f>I406/N406-1</x:f>
        <x:v>-0.11193608117402742</x:v>
      </x:c>
      <x:c r="P406" s="2" t="str"/>
    </x:row>
    <x:row r="407">
      <x:c r="A407" s="2" t="str">
        <x:f>'Source Data'!A407</x:f>
        <x:v>423310</x:v>
      </x:c>
      <x:c r="B407" s="2" t="str">
        <x:f>'Source Data'!B407</x:f>
        <x:v>Lumber, Plywood, Millwork, and Wood Panel Merchant Wholesalers</x:v>
      </x:c>
      <x:c r="C407" s="13" t="n">
        <x:f>LN('Source Data'!C407/'Source Data'!C$8)</x:f>
        <x:v>-7.308876483107047</x:v>
      </x:c>
      <x:c r="D407" s="13" t="n">
        <x:f>LN('Source Data'!D407/'Source Data'!D$8)</x:f>
        <x:v>-7.224702035419451</x:v>
      </x:c>
      <x:c r="E407" s="13" t="n">
        <x:f>LN('Source Data'!E407/'Source Data'!E$8)</x:f>
        <x:v>-7.211684419726897</x:v>
      </x:c>
      <x:c r="F407" s="13" t="n">
        <x:f>SLOPE(C407:E407,'Source Data'!C$7:E$7)</x:f>
        <x:v>0.048596031690075314</x:v>
      </x:c>
      <x:c r="G407" s="14" t="n">
        <x:f>EXP(F407)-1</x:f>
        <x:v>0.04979618068129055</x:v>
      </x:c>
      <x:c r="H407" s="8" t="n">
        <x:f>'Source Data'!F407</x:f>
        <x:v>10663</x:v>
      </x:c>
      <x:c r="I407" s="8" t="n">
        <x:f>'Source Data'!H407</x:f>
        <x:v>8988</x:v>
      </x:c>
      <x:c r="J407" s="14" t="n">
        <x:f>I407/H407-1</x:f>
        <x:v>-0.15708524805401858</x:v>
      </x:c>
      <x:c r="K407" s="8" t="n">
        <x:f>H407*('Source Data'!H$8/'Source Data'!F$8)*EXP(F407*('Source Data'!H$7-'Source Data'!F$7))</x:f>
        <x:v>13180.67757249632</x:v>
      </x:c>
      <x:c r="L407" s="14" t="n">
        <x:f>I407/K407-1</x:f>
        <x:v>-0.3180927193944142</x:v>
      </x:c>
      <x:c r="M407" s="8" t="n">
        <x:f>'Source Data'!G407</x:f>
        <x:v>10469</x:v>
      </x:c>
      <x:c r="N407" s="8" t="n">
        <x:f>M407*('Source Data'!H$8/'Source Data'!G$8)*EXP(F407*('Source Data'!H$7-'Source Data'!G$7))</x:f>
        <x:v>12301.533716128843</x:v>
      </x:c>
      <x:c r="O407" s="14" t="n">
        <x:f>I407/N407-1</x:f>
        <x:v>-0.2693593979898935</x:v>
      </x:c>
      <x:c r="P407" s="2" t="str"/>
    </x:row>
    <x:row r="408">
      <x:c r="A408" s="2" t="str">
        <x:f>'Source Data'!A408</x:f>
        <x:v>423320</x:v>
      </x:c>
      <x:c r="B408" s="2" t="str">
        <x:f>'Source Data'!B408</x:f>
        <x:v>Brick, Stone, and Related Construction Material Merchant Wholesalers</x:v>
      </x:c>
      <x:c r="C408" s="13" t="n">
        <x:f>LN('Source Data'!C408/'Source Data'!C$8)</x:f>
        <x:v>-7.60365512272053</x:v>
      </x:c>
      <x:c r="D408" s="13" t="n">
        <x:f>LN('Source Data'!D408/'Source Data'!D$8)</x:f>
        <x:v>-7.473698127039364</x:v>
      </x:c>
      <x:c r="E408" s="13" t="n">
        <x:f>LN('Source Data'!E408/'Source Data'!E$8)</x:f>
        <x:v>-7.5133976270422</x:v>
      </x:c>
      <x:c r="F408" s="13" t="n">
        <x:f>SLOPE(C408:E408,'Source Data'!C$7:E$7)</x:f>
        <x:v>0.04512874783916487</x:v>
      </x:c>
      <x:c r="G408" s="14" t="n">
        <x:f>EXP(F408)-1</x:f>
        <x:v>0.046162542405240536</x:v>
      </x:c>
      <x:c r="H408" s="8" t="n">
        <x:f>'Source Data'!F408</x:f>
        <x:v>7172</x:v>
      </x:c>
      <x:c r="I408" s="8" t="n">
        <x:f>'Source Data'!H408</x:f>
        <x:v>6928</x:v>
      </x:c>
      <x:c r="J408" s="14" t="n">
        <x:f>I408/H408-1</x:f>
        <x:v>-0.03402119353039601</x:v>
      </x:c>
      <x:c r="K408" s="8" t="n">
        <x:f>H408*('Source Data'!H$8/'Source Data'!F$8)*EXP(F408*('Source Data'!H$7-'Source Data'!F$7))</x:f>
        <x:v>8743.298770898724</x:v>
      </x:c>
      <x:c r="L408" s="14" t="n">
        <x:f>I408/K408-1</x:f>
        <x:v>-0.20762172475916996</x:v>
      </x:c>
      <x:c r="M408" s="8" t="n">
        <x:f>'Source Data'!G408</x:f>
        <x:v>7034</x:v>
      </x:c>
      <x:c r="N408" s="8" t="n">
        <x:f>M408*('Source Data'!H$8/'Source Data'!G$8)*EXP(F408*('Source Data'!H$7-'Source Data'!G$7))</x:f>
        <x:v>8179.729815138319</x:v>
      </x:c>
      <x:c r="O408" s="14" t="n">
        <x:f>I408/N408-1</x:f>
        <x:v>-0.1530282592979696</x:v>
      </x:c>
      <x:c r="P408" s="2" t="str"/>
    </x:row>
    <x:row r="409">
      <x:c r="A409" s="2" t="str">
        <x:f>'Source Data'!A409</x:f>
        <x:v>423330</x:v>
      </x:c>
      <x:c r="B409" s="2" t="str">
        <x:f>'Source Data'!B409</x:f>
        <x:v>Roofing, Siding, and Insulation Material Merchant Wholesalers</x:v>
      </x:c>
      <x:c r="C409" s="13" t="n">
        <x:f>LN('Source Data'!C409/'Source Data'!C$8)</x:f>
        <x:v>-8.82499176804131</x:v>
      </x:c>
      <x:c r="D409" s="13" t="n">
        <x:f>LN('Source Data'!D409/'Source Data'!D$8)</x:f>
        <x:v>-8.770734910714557</x:v>
      </x:c>
      <x:c r="E409" s="13" t="n">
        <x:f>LN('Source Data'!E409/'Source Data'!E$8)</x:f>
        <x:v>-8.772770249893862</x:v>
      </x:c>
      <x:c r="F409" s="13" t="n">
        <x:f>SLOPE(C409:E409,'Source Data'!C$7:E$7)</x:f>
        <x:v>0.026110759073723955</x:v>
      </x:c>
      <x:c r="G409" s="14" t="n">
        <x:f>EXP(F409)-1</x:f>
        <x:v>0.026454631341808366</x:v>
      </x:c>
      <x:c r="H409" s="8" t="n">
        <x:f>'Source Data'!F409</x:f>
        <x:v>2787</x:v>
      </x:c>
      <x:c r="I409" s="8" t="n">
        <x:f>'Source Data'!H409</x:f>
        <x:v>3418</x:v>
      </x:c>
      <x:c r="J409" s="14" t="n">
        <x:f>I409/H409-1</x:f>
        <x:v>0.22640832436311453</x:v>
      </x:c>
      <x:c r="K409" s="8" t="n">
        <x:f>H409*('Source Data'!H$8/'Source Data'!F$8)*EXP(F409*('Source Data'!H$7-'Source Data'!F$7))</x:f>
        <x:v>3148.722420877613</x:v>
      </x:c>
      <x:c r="L409" s="14" t="n">
        <x:f>I409/K409-1</x:f>
        <x:v>0.08551963086264491</x:v>
      </x:c>
      <x:c r="M409" s="8" t="n">
        <x:f>'Source Data'!G409</x:f>
        <x:v>2915</x:v>
      </x:c>
      <x:c r="N409" s="8" t="n">
        <x:f>M409*('Source Data'!H$8/'Source Data'!G$8)*EXP(F409*('Source Data'!H$7-'Source Data'!G$7))</x:f>
        <x:v>3201.8201327494057</x:v>
      </x:c>
      <x:c r="O409" s="14" t="n">
        <x:f>I409/N409-1</x:f>
        <x:v>0.0675178049633165</x:v>
      </x:c>
      <x:c r="P409" s="2" t="str"/>
    </x:row>
    <x:row r="410">
      <x:c r="A410" s="2" t="str">
        <x:f>'Source Data'!A410</x:f>
        <x:v>423390</x:v>
      </x:c>
      <x:c r="B410" s="2" t="str">
        <x:f>'Source Data'!B410</x:f>
        <x:v>Other Construction Material Merchant Wholesalers</x:v>
      </x:c>
      <x:c r="C410" s="13" t="n">
        <x:f>LN('Source Data'!C410/'Source Data'!C$8)</x:f>
        <x:v>-8.607671900187182</x:v>
      </x:c>
      <x:c r="D410" s="13" t="n">
        <x:f>LN('Source Data'!D410/'Source Data'!D$8)</x:f>
        <x:v>-8.600161244767493</x:v>
      </x:c>
      <x:c r="E410" s="13" t="n">
        <x:f>LN('Source Data'!E410/'Source Data'!E$8)</x:f>
        <x:v>-8.592620246613414</x:v>
      </x:c>
      <x:c r="F410" s="13" t="n">
        <x:f>SLOPE(C410:E410,'Source Data'!C$7:E$7)</x:f>
        <x:v>0.007525826786883627</x:v>
      </x:c>
      <x:c r="G410" s="14" t="n">
        <x:f>EXP(F410)-1</x:f>
        <x:v>0.007554216996542129</x:v>
      </x:c>
      <x:c r="H410" s="8" t="n">
        <x:f>'Source Data'!F410</x:f>
        <x:v>2447</x:v>
      </x:c>
      <x:c r="I410" s="8" t="n">
        <x:f>'Source Data'!H410</x:f>
        <x:v>2440</x:v>
      </x:c>
      <x:c r="J410" s="14" t="n">
        <x:f>I410/H410-1</x:f>
        <x:v>-0.002860645688598229</x:v>
      </x:c>
      <x:c r="K410" s="8" t="n">
        <x:f>H410*('Source Data'!H$8/'Source Data'!F$8)*EXP(F410*('Source Data'!H$7-'Source Data'!F$7))</x:f>
        <x:v>2566.528215457458</x:v>
      </x:c>
      <x:c r="L410" s="14" t="n">
        <x:f>I410/K410-1</x:f>
        <x:v>-0.0492993666289796</x:v>
      </x:c>
      <x:c r="M410" s="8" t="n">
        <x:f>'Source Data'!G410</x:f>
        <x:v>2584</x:v>
      </x:c>
      <x:c r="N410" s="8" t="n">
        <x:f>M410*('Source Data'!H$8/'Source Data'!G$8)*EXP(F410*('Source Data'!H$7-'Source Data'!G$7))</x:f>
        <x:v>2684.336030288113</x:v>
      </x:c>
      <x:c r="O410" s="14" t="n">
        <x:f>I410/N410-1</x:f>
        <x:v>-0.09102289263758379</x:v>
      </x:c>
      <x:c r="P410" s="2" t="str"/>
    </x:row>
    <x:row r="411">
      <x:c r="A411" s="2" t="str">
        <x:f>'Source Data'!A411</x:f>
        <x:v>423410</x:v>
      </x:c>
      <x:c r="B411" s="2" t="str">
        <x:f>'Source Data'!B411</x:f>
        <x:v>Photographic Equipment and Supplies Merchant Wholesalers</x:v>
      </x:c>
      <x:c r="C411" s="13" t="n">
        <x:f>LN('Source Data'!C411/'Source Data'!C$8)</x:f>
        <x:v>-8.360237494681718</x:v>
      </x:c>
      <x:c r="D411" s="13" t="n">
        <x:f>LN('Source Data'!D411/'Source Data'!D$8)</x:f>
        <x:v>-8.580657406648623</x:v>
      </x:c>
      <x:c r="E411" s="13" t="n">
        <x:f>LN('Source Data'!E411/'Source Data'!E$8)</x:f>
        <x:v>-8.666672478960539</x:v>
      </x:c>
      <x:c r="F411" s="13" t="n">
        <x:f>SLOPE(C411:E411,'Source Data'!C$7:E$7)</x:f>
        <x:v>-0.15321749213941072</x:v>
      </x:c>
      <x:c r="G411" s="14" t="n">
        <x:f>EXP(F411)-1</x:f>
        <x:v>-0.1420568943631837</x:v>
      </x:c>
      <x:c r="H411" s="8" t="n">
        <x:f>'Source Data'!F411</x:f>
        <x:v>2262</x:v>
      </x:c>
      <x:c r="I411" s="8" t="n">
        <x:f>'Source Data'!H411</x:f>
        <x:v>1727</x:v>
      </x:c>
      <x:c r="J411" s="14" t="n">
        <x:f>I411/H411-1</x:f>
        <x:v>-0.23651635720601238</x:v>
      </x:c>
      <x:c r="K411" s="8" t="n">
        <x:f>H411*('Source Data'!H$8/'Source Data'!F$8)*EXP(F411*('Source Data'!H$7-'Source Data'!F$7))</x:f>
        <x:v>1247.2827862384183</x:v>
      </x:c>
      <x:c r="L411" s="14" t="n">
        <x:f>I411/K411-1</x:f>
        <x:v>0.3846098246960683</x:v>
      </x:c>
      <x:c r="M411" s="8" t="n">
        <x:f>'Source Data'!G411</x:f>
        <x:v>2266</x:v>
      </x:c>
      <x:c r="N411" s="8" t="n">
        <x:f>M411*('Source Data'!H$8/'Source Data'!G$8)*EXP(F411*('Source Data'!H$7-'Source Data'!G$7))</x:f>
        <x:v>1453.3642316162716</x:v>
      </x:c>
      <x:c r="O411" s="14" t="n">
        <x:f>I411/N411-1</x:f>
        <x:v>0.18827748917380527</x:v>
      </x:c>
      <x:c r="P411" s="2" t="str"/>
    </x:row>
    <x:row r="412">
      <x:c r="A412" s="2" t="str">
        <x:f>'Source Data'!A412</x:f>
        <x:v>423420</x:v>
      </x:c>
      <x:c r="B412" s="2" t="str">
        <x:f>'Source Data'!B412</x:f>
        <x:v>Office Equipment Merchant Wholesalers</x:v>
      </x:c>
      <x:c r="C412" s="13" t="n">
        <x:f>LN('Source Data'!C412/'Source Data'!C$8)</x:f>
        <x:v>-7.602252794626465</x:v>
      </x:c>
      <x:c r="D412" s="13" t="n">
        <x:f>LN('Source Data'!D412/'Source Data'!D$8)</x:f>
        <x:v>-7.653493062745468</x:v>
      </x:c>
      <x:c r="E412" s="13" t="n">
        <x:f>LN('Source Data'!E412/'Source Data'!E$8)</x:f>
        <x:v>-7.703209300057746</x:v>
      </x:c>
      <x:c r="F412" s="13" t="n">
        <x:f>SLOPE(C412:E412,'Source Data'!C$7:E$7)</x:f>
        <x:v>-0.05047825271564044</x:v>
      </x:c>
      <x:c r="G412" s="14" t="n">
        <x:f>EXP(F412)-1</x:f>
        <x:v>-0.04922539478680177</x:v>
      </x:c>
      <x:c r="H412" s="8" t="n">
        <x:f>'Source Data'!F412</x:f>
        <x:v>5692</x:v>
      </x:c>
      <x:c r="I412" s="8" t="n">
        <x:f>'Source Data'!H412</x:f>
        <x:v>4723</x:v>
      </x:c>
      <x:c r="J412" s="14" t="n">
        <x:f>I412/H412-1</x:f>
        <x:v>-0.17023893183415317</x:v>
      </x:c>
      <x:c r="K412" s="8" t="n">
        <x:f>H412*('Source Data'!H$8/'Source Data'!F$8)*EXP(F412*('Source Data'!H$7-'Source Data'!F$7))</x:f>
        <x:v>4733.839820114106</x:v>
      </x:c>
      <x:c r="L412" s="14" t="n">
        <x:f>I412/K412-1</x:f>
        <x:v>-0.0022898578164913808</x:v>
      </x:c>
      <x:c r="M412" s="8" t="n">
        <x:f>'Source Data'!G412</x:f>
        <x:v>5604</x:v>
      </x:c>
      <x:c r="N412" s="8" t="n">
        <x:f>M412*('Source Data'!H$8/'Source Data'!G$8)*EXP(F412*('Source Data'!H$7-'Source Data'!G$7))</x:f>
        <x:v>4891.814083408452</x:v>
      </x:c>
      <x:c r="O412" s="14" t="n">
        <x:f>I412/N412-1</x:f>
        <x:v>-0.03450950517130602</x:v>
      </x:c>
      <x:c r="P412" s="2" t="str"/>
    </x:row>
    <x:row r="413">
      <x:c r="A413" s="2" t="str">
        <x:f>'Source Data'!A413</x:f>
        <x:v>423430</x:v>
      </x:c>
      <x:c r="B413" s="2" t="str">
        <x:f>'Source Data'!B413</x:f>
        <x:v>Computer and Computer Peripheral Equipment and Software Merchant Wholesalers</x:v>
      </x:c>
      <x:c r="C413" s="13" t="n">
        <x:f>LN('Source Data'!C413/'Source Data'!C$8)</x:f>
        <x:v>-6.075149077295052</x:v>
      </x:c>
      <x:c r="D413" s="13" t="n">
        <x:f>LN('Source Data'!D413/'Source Data'!D$8)</x:f>
        <x:v>-6.108649428831278</x:v>
      </x:c>
      <x:c r="E413" s="13" t="n">
        <x:f>LN('Source Data'!E413/'Source Data'!E$8)</x:f>
        <x:v>-6.227128397869704</x:v>
      </x:c>
      <x:c r="F413" s="13" t="n">
        <x:f>SLOPE(C413:E413,'Source Data'!C$7:E$7)</x:f>
        <x:v>-0.07598966028732601</x:v>
      </x:c>
      <x:c r="G413" s="14" t="n">
        <x:f>EXP(F413)-1</x:f>
        <x:v>-0.07317421037779737</x:v>
      </x:c>
      <x:c r="H413" s="8" t="n">
        <x:f>'Source Data'!F413</x:f>
        <x:v>27529</x:v>
      </x:c>
      <x:c r="I413" s="8" t="n">
        <x:f>'Source Data'!H413</x:f>
        <x:v>31384</x:v>
      </x:c>
      <x:c r="J413" s="14" t="n">
        <x:f>I413/H413-1</x:f>
        <x:v>0.14003414580987328</x:v>
      </x:c>
      <x:c r="K413" s="8" t="n">
        <x:f>H413*('Source Data'!H$8/'Source Data'!F$8)*EXP(F413*('Source Data'!H$7-'Source Data'!F$7))</x:f>
        <x:v>20673.84466210147</x:v>
      </x:c>
      <x:c r="L413" s="14" t="n">
        <x:f>I413/K413-1</x:f>
        <x:v>0.5180533912752083</x:v>
      </x:c>
      <x:c r="M413" s="8" t="n">
        <x:f>'Source Data'!G413</x:f>
        <x:v>29035</x:v>
      </x:c>
      <x:c r="N413" s="8" t="n">
        <x:f>M413*('Source Data'!H$8/'Source Data'!G$8)*EXP(F413*('Source Data'!H$7-'Source Data'!G$7))</x:f>
        <x:v>23477.68417774417</x:v>
      </x:c>
      <x:c r="O413" s="14" t="n">
        <x:f>I413/N413-1</x:f>
        <x:v>0.33675876046372055</x:v>
      </x:c>
      <x:c r="P413" s="2" t="str"/>
    </x:row>
    <x:row r="414">
      <x:c r="A414" s="2" t="str">
        <x:f>'Source Data'!A414</x:f>
        <x:v>423440</x:v>
      </x:c>
      <x:c r="B414" s="2" t="str">
        <x:f>'Source Data'!B414</x:f>
        <x:v>Other Commercial Equipment Merchant Wholesalers</x:v>
      </x:c>
      <x:c r="C414" s="13" t="n">
        <x:f>LN('Source Data'!C414/'Source Data'!C$8)</x:f>
        <x:v>-7.744308565367079</x:v>
      </x:c>
      <x:c r="D414" s="13" t="n">
        <x:f>LN('Source Data'!D414/'Source Data'!D$8)</x:f>
        <x:v>-7.767785442249385</x:v>
      </x:c>
      <x:c r="E414" s="13" t="n">
        <x:f>LN('Source Data'!E414/'Source Data'!E$8)</x:f>
        <x:v>-7.807131715742947</x:v>
      </x:c>
      <x:c r="F414" s="13" t="n">
        <x:f>SLOPE(C414:E414,'Source Data'!C$7:E$7)</x:f>
        <x:v>-0.03141157518793403</x:v>
      </x:c>
      <x:c r="G414" s="14" t="n">
        <x:f>EXP(F414)-1</x:f>
        <x:v>-0.03092335691468595</x:v>
      </x:c>
      <x:c r="H414" s="8" t="n">
        <x:f>'Source Data'!F414</x:f>
        <x:v>4949</x:v>
      </x:c>
      <x:c r="I414" s="8" t="n">
        <x:f>'Source Data'!H414</x:f>
        <x:v>4305</x:v>
      </x:c>
      <x:c r="J414" s="14" t="n">
        <x:f>I414/H414-1</x:f>
        <x:v>-0.13012729844413018</x:v>
      </x:c>
      <x:c r="K414" s="8" t="n">
        <x:f>H414*('Source Data'!H$8/'Source Data'!F$8)*EXP(F414*('Source Data'!H$7-'Source Data'!F$7))</x:f>
        <x:v>4442.100012066258</x:v>
      </x:c>
      <x:c r="L414" s="14" t="n">
        <x:f>I414/K414-1</x:f>
        <x:v>-0.030863783276794288</x:v>
      </x:c>
      <x:c r="M414" s="8" t="n">
        <x:f>'Source Data'!G414</x:f>
        <x:v>5119</x:v>
      </x:c>
      <x:c r="N414" s="8" t="n">
        <x:f>M414*('Source Data'!H$8/'Source Data'!G$8)*EXP(F414*('Source Data'!H$7-'Source Data'!G$7))</x:f>
        <x:v>4731.497385899838</x:v>
      </x:c>
      <x:c r="O414" s="14" t="n">
        <x:f>I414/N414-1</x:f>
        <x:v>-0.09014004470779746</x:v>
      </x:c>
      <x:c r="P414" s="2" t="str"/>
    </x:row>
    <x:row r="415">
      <x:c r="A415" s="2" t="str">
        <x:f>'Source Data'!A415</x:f>
        <x:v>423450</x:v>
      </x:c>
      <x:c r="B415" s="2" t="str">
        <x:f>'Source Data'!B415</x:f>
        <x:v>Medical, Dental, and Hospital Equipment and Supplies Merchant Wholesalers</x:v>
      </x:c>
      <x:c r="C415" s="13" t="n">
        <x:f>LN('Source Data'!C415/'Source Data'!C$8)</x:f>
        <x:v>-6.4025632535284585</x:v>
      </x:c>
      <x:c r="D415" s="13" t="n">
        <x:f>LN('Source Data'!D415/'Source Data'!D$8)</x:f>
        <x:v>-6.262918042559285</x:v>
      </x:c>
      <x:c r="E415" s="13" t="n">
        <x:f>LN('Source Data'!E415/'Source Data'!E$8)</x:f>
        <x:v>-6.266969880688373</x:v>
      </x:c>
      <x:c r="F415" s="13" t="n">
        <x:f>SLOPE(C415:E415,'Source Data'!C$7:E$7)</x:f>
        <x:v>0.06779668642004255</x:v>
      </x:c>
      <x:c r="G415" s="14" t="n">
        <x:f>EXP(F415)-1</x:f>
        <x:v>0.07014771079707671</x:v>
      </x:c>
      <x:c r="H415" s="8" t="n">
        <x:f>'Source Data'!F415</x:f>
        <x:v>30736</x:v>
      </x:c>
      <x:c r="I415" s="8" t="n">
        <x:f>'Source Data'!H415</x:f>
        <x:v>30865</x:v>
      </x:c>
      <x:c r="J415" s="14" t="n">
        <x:f>I415/H415-1</x:f>
        <x:v>0.004197032795419053</x:v>
      </x:c>
      <x:c r="K415" s="8" t="n">
        <x:f>H415*('Source Data'!H$8/'Source Data'!F$8)*EXP(F415*('Source Data'!H$7-'Source Data'!F$7))</x:f>
        <x:v>41026.13722175425</x:v>
      </x:c>
      <x:c r="L415" s="14" t="n">
        <x:f>I415/K415-1</x:f>
        <x:v>-0.2476747242088947</x:v>
      </x:c>
      <x:c r="M415" s="8" t="n">
        <x:f>'Source Data'!G415</x:f>
        <x:v>31534</x:v>
      </x:c>
      <x:c r="N415" s="8" t="n">
        <x:f>M415*('Source Data'!H$8/'Source Data'!G$8)*EXP(F415*('Source Data'!H$7-'Source Data'!G$7))</x:f>
        <x:v>39250.87475144518</x:v>
      </x:c>
      <x:c r="O415" s="14" t="n">
        <x:f>I415/N415-1</x:f>
        <x:v>-0.21364809840668386</x:v>
      </x:c>
      <x:c r="P415" s="2" t="str"/>
    </x:row>
    <x:row r="416">
      <x:c r="A416" s="2" t="str">
        <x:f>'Source Data'!A416</x:f>
        <x:v>423460</x:v>
      </x:c>
      <x:c r="B416" s="2" t="str">
        <x:f>'Source Data'!B416</x:f>
        <x:v>Ophthalmic Goods Merchant Wholesalers</x:v>
      </x:c>
      <x:c r="C416" s="13" t="n">
        <x:f>LN('Source Data'!C416/'Source Data'!C$8)</x:f>
        <x:v>-8.465132940404576</x:v>
      </x:c>
      <x:c r="D416" s="13" t="n">
        <x:f>LN('Source Data'!D416/'Source Data'!D$8)</x:f>
        <x:v>-8.417901624736125</x:v>
      </x:c>
      <x:c r="E416" s="13" t="n">
        <x:f>LN('Source Data'!E416/'Source Data'!E$8)</x:f>
        <x:v>-8.37499916246616</x:v>
      </x:c>
      <x:c r="F416" s="13" t="n">
        <x:f>SLOPE(C416:E416,'Source Data'!C$7:E$7)</x:f>
        <x:v>0.04506688896920785</x:v>
      </x:c>
      <x:c r="G416" s="14" t="n">
        <x:f>EXP(F416)-1</x:f>
        <x:v>0.04609782997411571</x:v>
      </x:c>
      <x:c r="H416" s="8" t="n">
        <x:f>'Source Data'!F416</x:f>
        <x:v>3264</x:v>
      </x:c>
      <x:c r="I416" s="8" t="n">
        <x:f>'Source Data'!H416</x:f>
        <x:v>2958</x:v>
      </x:c>
      <x:c r="J416" s="14" t="n">
        <x:f>I416/H416-1</x:f>
        <x:v>-0.09375</x:v>
      </x:c>
      <x:c r="K416" s="8" t="n">
        <x:f>H416*('Source Data'!H$8/'Source Data'!F$8)*EXP(F416*('Source Data'!H$7-'Source Data'!F$7))</x:f>
        <x:v>3978.118616363753</x:v>
      </x:c>
      <x:c r="L416" s="14" t="n">
        <x:f>I416/K416-1</x:f>
        <x:v>-0.25643242817535805</x:v>
      </x:c>
      <x:c r="M416" s="8" t="n">
        <x:f>'Source Data'!G416</x:f>
        <x:v>3267</x:v>
      </x:c>
      <x:c r="N416" s="8" t="n">
        <x:f>M416*('Source Data'!H$8/'Source Data'!G$8)*EXP(F416*('Source Data'!H$7-'Source Data'!G$7))</x:f>
        <x:v>3798.4388071558774</x:v>
      </x:c>
      <x:c r="O416" s="14" t="n">
        <x:f>I416/N416-1</x:f>
        <x:v>-0.22125900924679243</x:v>
      </x:c>
      <x:c r="P416" s="2" t="str"/>
    </x:row>
    <x:row r="417">
      <x:c r="A417" s="2" t="str">
        <x:f>'Source Data'!A417</x:f>
        <x:v>423490</x:v>
      </x:c>
      <x:c r="B417" s="2" t="str">
        <x:f>'Source Data'!B417</x:f>
        <x:v>Other Professional Equipment and Supplies Merchant Wholesalers</x:v>
      </x:c>
      <x:c r="C417" s="13" t="n">
        <x:f>LN('Source Data'!C417/'Source Data'!C$8)</x:f>
        <x:v>-8.40113425276225</x:v>
      </x:c>
      <x:c r="D417" s="13" t="n">
        <x:f>LN('Source Data'!D417/'Source Data'!D$8)</x:f>
        <x:v>-8.1307616626558</x:v>
      </x:c>
      <x:c r="E417" s="13" t="n">
        <x:f>LN('Source Data'!E417/'Source Data'!E$8)</x:f>
        <x:v>-8.125564799568856</x:v>
      </x:c>
      <x:c r="F417" s="13" t="n">
        <x:f>SLOPE(C417:E417,'Source Data'!C$7:E$7)</x:f>
        <x:v>0.1377847265966965</x:v>
      </x:c>
      <x:c r="G417" s="14" t="n">
        <x:f>EXP(F417)-1</x:f>
        <x:v>0.14772844826876108</x:v>
      </x:c>
      <x:c r="H417" s="8" t="n">
        <x:f>'Source Data'!F417</x:f>
        <x:v>4548</x:v>
      </x:c>
      <x:c r="I417" s="8" t="n">
        <x:f>'Source Data'!H417</x:f>
        <x:v>4481</x:v>
      </x:c>
      <x:c r="J417" s="14" t="n">
        <x:f>I417/H417-1</x:f>
        <x:v>-0.014731750219876827</x:v>
      </x:c>
      <x:c r="K417" s="8" t="n">
        <x:f>H417*('Source Data'!H$8/'Source Data'!F$8)*EXP(F417*('Source Data'!H$7-'Source Data'!F$7))</x:f>
        <x:v>8031.846786440322</x:v>
      </x:c>
      <x:c r="L417" s="14" t="n">
        <x:f>I417/K417-1</x:f>
        <x:v>-0.4420959314656002</x:v>
      </x:c>
      <x:c r="M417" s="8" t="n">
        <x:f>'Source Data'!G417</x:f>
        <x:v>4858</x:v>
      </x:c>
      <x:c r="N417" s="8" t="n">
        <x:f>M417*('Source Data'!H$8/'Source Data'!G$8)*EXP(F417*('Source Data'!H$7-'Source Data'!G$7))</x:f>
        <x:v>7459.574334996408</x:v>
      </x:c>
      <x:c r="O417" s="14" t="n">
        <x:f>I417/N417-1</x:f>
        <x:v>-0.3992954827224524</x:v>
      </x:c>
      <x:c r="P417" s="2" t="str"/>
    </x:row>
    <x:row r="418">
      <x:c r="A418" s="2" t="str">
        <x:f>'Source Data'!A418</x:f>
        <x:v>423510</x:v>
      </x:c>
      <x:c r="B418" s="2" t="str">
        <x:f>'Source Data'!B418</x:f>
        <x:v>Metal Service Centers and Other Metal Merchant Wholesalers</x:v>
      </x:c>
      <x:c r="C418" s="13" t="n">
        <x:f>LN('Source Data'!C418/'Source Data'!C$8)</x:f>
        <x:v>-7.189898170392868</x:v>
      </x:c>
      <x:c r="D418" s="13" t="n">
        <x:f>LN('Source Data'!D418/'Source Data'!D$8)</x:f>
        <x:v>-7.1377767502898894</x:v>
      </x:c>
      <x:c r="E418" s="13" t="n">
        <x:f>LN('Source Data'!E418/'Source Data'!E$8)</x:f>
        <x:v>-7.128627059689971</x:v>
      </x:c>
      <x:c r="F418" s="13" t="n">
        <x:f>SLOPE(C418:E418,'Source Data'!C$7:E$7)</x:f>
        <x:v>0.030635555351448573</x:v>
      </x:c>
      <x:c r="G418" s="14" t="n">
        <x:f>EXP(F418)-1</x:f>
        <x:v>0.031109653007153737</x:v>
      </x:c>
      <x:c r="H418" s="8" t="n">
        <x:f>'Source Data'!F418</x:f>
        <x:v>10301</x:v>
      </x:c>
      <x:c r="I418" s="8" t="n">
        <x:f>'Source Data'!H418</x:f>
        <x:v>9636</x:v>
      </x:c>
      <x:c r="J418" s="14" t="n">
        <x:f>I418/H418-1</x:f>
        <x:v>-0.06455683914183086</x:v>
      </x:c>
      <x:c r="K418" s="8" t="n">
        <x:f>H418*('Source Data'!H$8/'Source Data'!F$8)*EXP(F418*('Source Data'!H$7-'Source Data'!F$7))</x:f>
        <x:v>11850.513552506221</x:v>
      </x:c>
      <x:c r="L418" s="14" t="n">
        <x:f>I418/K418-1</x:f>
        <x:v>-0.18687068224464265</x:v>
      </x:c>
      <x:c r="M418" s="8" t="n">
        <x:f>'Source Data'!G418</x:f>
        <x:v>10696</x:v>
      </x:c>
      <x:c r="N418" s="8" t="n">
        <x:f>M418*('Source Data'!H$8/'Source Data'!G$8)*EXP(F418*('Source Data'!H$7-'Source Data'!G$7))</x:f>
        <x:v>11908.993231328948</x:v>
      </x:c>
      <x:c r="O418" s="14" t="n">
        <x:f>I418/N418-1</x:f>
        <x:v>-0.19086359251169882</x:v>
      </x:c>
      <x:c r="P418" s="2" t="str"/>
    </x:row>
    <x:row r="419">
      <x:c r="A419" s="2" t="str">
        <x:f>'Source Data'!A419</x:f>
        <x:v>423520</x:v>
      </x:c>
      <x:c r="B419" s="2" t="str">
        <x:f>'Source Data'!B419</x:f>
        <x:v>Coal and Other Mineral and Ore Merchant Wholesalers</x:v>
      </x:c>
      <x:c r="C419" s="13" t="n">
        <x:f>LN('Source Data'!C419/'Source Data'!C$8)</x:f>
        <x:v>-12.080711314213872</x:v>
      </x:c>
      <x:c r="D419" s="13" t="n">
        <x:f>LN('Source Data'!D419/'Source Data'!D$8)</x:f>
        <x:v>-11.912861916823827</x:v>
      </x:c>
      <x:c r="E419" s="13" t="n">
        <x:f>LN('Source Data'!E419/'Source Data'!E$8)</x:f>
        <x:v>-11.961729313724069</x:v>
      </x:c>
      <x:c r="F419" s="13" t="n">
        <x:f>SLOPE(C419:E419,'Source Data'!C$7:E$7)</x:f>
        <x:v>0.05949100024490139</x:v>
      </x:c>
      <x:c r="G419" s="14" t="n">
        <x:f>EXP(F419)-1</x:f>
        <x:v>0.061296209530583345</x:v>
      </x:c>
      <x:c r="H419" s="8" t="n">
        <x:f>'Source Data'!F419</x:f>
        <x:v>100</x:v>
      </x:c>
      <x:c r="I419" s="8" t="n">
        <x:f>'Source Data'!H419</x:f>
        <x:v>43</x:v>
      </x:c>
      <x:c r="J419" s="14" t="n">
        <x:f>I419/H419-1</x:f>
        <x:v>-0.5700000000000001</x:v>
      </x:c>
      <x:c r="K419" s="8" t="n">
        <x:f>H419*('Source Data'!H$8/'Source Data'!F$8)*EXP(F419*('Source Data'!H$7-'Source Data'!F$7))</x:f>
        <x:v>129.11741601767056</x:v>
      </x:c>
      <x:c r="L419" s="14" t="n">
        <x:f>I419/K419-1</x:f>
        <x:v>-0.6669697913245478</x:v>
      </x:c>
      <x:c r="M419" s="8" t="n">
        <x:f>'Source Data'!G419</x:f>
        <x:v>107</x:v>
      </x:c>
      <x:c r="N419" s="8" t="n">
        <x:f>M419*('Source Data'!H$8/'Source Data'!G$8)*EXP(F419*('Source Data'!H$7-'Source Data'!G$7))</x:f>
        <x:v>129.90704779692123</x:v>
      </x:c>
      <x:c r="O419" s="14" t="n">
        <x:f>I419/N419-1</x:f>
        <x:v>-0.6689940943987869</x:v>
      </x:c>
      <x:c r="P419" s="2" t="str"/>
    </x:row>
    <x:row r="420">
      <x:c r="A420" s="2" t="str">
        <x:f>'Source Data'!A420</x:f>
        <x:v>423610</x:v>
      </x:c>
      <x:c r="B420" s="2" t="str">
        <x:f>'Source Data'!B420</x:f>
        <x:v>Electrical Apparatus and Equipment, Wiring Supplies, and Related Equipment Merchant Wholesalers</x:v>
      </x:c>
      <x:c r="C420" s="13" t="n">
        <x:f>LN('Source Data'!C420/'Source Data'!C$8)</x:f>
        <x:v>-6.535051732894537</x:v>
      </x:c>
      <x:c r="D420" s="13" t="n">
        <x:f>LN('Source Data'!D420/'Source Data'!D$8)</x:f>
        <x:v>-6.518538879542771</x:v>
      </x:c>
      <x:c r="E420" s="13" t="n">
        <x:f>LN('Source Data'!E420/'Source Data'!E$8)</x:f>
        <x:v>-6.575883160206387</x:v>
      </x:c>
      <x:c r="F420" s="13" t="n">
        <x:f>SLOPE(C420:E420,'Source Data'!C$7:E$7)</x:f>
        <x:v>-0.020415713655924872</x:v>
      </x:c>
      <x:c r="G420" s="14" t="n">
        <x:f>EXP(F420)-1</x:f>
        <x:v>-0.020208723981082644</x:v>
      </x:c>
      <x:c r="H420" s="8" t="n">
        <x:f>'Source Data'!F420</x:f>
        <x:v>19036</x:v>
      </x:c>
      <x:c r="I420" s="8" t="n">
        <x:f>'Source Data'!H420</x:f>
        <x:v>20938</x:v>
      </x:c>
      <x:c r="J420" s="14" t="n">
        <x:f>I420/H420-1</x:f>
        <x:v>0.09991594872872445</x:v>
      </x:c>
      <x:c r="K420" s="8" t="n">
        <x:f>H420*('Source Data'!H$8/'Source Data'!F$8)*EXP(F420*('Source Data'!H$7-'Source Data'!F$7))</x:f>
        <x:v>17854.526718212102</x:v>
      </x:c>
      <x:c r="L420" s="14" t="n">
        <x:f>I420/K420-1</x:f>
        <x:v>0.17269980495437443</x:v>
      </x:c>
      <x:c r="M420" s="8" t="n">
        <x:f>'Source Data'!G420</x:f>
        <x:v>19526</x:v>
      </x:c>
      <x:c r="N420" s="8" t="n">
        <x:f>M420*('Source Data'!H$8/'Source Data'!G$8)*EXP(F420*('Source Data'!H$7-'Source Data'!G$7))</x:f>
        <x:v>18653.18879429102</x:v>
      </x:c>
      <x:c r="O420" s="14" t="n">
        <x:f>I420/N420-1</x:f>
        <x:v>0.12248904093053858</x:v>
      </x:c>
      <x:c r="P420" s="2" t="str"/>
    </x:row>
    <x:row r="421">
      <x:c r="A421" s="2" t="str">
        <x:f>'Source Data'!A421</x:f>
        <x:v>423620</x:v>
      </x:c>
      <x:c r="B421" s="2" t="str">
        <x:f>'Source Data'!B421</x:f>
        <x:v>Household Appliances, Electric Housewares, and Consumer Electronics Merchant Wholesalers</x:v>
      </x:c>
      <x:c r="C421" s="13" t="n">
        <x:f>LN('Source Data'!C421/'Source Data'!C$8)</x:f>
        <x:v>-7.9859553140102415</x:v>
      </x:c>
      <x:c r="D421" s="13" t="n">
        <x:f>LN('Source Data'!D421/'Source Data'!D$8)</x:f>
        <x:v>-7.90719988600498</x:v>
      </x:c>
      <x:c r="E421" s="13" t="n">
        <x:f>LN('Source Data'!E421/'Source Data'!E$8)</x:f>
        <x:v>-7.864056961409294</x:v>
      </x:c>
      <x:c r="F421" s="13" t="n">
        <x:f>SLOPE(C421:E421,'Source Data'!C$7:E$7)</x:f>
        <x:v>0.060949176300473695</x:v>
      </x:c>
      <x:c r="G421" s="14" t="n">
        <x:f>EXP(F421)-1</x:f>
        <x:v>0.06284489510489011</x:v>
      </x:c>
      <x:c r="H421" s="8" t="n">
        <x:f>'Source Data'!F421</x:f>
        <x:v>5360</x:v>
      </x:c>
      <x:c r="I421" s="8" t="n">
        <x:f>'Source Data'!H421</x:f>
        <x:v>4784</x:v>
      </x:c>
      <x:c r="J421" s="14" t="n">
        <x:f>I421/H421-1</x:f>
        <x:v>-0.10746268656716418</x:v>
      </x:c>
      <x:c r="K421" s="8" t="n">
        <x:f>H421*('Source Data'!H$8/'Source Data'!F$8)*EXP(F421*('Source Data'!H$7-'Source Data'!F$7))</x:f>
        <x:v>6961.177808465553</x:v>
      </x:c>
      <x:c r="L421" s="14" t="n">
        <x:f>I421/K421-1</x:f>
        <x:v>-0.312759976597332</x:v>
      </x:c>
      <x:c r="M421" s="8" t="n">
        <x:f>'Source Data'!G421</x:f>
        <x:v>5309</x:v>
      </x:c>
      <x:c r="N421" s="8" t="n">
        <x:f>M421*('Source Data'!H$8/'Source Data'!G$8)*EXP(F421*('Source Data'!H$7-'Source Data'!G$7))</x:f>
        <x:v>6473.8330348741665</x:v>
      </x:c>
      <x:c r="O421" s="14" t="n">
        <x:f>I421/N421-1</x:f>
        <x:v>-0.2610251184686311</x:v>
      </x:c>
      <x:c r="P421" s="2" t="str"/>
    </x:row>
    <x:row r="422">
      <x:c r="A422" s="2" t="str">
        <x:f>'Source Data'!A422</x:f>
        <x:v>423690</x:v>
      </x:c>
      <x:c r="B422" s="2" t="str">
        <x:f>'Source Data'!B422</x:f>
        <x:v>Other Electronic Parts and Equipment Merchant Wholesalers</x:v>
      </x:c>
      <x:c r="C422" s="13" t="n">
        <x:f>LN('Source Data'!C422/'Source Data'!C$8)</x:f>
        <x:v>-6.389643068765889</x:v>
      </x:c>
      <x:c r="D422" s="13" t="n">
        <x:f>LN('Source Data'!D422/'Source Data'!D$8)</x:f>
        <x:v>-6.447561111750076</x:v>
      </x:c>
      <x:c r="E422" s="13" t="n">
        <x:f>LN('Source Data'!E422/'Source Data'!E$8)</x:f>
        <x:v>-6.4786372614140015</x:v>
      </x:c>
      <x:c r="F422" s="13" t="n">
        <x:f>SLOPE(C422:E422,'Source Data'!C$7:E$7)</x:f>
        <x:v>-0.044497096324056074</x:v>
      </x:c>
      <x:c r="G422" s="14" t="n">
        <x:f>EXP(F422)-1</x:f>
        <x:v>-0.043521622607156085</x:v>
      </x:c>
      <x:c r="H422" s="8" t="n">
        <x:f>'Source Data'!F422</x:f>
        <x:v>19418</x:v>
      </x:c>
      <x:c r="I422" s="8" t="n">
        <x:f>'Source Data'!H422</x:f>
        <x:v>17594</x:v>
      </x:c>
      <x:c r="J422" s="14" t="n">
        <x:f>I422/H422-1</x:f>
        <x:v>-0.09393346379647749</x:v>
      </x:c>
      <x:c r="K422" s="8" t="n">
        <x:f>H422*('Source Data'!H$8/'Source Data'!F$8)*EXP(F422*('Source Data'!H$7-'Source Data'!F$7))</x:f>
        <x:v>16540.304357906567</x:v>
      </x:c>
      <x:c r="L422" s="14" t="n">
        <x:f>I422/K422-1</x:f>
        <x:v>0.06370473113995323</x:v>
      </x:c>
      <x:c r="M422" s="8" t="n">
        <x:f>'Source Data'!G422</x:f>
        <x:v>19242</x:v>
      </x:c>
      <x:c r="N422" s="8" t="n">
        <x:f>M422*('Source Data'!H$8/'Source Data'!G$8)*EXP(F422*('Source Data'!H$7-'Source Data'!G$7))</x:f>
        <x:v>17100.734974204373</x:v>
      </x:c>
      <x:c r="O422" s="14" t="n">
        <x:f>I422/N422-1</x:f>
        <x:v>0.028844668170092902</x:v>
      </x:c>
      <x:c r="P422" s="2" t="str"/>
    </x:row>
    <x:row r="423">
      <x:c r="A423" s="2" t="str">
        <x:f>'Source Data'!A423</x:f>
        <x:v>423710</x:v>
      </x:c>
      <x:c r="B423" s="2" t="str">
        <x:f>'Source Data'!B423</x:f>
        <x:v>Hardware Merchant Wholesalers</x:v>
      </x:c>
      <x:c r="C423" s="13" t="n">
        <x:f>LN('Source Data'!C423/'Source Data'!C$8)</x:f>
        <x:v>-7.211753375973435</x:v>
      </x:c>
      <x:c r="D423" s="13" t="n">
        <x:f>LN('Source Data'!D423/'Source Data'!D$8)</x:f>
        <x:v>-7.147553183220699</x:v>
      </x:c>
      <x:c r="E423" s="13" t="n">
        <x:f>LN('Source Data'!E423/'Source Data'!E$8)</x:f>
        <x:v>-7.12837566655168</x:v>
      </x:c>
      <x:c r="F423" s="13" t="n">
        <x:f>SLOPE(C423:E423,'Source Data'!C$7:E$7)</x:f>
        <x:v>0.0416888547108778</x:v>
      </x:c>
      <x:c r="G423" s="14" t="n">
        <x:f>EXP(F423)-1</x:f>
        <x:v>0.04257003752344568</x:v>
      </x:c>
      <x:c r="H423" s="8" t="n">
        <x:f>'Source Data'!F423</x:f>
        <x:v>11950</x:v>
      </x:c>
      <x:c r="I423" s="8" t="n">
        <x:f>'Source Data'!H423</x:f>
        <x:v>12078</x:v>
      </x:c>
      <x:c r="J423" s="14" t="n">
        <x:f>I423/H423-1</x:f>
        <x:v>0.01071129707112961</x:v>
      </x:c>
      <x:c r="K423" s="8" t="n">
        <x:f>H423*('Source Data'!H$8/'Source Data'!F$8)*EXP(F423*('Source Data'!H$7-'Source Data'!F$7))</x:f>
        <x:v>14369.02290525226</x:v>
      </x:c>
      <x:c r="L423" s="14" t="n">
        <x:f>I423/K423-1</x:f>
        <x:v>-0.15944180201806424</x:v>
      </x:c>
      <x:c r="M423" s="8" t="n">
        <x:f>'Source Data'!G423</x:f>
        <x:v>12096</x:v>
      </x:c>
      <x:c r="N423" s="8" t="n">
        <x:f>M423*('Source Data'!H$8/'Source Data'!G$8)*EXP(F423*('Source Data'!H$7-'Source Data'!G$7))</x:f>
        <x:v>13921.838552917992</x:v>
      </x:c>
      <x:c r="O423" s="14" t="n">
        <x:f>I423/N423-1</x:f>
        <x:v>-0.13244217320215423</x:v>
      </x:c>
      <x:c r="P423" s="2" t="str"/>
    </x:row>
    <x:row r="424">
      <x:c r="A424" s="2" t="str">
        <x:f>'Source Data'!A424</x:f>
        <x:v>423720</x:v>
      </x:c>
      <x:c r="B424" s="2" t="str">
        <x:f>'Source Data'!B424</x:f>
        <x:v>Plumbing and Heating Equipment and Supplies (Hydronics) Merchant Wholesalers</x:v>
      </x:c>
      <x:c r="C424" s="13" t="n">
        <x:f>LN('Source Data'!C424/'Source Data'!C$8)</x:f>
        <x:v>-7.195480618831515</x:v>
      </x:c>
      <x:c r="D424" s="13" t="n">
        <x:f>LN('Source Data'!D424/'Source Data'!D$8)</x:f>
        <x:v>-7.20085271685867</x:v>
      </x:c>
      <x:c r="E424" s="13" t="n">
        <x:f>LN('Source Data'!E424/'Source Data'!E$8)</x:f>
        <x:v>-7.182782749133879</x:v>
      </x:c>
      <x:c r="F424" s="13" t="n">
        <x:f>SLOPE(C424:E424,'Source Data'!C$7:E$7)</x:f>
        <x:v>0.006348934848817933</x:v>
      </x:c>
      <x:c r="G424" s="14" t="n">
        <x:f>EXP(F424)-1</x:f>
        <x:v>0.006369132056636362</x:v>
      </x:c>
      <x:c r="H424" s="8" t="n">
        <x:f>'Source Data'!F424</x:f>
        <x:v>11612</x:v>
      </x:c>
      <x:c r="I424" s="8" t="n">
        <x:f>'Source Data'!H424</x:f>
        <x:v>11649</x:v>
      </x:c>
      <x:c r="J424" s="14" t="n">
        <x:f>I424/H424-1</x:f>
        <x:v>0.003186358939028633</x:v>
      </x:c>
      <x:c r="K424" s="8" t="n">
        <x:f>H424*('Source Data'!H$8/'Source Data'!F$8)*EXP(F424*('Source Data'!H$7-'Source Data'!F$7))</x:f>
        <x:v>12122.009784003938</x:v>
      </x:c>
      <x:c r="L424" s="14" t="n">
        <x:f>I424/K424-1</x:f>
        <x:v>-0.03902073933549499</x:v>
      </x:c>
      <x:c r="M424" s="8" t="n">
        <x:f>'Source Data'!G424</x:f>
        <x:v>11973</x:v>
      </x:c>
      <x:c r="N424" s="8" t="n">
        <x:f>M424*('Source Data'!H$8/'Source Data'!G$8)*EXP(F424*('Source Data'!H$7-'Source Data'!G$7))</x:f>
        <x:v>12394.071604148854</x:v>
      </x:c>
      <x:c r="O424" s="14" t="n">
        <x:f>I424/N424-1</x:f>
        <x:v>-0.0601151605336413</x:v>
      </x:c>
      <x:c r="P424" s="2" t="str"/>
    </x:row>
    <x:row r="425">
      <x:c r="A425" s="2" t="str">
        <x:f>'Source Data'!A425</x:f>
        <x:v>423730</x:v>
      </x:c>
      <x:c r="B425" s="2" t="str">
        <x:f>'Source Data'!B425</x:f>
        <x:v>Warm Air Heating and Air-Conditioning Equipment and Supplies Merchant Wholesalers</x:v>
      </x:c>
      <x:c r="C425" s="13" t="n">
        <x:f>LN('Source Data'!C425/'Source Data'!C$8)</x:f>
        <x:v>-8.16081812551652</x:v>
      </x:c>
      <x:c r="D425" s="13" t="n">
        <x:f>LN('Source Data'!D425/'Source Data'!D$8)</x:f>
        <x:v>-8.076486529734996</x:v>
      </x:c>
      <x:c r="E425" s="13" t="n">
        <x:f>LN('Source Data'!E425/'Source Data'!E$8)</x:f>
        <x:v>-7.993823561574565</x:v>
      </x:c>
      <x:c r="F425" s="13" t="n">
        <x:f>SLOPE(C425:E425,'Source Data'!C$7:E$7)</x:f>
        <x:v>0.08349728197097761</x:v>
      </x:c>
      <x:c r="G425" s="14" t="n">
        <x:f>EXP(F425)-1</x:f>
        <x:v>0.08708226056772794</x:v>
      </x:c>
      <x:c r="H425" s="8" t="n">
        <x:f>'Source Data'!F425</x:f>
        <x:v>5306</x:v>
      </x:c>
      <x:c r="I425" s="8" t="n">
        <x:f>'Source Data'!H425</x:f>
        <x:v>6057</x:v>
      </x:c>
      <x:c r="J425" s="14" t="n">
        <x:f>I425/H425-1</x:f>
        <x:v>0.14153788164342251</x:v>
      </x:c>
      <x:c r="K425" s="8" t="n">
        <x:f>H425*('Source Data'!H$8/'Source Data'!F$8)*EXP(F425*('Source Data'!H$7-'Source Data'!F$7))</x:f>
        <x:v>7541.456919095117</x:v>
      </x:c>
      <x:c r="L425" s="14" t="n">
        <x:f>I425/K425-1</x:f>
        <x:v>-0.19683954108873092</x:v>
      </x:c>
      <x:c r="M425" s="8" t="n">
        <x:f>'Source Data'!G425</x:f>
        <x:v>5556</x:v>
      </x:c>
      <x:c r="N425" s="8" t="n">
        <x:f>M425*('Source Data'!H$8/'Source Data'!G$8)*EXP(F425*('Source Data'!H$7-'Source Data'!G$7))</x:f>
        <x:v>7249.174594644273</x:v>
      </x:c>
      <x:c r="O425" s="14" t="n">
        <x:f>I425/N425-1</x:f>
        <x:v>-0.16445659834501125</x:v>
      </x:c>
      <x:c r="P425" s="2" t="str"/>
    </x:row>
    <x:row r="426">
      <x:c r="A426" s="2" t="str">
        <x:f>'Source Data'!A426</x:f>
        <x:v>423740</x:v>
      </x:c>
      <x:c r="B426" s="2" t="str">
        <x:f>'Source Data'!B426</x:f>
        <x:v>Refrigeration Equipment and Supplies Merchant Wholesalers</x:v>
      </x:c>
      <x:c r="C426" s="13" t="n">
        <x:f>LN('Source Data'!C426/'Source Data'!C$8)</x:f>
        <x:v>-9.471186332163631</x:v>
      </x:c>
      <x:c r="D426" s="13" t="n">
        <x:f>LN('Source Data'!D426/'Source Data'!D$8)</x:f>
        <x:v>-9.467856483788013</x:v>
      </x:c>
      <x:c r="E426" s="13" t="n">
        <x:f>LN('Source Data'!E426/'Source Data'!E$8)</x:f>
        <x:v>-9.509817186071109</x:v>
      </x:c>
      <x:c r="F426" s="13" t="n">
        <x:f>SLOPE(C426:E426,'Source Data'!C$7:E$7)</x:f>
        <x:v>-0.01931542695373878</x:v>
      </x:c>
      <x:c r="G426" s="14" t="n">
        <x:f>EXP(F426)-1</x:f>
        <x:v>-0.019130079368819497</x:v>
      </x:c>
      <x:c r="H426" s="8" t="n">
        <x:f>'Source Data'!F426</x:f>
        <x:v>1125</x:v>
      </x:c>
      <x:c r="I426" s="8" t="n">
        <x:f>'Source Data'!H426</x:f>
        <x:v>1071</x:v>
      </x:c>
      <x:c r="J426" s="14" t="n">
        <x:f>I426/H426-1</x:f>
        <x:v>-0.04800000000000004</x:v>
      </x:c>
      <x:c r="K426" s="8" t="n">
        <x:f>H426*('Source Data'!H$8/'Source Data'!F$8)*EXP(F426*('Source Data'!H$7-'Source Data'!F$7))</x:f>
        <x:v>1059.830863800741</x:v>
      </x:c>
      <x:c r="L426" s="14" t="n">
        <x:f>I426/K426-1</x:f>
        <x:v>0.010538602507955241</x:v>
      </x:c>
      <x:c r="M426" s="8" t="n">
        <x:f>'Source Data'!G426</x:f>
        <x:v>1175</x:v>
      </x:c>
      <x:c r="N426" s="8" t="n">
        <x:f>M426*('Source Data'!H$8/'Source Data'!G$8)*EXP(F426*('Source Data'!H$7-'Source Data'!G$7))</x:f>
        <x:v>1126.1888230409977</x:v>
      </x:c>
      <x:c r="O426" s="14" t="n">
        <x:f>I426/N426-1</x:f>
        <x:v>-0.04900494651684939</x:v>
      </x:c>
      <x:c r="P426" s="2" t="str"/>
    </x:row>
    <x:row r="427">
      <x:c r="A427" s="2" t="str">
        <x:f>'Source Data'!A427</x:f>
        <x:v>423810</x:v>
      </x:c>
      <x:c r="B427" s="2" t="str">
        <x:f>'Source Data'!B427</x:f>
        <x:v>Construction and Mining (except Oil Well) Machinery and Equipment Merchant Wholesalers</x:v>
      </x:c>
      <x:c r="C427" s="13" t="n">
        <x:f>LN('Source Data'!C427/'Source Data'!C$8)</x:f>
        <x:v>-8.485600019552445</x:v>
      </x:c>
      <x:c r="D427" s="13" t="n">
        <x:f>LN('Source Data'!D427/'Source Data'!D$8)</x:f>
        <x:v>-8.37486468026034</x:v>
      </x:c>
      <x:c r="E427" s="13" t="n">
        <x:f>LN('Source Data'!E427/'Source Data'!E$8)</x:f>
        <x:v>-8.336686872476214</x:v>
      </x:c>
      <x:c r="F427" s="13" t="n">
        <x:f>SLOPE(C427:E427,'Source Data'!C$7:E$7)</x:f>
        <x:v>0.0744565735381153</x:v>
      </x:c>
      <x:c r="G427" s="14" t="n">
        <x:f>EXP(F427)-1</x:f>
        <x:v>0.07729855924160312</x:v>
      </x:c>
      <x:c r="H427" s="8" t="n">
        <x:f>'Source Data'!F427</x:f>
        <x:v>3774</x:v>
      </x:c>
      <x:c r="I427" s="8" t="n">
        <x:f>'Source Data'!H427</x:f>
        <x:v>4250</x:v>
      </x:c>
      <x:c r="J427" s="14" t="n">
        <x:f>I427/H427-1</x:f>
        <x:v>0.12612612612612617</x:v>
      </x:c>
      <x:c r="K427" s="8" t="n">
        <x:f>H427*('Source Data'!H$8/'Source Data'!F$8)*EXP(F427*('Source Data'!H$7-'Source Data'!F$7))</x:f>
        <x:v>5173.501573442275</x:v>
      </x:c>
      <x:c r="L427" s="14" t="n">
        <x:f>I427/K427-1</x:f>
        <x:v>-0.17850609695046593</x:v>
      </x:c>
      <x:c r="M427" s="8" t="n">
        <x:f>'Source Data'!G427</x:f>
        <x:v>3959</x:v>
      </x:c>
      <x:c r="N427" s="8" t="n">
        <x:f>M427*('Source Data'!H$8/'Source Data'!G$8)*EXP(F427*('Source Data'!H$7-'Source Data'!G$7))</x:f>
        <x:v>5027.277229569993</x:v>
      </x:c>
      <x:c r="O427" s="14" t="n">
        <x:f>I427/N427-1</x:f>
        <x:v>-0.15461196868120153</x:v>
      </x:c>
      <x:c r="P427" s="2" t="str"/>
    </x:row>
    <x:row r="428">
      <x:c r="A428" s="2" t="str">
        <x:f>'Source Data'!A428</x:f>
        <x:v>423820</x:v>
      </x:c>
      <x:c r="B428" s="2" t="str">
        <x:f>'Source Data'!B428</x:f>
        <x:v>Farm and Garden Machinery and Equipment Merchant Wholesalers</x:v>
      </x:c>
      <x:c r="C428" s="13" t="n">
        <x:f>LN('Source Data'!C428/'Source Data'!C$8)</x:f>
        <x:v>-7.756496901837358</x:v>
      </x:c>
      <x:c r="D428" s="13" t="n">
        <x:f>LN('Source Data'!D428/'Source Data'!D$8)</x:f>
        <x:v>-7.755574493608048</x:v>
      </x:c>
      <x:c r="E428" s="13" t="n">
        <x:f>LN('Source Data'!E428/'Source Data'!E$8)</x:f>
        <x:v>-7.7366643234830965</x:v>
      </x:c>
      <x:c r="F428" s="13" t="n">
        <x:f>SLOPE(C428:E428,'Source Data'!C$7:E$7)</x:f>
        <x:v>0.009916289177130722</x:v>
      </x:c>
      <x:c r="G428" s="14" t="n">
        <x:f>EXP(F428)-1</x:f>
        <x:v>0.009965618492407735</x:v>
      </x:c>
      <x:c r="H428" s="8" t="n">
        <x:f>'Source Data'!F428</x:f>
        <x:v>6796</x:v>
      </x:c>
      <x:c r="I428" s="8" t="n">
        <x:f>'Source Data'!H428</x:f>
        <x:v>6357</x:v>
      </x:c>
      <x:c r="J428" s="14" t="n">
        <x:f>I428/H428-1</x:f>
        <x:v>-0.06459682165979985</x:v>
      </x:c>
      <x:c r="K428" s="8" t="n">
        <x:f>H428*('Source Data'!H$8/'Source Data'!F$8)*EXP(F428*('Source Data'!H$7-'Source Data'!F$7))</x:f>
        <x:v>7196.446522263038</x:v>
      </x:c>
      <x:c r="L428" s="14" t="n">
        <x:f>I428/K428-1</x:f>
        <x:v>-0.11664736473287385</x:v>
      </x:c>
      <x:c r="M428" s="8" t="n">
        <x:f>'Source Data'!G428</x:f>
        <x:v>6686</x:v>
      </x:c>
      <x:c r="N428" s="8" t="n">
        <x:f>M428*('Source Data'!H$8/'Source Data'!G$8)*EXP(F428*('Source Data'!H$7-'Source Data'!G$7))</x:f>
        <x:v>6995.604323996243</x:v>
      </x:c>
      <x:c r="O428" s="14" t="n">
        <x:f>I428/N428-1</x:f>
        <x:v>-0.09128651284717593</x:v>
      </x:c>
      <x:c r="P428" s="2" t="str"/>
    </x:row>
    <x:row r="429">
      <x:c r="A429" s="2" t="str">
        <x:f>'Source Data'!A429</x:f>
        <x:v>423830</x:v>
      </x:c>
      <x:c r="B429" s="2" t="str">
        <x:f>'Source Data'!B429</x:f>
        <x:v>Industrial Machinery and Equipment Merchant Wholesalers</x:v>
      </x:c>
      <x:c r="C429" s="13" t="n">
        <x:f>LN('Source Data'!C429/'Source Data'!C$8)</x:f>
        <x:v>-6.392105147752849</x:v>
      </x:c>
      <x:c r="D429" s="13" t="n">
        <x:f>LN('Source Data'!D429/'Source Data'!D$8)</x:f>
        <x:v>-6.336990120314324</x:v>
      </x:c>
      <x:c r="E429" s="13" t="n">
        <x:f>LN('Source Data'!E429/'Source Data'!E$8)</x:f>
        <x:v>-6.361321024692456</x:v>
      </x:c>
      <x:c r="F429" s="13" t="n">
        <x:f>SLOPE(C429:E429,'Source Data'!C$7:E$7)</x:f>
        <x:v>0.015392061530196344</x:v>
      </x:c>
      <x:c r="G429" s="14" t="n">
        <x:f>EXP(F429)-1</x:f>
        <x:v>0.015511129425004766</x:v>
      </x:c>
      <x:c r="H429" s="8" t="n">
        <x:f>'Source Data'!F429</x:f>
        <x:v>24515</x:v>
      </x:c>
      <x:c r="I429" s="8" t="n">
        <x:f>'Source Data'!H429</x:f>
        <x:v>24838</x:v>
      </x:c>
      <x:c r="J429" s="14" t="n">
        <x:f>I429/H429-1</x:f>
        <x:v>0.013175606771364423</x:v>
      </x:c>
      <x:c r="K429" s="8" t="n">
        <x:f>H429*('Source Data'!H$8/'Source Data'!F$8)*EXP(F429*('Source Data'!H$7-'Source Data'!F$7))</x:f>
        <x:v>26534.384661628454</x:v>
      </x:c>
      <x:c r="L429" s="14" t="n">
        <x:f>I429/K429-1</x:f>
        <x:v>-0.0639315621319686</x:v>
      </x:c>
      <x:c r="M429" s="8" t="n">
        <x:f>'Source Data'!G429</x:f>
        <x:v>25553</x:v>
      </x:c>
      <x:c r="N429" s="8" t="n">
        <x:f>M429*('Source Data'!H$8/'Source Data'!G$8)*EXP(F429*('Source Data'!H$7-'Source Data'!G$7))</x:f>
        <x:v>27179.098862579925</x:v>
      </x:c>
      <x:c r="O429" s="14" t="n">
        <x:f>I429/N429-1</x:f>
        <x:v>-0.08613600010864009</x:v>
      </x:c>
      <x:c r="P429" s="2" t="str"/>
    </x:row>
    <x:row r="430">
      <x:c r="A430" s="2" t="str">
        <x:f>'Source Data'!A430</x:f>
        <x:v>423840</x:v>
      </x:c>
      <x:c r="B430" s="2" t="str">
        <x:f>'Source Data'!B430</x:f>
        <x:v>Industrial Supplies Merchant Wholesalers</x:v>
      </x:c>
      <x:c r="C430" s="13" t="n">
        <x:f>LN('Source Data'!C430/'Source Data'!C$8)</x:f>
        <x:v>-7.40765174601767</x:v>
      </x:c>
      <x:c r="D430" s="13" t="n">
        <x:f>LN('Source Data'!D430/'Source Data'!D$8)</x:f>
        <x:v>-7.327894438153256</x:v>
      </x:c>
      <x:c r="E430" s="13" t="n">
        <x:f>LN('Source Data'!E430/'Source Data'!E$8)</x:f>
        <x:v>-7.322411992183398</x:v>
      </x:c>
      <x:c r="F430" s="13" t="n">
        <x:f>SLOPE(C430:E430,'Source Data'!C$7:E$7)</x:f>
        <x:v>0.04261987691713598</x:v>
      </x:c>
      <x:c r="G430" s="14" t="n">
        <x:f>EXP(F430)-1</x:f>
        <x:v>0.043541145371298384</x:v>
      </x:c>
      <x:c r="H430" s="8" t="n">
        <x:f>'Source Data'!F430</x:f>
        <x:v>10764</x:v>
      </x:c>
      <x:c r="I430" s="8" t="n">
        <x:f>'Source Data'!H430</x:f>
        <x:v>9628</x:v>
      </x:c>
      <x:c r="J430" s="14" t="n">
        <x:f>I430/H430-1</x:f>
        <x:v>-0.10553697510219251</x:v>
      </x:c>
      <x:c r="K430" s="8" t="n">
        <x:f>H430*('Source Data'!H$8/'Source Data'!F$8)*EXP(F430*('Source Data'!H$7-'Source Data'!F$7))</x:f>
        <x:v>12991.233003710518</x:v>
      </x:c>
      <x:c r="L430" s="14" t="n">
        <x:f>I430/K430-1</x:f>
        <x:v>-0.2588848189197993</x:v>
      </x:c>
      <x:c r="M430" s="8" t="n">
        <x:f>'Source Data'!G430</x:f>
        <x:v>10848</x:v>
      </x:c>
      <x:c r="N430" s="8" t="n">
        <x:f>M430*('Source Data'!H$8/'Source Data'!G$8)*EXP(F430*('Source Data'!H$7-'Source Data'!G$7))</x:f>
        <x:v>12520.379848078594</x:v>
      </x:c>
      <x:c r="O430" s="14" t="n">
        <x:f>I430/N430-1</x:f>
        <x:v>-0.23101374584274015</x:v>
      </x:c>
      <x:c r="P430" s="2" t="str"/>
    </x:row>
    <x:row r="431">
      <x:c r="A431" s="2" t="str">
        <x:f>'Source Data'!A431</x:f>
        <x:v>423850</x:v>
      </x:c>
      <x:c r="B431" s="2" t="str">
        <x:f>'Source Data'!B431</x:f>
        <x:v>Service Establishment Equipment and Supplies Merchant Wholesalers</x:v>
      </x:c>
      <x:c r="C431" s="13" t="n">
        <x:f>LN('Source Data'!C431/'Source Data'!C$8)</x:f>
        <x:v>-8.052497761316307</x:v>
      </x:c>
      <x:c r="D431" s="13" t="n">
        <x:f>LN('Source Data'!D431/'Source Data'!D$8)</x:f>
        <x:v>-8.017507678854066</x:v>
      </x:c>
      <x:c r="E431" s="13" t="n">
        <x:f>LN('Source Data'!E431/'Source Data'!E$8)</x:f>
        <x:v>-8.045294999808503</x:v>
      </x:c>
      <x:c r="F431" s="13" t="n">
        <x:f>SLOPE(C431:E431,'Source Data'!C$7:E$7)</x:f>
        <x:v>0.0036013807539019282</x:v>
      </x:c>
      <x:c r="G431" s="14" t="n">
        <x:f>EXP(F431)-1</x:f>
        <x:v>0.0036078735175342214</x:v>
      </x:c>
      <x:c r="H431" s="8" t="n">
        <x:f>'Source Data'!F431</x:f>
        <x:v>4112</x:v>
      </x:c>
      <x:c r="I431" s="8" t="n">
        <x:f>'Source Data'!H431</x:f>
        <x:v>4418</x:v>
      </x:c>
      <x:c r="J431" s="14" t="n">
        <x:f>I431/H431-1</x:f>
        <x:v>0.07441634241245132</x:v>
      </x:c>
      <x:c r="K431" s="8" t="n">
        <x:f>H431*('Source Data'!H$8/'Source Data'!F$8)*EXP(F431*('Source Data'!H$7-'Source Data'!F$7))</x:f>
        <x:v>4245.6845041420975</x:v>
      </x:c>
      <x:c r="L431" s="14" t="n">
        <x:f>I431/K431-1</x:f>
        <x:v>0.04058603405170391</x:v>
      </x:c>
      <x:c r="M431" s="8" t="n">
        <x:f>'Source Data'!G431</x:f>
        <x:v>4381</x:v>
      </x:c>
      <x:c r="N431" s="8" t="n">
        <x:f>M431*('Source Data'!H$8/'Source Data'!G$8)*EXP(F431*('Source Data'!H$7-'Source Data'!G$7))</x:f>
        <x:v>4497.8454519239995</x:v>
      </x:c>
      <x:c r="O431" s="14" t="n">
        <x:f>I431/N431-1</x:f>
        <x:v>-0.01775193318166246</x:v>
      </x:c>
      <x:c r="P431" s="2" t="str"/>
    </x:row>
    <x:row r="432">
      <x:c r="A432" s="2" t="str">
        <x:f>'Source Data'!A432</x:f>
        <x:v>423860</x:v>
      </x:c>
      <x:c r="B432" s="2" t="str">
        <x:f>'Source Data'!B432</x:f>
        <x:v>Transportation Equipment and Supplies (except Motor Vehicle) Merchant Wholesalers</x:v>
      </x:c>
      <x:c r="C432" s="13" t="n">
        <x:f>LN('Source Data'!C432/'Source Data'!C$8)</x:f>
        <x:v>-8.07024051995286</x:v>
      </x:c>
      <x:c r="D432" s="13" t="n">
        <x:f>LN('Source Data'!D432/'Source Data'!D$8)</x:f>
        <x:v>-8.019792919279356</x:v>
      </x:c>
      <x:c r="E432" s="13" t="n">
        <x:f>LN('Source Data'!E432/'Source Data'!E$8)</x:f>
        <x:v>-7.947149719970831</x:v>
      </x:c>
      <x:c r="F432" s="13" t="n">
        <x:f>SLOPE(C432:E432,'Source Data'!C$7:E$7)</x:f>
        <x:v>0.06154539999101427</x:v>
      </x:c>
      <x:c r="G432" s="14" t="n">
        <x:f>EXP(F432)-1</x:f>
        <x:v>0.06347877735975271</x:v>
      </x:c>
      <x:c r="H432" s="8" t="n">
        <x:f>'Source Data'!F432</x:f>
        <x:v>5049</x:v>
      </x:c>
      <x:c r="I432" s="8" t="n">
        <x:f>'Source Data'!H432</x:f>
        <x:v>6626</x:v>
      </x:c>
      <x:c r="J432" s="14" t="n">
        <x:f>I432/H432-1</x:f>
        <x:v>0.31233907704495945</x:v>
      </x:c>
      <x:c r="K432" s="8" t="n">
        <x:f>H432*('Source Data'!H$8/'Source Data'!F$8)*EXP(F432*('Source Data'!H$7-'Source Data'!F$7))</x:f>
        <x:v>6572.930718699594</x:v>
      </x:c>
      <x:c r="L432" s="14" t="n">
        <x:f>I432/K432-1</x:f>
        <x:v>0.008073914600899013</x:v>
      </x:c>
      <x:c r="M432" s="8" t="n">
        <x:f>'Source Data'!G432</x:f>
        <x:v>6727</x:v>
      </x:c>
      <x:c r="N432" s="8" t="n">
        <x:f>M432*('Source Data'!H$8/'Source Data'!G$8)*EXP(F432*('Source Data'!H$7-'Source Data'!G$7))</x:f>
        <x:v>8217.638014284747</x:v>
      </x:c>
      <x:c r="O432" s="14" t="n">
        <x:f>I432/N432-1</x:f>
        <x:v>-0.19368558356038523</x:v>
      </x:c>
      <x:c r="P432" s="2" t="str"/>
    </x:row>
    <x:row r="433">
      <x:c r="A433" s="2" t="str">
        <x:f>'Source Data'!A433</x:f>
        <x:v>423910</x:v>
      </x:c>
      <x:c r="B433" s="2" t="str">
        <x:f>'Source Data'!B433</x:f>
        <x:v>Sporting and Recreational Goods and Supplies Merchant Wholesalers</x:v>
      </x:c>
      <x:c r="C433" s="13" t="n">
        <x:f>LN('Source Data'!C433/'Source Data'!C$8)</x:f>
        <x:v>-7.362212442918777</x:v>
      </x:c>
      <x:c r="D433" s="13" t="n">
        <x:f>LN('Source Data'!D433/'Source Data'!D$8)</x:f>
        <x:v>-7.3950742341981535</x:v>
      </x:c>
      <x:c r="E433" s="13" t="n">
        <x:f>LN('Source Data'!E433/'Source Data'!E$8)</x:f>
        <x:v>-7.42292387681666</x:v>
      </x:c>
      <x:c r="F433" s="13" t="n">
        <x:f>SLOPE(C433:E433,'Source Data'!C$7:E$7)</x:f>
        <x:v>-0.03035571694894168</x:v>
      </x:c>
      <x:c r="G433" s="14" t="n">
        <x:f>EXP(F433)-1</x:f>
        <x:v>-0.029899608985635817</x:v>
      </x:c>
      <x:c r="H433" s="8" t="n">
        <x:f>'Source Data'!F433</x:f>
        <x:v>9541</x:v>
      </x:c>
      <x:c r="I433" s="8" t="n">
        <x:f>'Source Data'!H433</x:f>
        <x:v>9065</x:v>
      </x:c>
      <x:c r="J433" s="14" t="n">
        <x:f>I433/H433-1</x:f>
        <x:v>-0.04988994864269991</x:v>
      </x:c>
      <x:c r="K433" s="8" t="n">
        <x:f>H433*('Source Data'!H$8/'Source Data'!F$8)*EXP(F433*('Source Data'!H$7-'Source Data'!F$7))</x:f>
        <x:v>8600.010628002272</x:v>
      </x:c>
      <x:c r="L433" s="14" t="n">
        <x:f>I433/K433-1</x:f>
        <x:v>0.05406846480906524</x:v>
      </x:c>
      <x:c r="M433" s="8" t="n">
        <x:f>'Source Data'!G433</x:f>
        <x:v>9804</x:v>
      </x:c>
      <x:c r="N433" s="8" t="n">
        <x:f>M433*('Source Data'!H$8/'Source Data'!G$8)*EXP(F433*('Source Data'!H$7-'Source Data'!G$7))</x:f>
        <x:v>9090.597679833845</x:v>
      </x:c>
      <x:c r="O433" s="14" t="n">
        <x:f>I433/N433-1</x:f>
        <x:v>-0.0028158412389792664</x:v>
      </x:c>
      <x:c r="P433" s="2" t="str"/>
    </x:row>
    <x:row r="434">
      <x:c r="A434" s="2" t="str">
        <x:f>'Source Data'!A434</x:f>
        <x:v>423920</x:v>
      </x:c>
      <x:c r="B434" s="2" t="str">
        <x:f>'Source Data'!B434</x:f>
        <x:v>Toy and Hobby Goods and Supplies Merchant Wholesalers</x:v>
      </x:c>
      <x:c r="C434" s="13" t="n">
        <x:f>LN('Source Data'!C434/'Source Data'!C$8)</x:f>
        <x:v>-8.015384548340023</x:v>
      </x:c>
      <x:c r="D434" s="13" t="n">
        <x:f>LN('Source Data'!D434/'Source Data'!D$8)</x:f>
        <x:v>-8.016470657087378</x:v>
      </x:c>
      <x:c r="E434" s="13" t="n">
        <x:f>LN('Source Data'!E434/'Source Data'!E$8)</x:f>
        <x:v>-8.025167751217193</x:v>
      </x:c>
      <x:c r="F434" s="13" t="n">
        <x:f>SLOPE(C434:E434,'Source Data'!C$7:E$7)</x:f>
        <x:v>-0.004891601438584914</x:v>
      </x:c>
      <x:c r="G434" s="14" t="n">
        <x:f>EXP(F434)-1</x:f>
        <x:v>-0.0048796570399501915</x:v>
      </x:c>
      <x:c r="H434" s="8" t="n">
        <x:f>'Source Data'!F434</x:f>
        <x:v>5769</x:v>
      </x:c>
      <x:c r="I434" s="8" t="n">
        <x:f>'Source Data'!H434</x:f>
        <x:v>5454</x:v>
      </x:c>
      <x:c r="J434" s="14" t="n">
        <x:f>I434/H434-1</x:f>
        <x:v>-0.0546021840873635</x:v>
      </x:c>
      <x:c r="K434" s="8" t="n">
        <x:f>H434*('Source Data'!H$8/'Source Data'!F$8)*EXP(F434*('Source Data'!H$7-'Source Data'!F$7))</x:f>
        <x:v>5757.597889309879</x:v>
      </x:c>
      <x:c r="L434" s="14" t="n">
        <x:f>I434/K434-1</x:f>
        <x:v>-0.052729957031832475</x:v>
      </x:c>
      <x:c r="M434" s="8" t="n">
        <x:f>'Source Data'!G434</x:f>
        <x:v>5825</x:v>
      </x:c>
      <x:c r="N434" s="8" t="n">
        <x:f>M434*('Source Data'!H$8/'Source Data'!G$8)*EXP(F434*('Source Data'!H$7-'Source Data'!G$7))</x:f>
        <x:v>5829.909853385004</x:v>
      </x:c>
      <x:c r="O434" s="14" t="n">
        <x:f>I434/N434-1</x:f>
        <x:v>-0.0644795310457057</x:v>
      </x:c>
      <x:c r="P434" s="2" t="str"/>
    </x:row>
    <x:row r="435">
      <x:c r="A435" s="2" t="str">
        <x:f>'Source Data'!A435</x:f>
        <x:v>423930</x:v>
      </x:c>
      <x:c r="B435" s="2" t="str">
        <x:f>'Source Data'!B435</x:f>
        <x:v>Recyclable Material Merchant Wholesalers</x:v>
      </x:c>
      <x:c r="C435" s="13" t="n">
        <x:f>LN('Source Data'!C435/'Source Data'!C$8)</x:f>
        <x:v>-7.229742570297431</x:v>
      </x:c>
      <x:c r="D435" s="13" t="n">
        <x:f>LN('Source Data'!D435/'Source Data'!D$8)</x:f>
        <x:v>-7.255796576785727</x:v>
      </x:c>
      <x:c r="E435" s="13" t="n">
        <x:f>LN('Source Data'!E435/'Source Data'!E$8)</x:f>
        <x:v>-7.30466601327646</x:v>
      </x:c>
      <x:c r="F435" s="13" t="n">
        <x:f>SLOPE(C435:E435,'Source Data'!C$7:E$7)</x:f>
        <x:v>-0.03746172148951432</x:v>
      </x:c>
      <x:c r="G435" s="14" t="n">
        <x:f>EXP(F435)-1</x:f>
        <x:v>-0.03676871192589315</x:v>
      </x:c>
      <x:c r="H435" s="8" t="n">
        <x:f>'Source Data'!F435</x:f>
        <x:v>9138</x:v>
      </x:c>
      <x:c r="I435" s="8" t="n">
        <x:f>'Source Data'!H435</x:f>
        <x:v>8991</x:v>
      </x:c>
      <x:c r="J435" s="14" t="n">
        <x:f>I435/H435-1</x:f>
        <x:v>-0.016086671043992085</x:v>
      </x:c>
      <x:c r="K435" s="8" t="n">
        <x:f>H435*('Source Data'!H$8/'Source Data'!F$8)*EXP(F435*('Source Data'!H$7-'Source Data'!F$7))</x:f>
        <x:v>8005.931162399129</x:v>
      </x:c>
      <x:c r="L435" s="14" t="n">
        <x:f>I435/K435-1</x:f>
        <x:v>0.12304238165666126</x:v>
      </x:c>
      <x:c r="M435" s="8" t="n">
        <x:f>'Source Data'!G435</x:f>
        <x:v>9283</x:v>
      </x:c>
      <x:c r="N435" s="8" t="n">
        <x:f>M435*('Source Data'!H$8/'Source Data'!G$8)*EXP(F435*('Source Data'!H$7-'Source Data'!G$7))</x:f>
        <x:v>8425.956058171589</x:v>
      </x:c>
      <x:c r="O435" s="14" t="n">
        <x:f>I435/N435-1</x:f>
        <x:v>0.0670599203137816</x:v>
      </x:c>
      <x:c r="P435" s="2" t="str"/>
    </x:row>
    <x:row r="436">
      <x:c r="A436" s="2" t="str">
        <x:f>'Source Data'!A436</x:f>
        <x:v>423940</x:v>
      </x:c>
      <x:c r="B436" s="2" t="str">
        <x:f>'Source Data'!B436</x:f>
        <x:v>Jewelry, Watch, Precious Stone, and Precious Metal Merchant Wholesalers</x:v>
      </x:c>
      <x:c r="C436" s="13" t="n">
        <x:f>LN('Source Data'!C436/'Source Data'!C$8)</x:f>
        <x:v>-7.700074533829045</x:v>
      </x:c>
      <x:c r="D436" s="13" t="n">
        <x:f>LN('Source Data'!D436/'Source Data'!D$8)</x:f>
        <x:v>-7.714279918341133</x:v>
      </x:c>
      <x:c r="E436" s="13" t="n">
        <x:f>LN('Source Data'!E436/'Source Data'!E$8)</x:f>
        <x:v>-7.713835756410071</x:v>
      </x:c>
      <x:c r="F436" s="13" t="n">
        <x:f>SLOPE(C436:E436,'Source Data'!C$7:E$7)</x:f>
        <x:v>-0.0068806112905130945</x:v>
      </x:c>
      <x:c r="G436" s="14" t="n">
        <x:f>EXP(F436)-1</x:f>
        <x:v>-0.006856994082634182</x:v>
      </x:c>
      <x:c r="H436" s="8" t="n">
        <x:f>'Source Data'!F436</x:f>
        <x:v>6691</x:v>
      </x:c>
      <x:c r="I436" s="8" t="n">
        <x:f>'Source Data'!H436</x:f>
        <x:v>6173</x:v>
      </x:c>
      <x:c r="J436" s="14" t="n">
        <x:f>I436/H436-1</x:f>
        <x:v>-0.07741742639366311</x:v>
      </x:c>
      <x:c r="K436" s="8" t="n">
        <x:f>H436*('Source Data'!H$8/'Source Data'!F$8)*EXP(F436*('Source Data'!H$7-'Source Data'!F$7))</x:f>
        <x:v>6624.857748634941</x:v>
      </x:c>
      <x:c r="L436" s="14" t="n">
        <x:f>I436/K436-1</x:f>
        <x:v>-0.06820640771162934</x:v>
      </x:c>
      <x:c r="M436" s="8" t="n">
        <x:f>'Source Data'!G436</x:f>
        <x:v>6839</x:v>
      </x:c>
      <x:c r="N436" s="8" t="n">
        <x:f>M436*('Source Data'!H$8/'Source Data'!G$8)*EXP(F436*('Source Data'!H$7-'Source Data'!G$7))</x:f>
        <x:v>6804.043248242644</x:v>
      </x:c>
      <x:c r="O436" s="14" t="n">
        <x:f>I436/N436-1</x:f>
        <x:v>-0.09274533174162736</x:v>
      </x:c>
      <x:c r="P436" s="2" t="str"/>
    </x:row>
    <x:row r="437">
      <x:c r="A437" s="2" t="str">
        <x:f>'Source Data'!A437</x:f>
        <x:v>423990</x:v>
      </x:c>
      <x:c r="B437" s="2" t="str">
        <x:f>'Source Data'!B437</x:f>
        <x:v>Other Miscellaneous Durable Goods Merchant Wholesalers</x:v>
      </x:c>
      <x:c r="C437" s="13" t="n">
        <x:f>LN('Source Data'!C437/'Source Data'!C$8)</x:f>
        <x:v>-7.156593691839257</x:v>
      </x:c>
      <x:c r="D437" s="13" t="n">
        <x:f>LN('Source Data'!D437/'Source Data'!D$8)</x:f>
        <x:v>-7.092333508744176</x:v>
      </x:c>
      <x:c r="E437" s="13" t="n">
        <x:f>LN('Source Data'!E437/'Source Data'!E$8)</x:f>
        <x:v>-7.129381618518479</x:v>
      </x:c>
      <x:c r="F437" s="13" t="n">
        <x:f>SLOPE(C437:E437,'Source Data'!C$7:E$7)</x:f>
        <x:v>0.013606036660389176</x:v>
      </x:c>
      <x:c r="G437" s="14" t="n">
        <x:f>EXP(F437)-1</x:f>
        <x:v>0.013699020010228047</x:v>
      </x:c>
      <x:c r="H437" s="8" t="n">
        <x:f>'Source Data'!F437</x:f>
        <x:v>10896</x:v>
      </x:c>
      <x:c r="I437" s="8" t="n">
        <x:f>'Source Data'!H437</x:f>
        <x:v>9786</x:v>
      </x:c>
      <x:c r="J437" s="14" t="n">
        <x:f>I437/H437-1</x:f>
        <x:v>-0.10187224669603523</x:v>
      </x:c>
      <x:c r="K437" s="8" t="n">
        <x:f>H437*('Source Data'!H$8/'Source Data'!F$8)*EXP(F437*('Source Data'!H$7-'Source Data'!F$7))</x:f>
        <x:v>11709.58691991674</x:v>
      </x:c>
      <x:c r="L437" s="14" t="n">
        <x:f>I437/K437-1</x:f>
        <x:v>-0.16427453274589265</x:v>
      </x:c>
      <x:c r="M437" s="8" t="n">
        <x:f>'Source Data'!G437</x:f>
        <x:v>10601</x:v>
      </x:c>
      <x:c r="N437" s="8" t="n">
        <x:f>M437*('Source Data'!H$8/'Source Data'!G$8)*EXP(F437*('Source Data'!H$7-'Source Data'!G$7))</x:f>
        <x:v>11215.354633614987</x:v>
      </x:c>
      <x:c r="O437" s="14" t="n">
        <x:f>I437/N437-1</x:f>
        <x:v>-0.12744622709752607</x:v>
      </x:c>
      <x:c r="P437" s="2" t="str"/>
    </x:row>
    <x:row r="438">
      <x:c r="A438" s="2" t="str">
        <x:f>'Source Data'!A438</x:f>
        <x:v>424110</x:v>
      </x:c>
      <x:c r="B438" s="2" t="str">
        <x:f>'Source Data'!B438</x:f>
        <x:v>Printing and Writing Paper Merchant Wholesalers</x:v>
      </x:c>
      <x:c r="C438" s="13" t="n">
        <x:f>LN('Source Data'!C438/'Source Data'!C$8)</x:f>
        <x:v>-9.425905627630474</x:v>
      </x:c>
      <x:c r="D438" s="13" t="n">
        <x:f>LN('Source Data'!D438/'Source Data'!D$8)</x:f>
        <x:v>-9.296658512212721</x:v>
      </x:c>
      <x:c r="E438" s="13" t="n">
        <x:f>LN('Source Data'!E438/'Source Data'!E$8)</x:f>
        <x:v>-9.43726462576694</x:v>
      </x:c>
      <x:c r="F438" s="13" t="n">
        <x:f>SLOPE(C438:E438,'Source Data'!C$7:E$7)</x:f>
        <x:v>-0.0056794990682327295</x:v>
      </x:c>
      <x:c r="G438" s="14" t="n">
        <x:f>EXP(F438)-1</x:f>
        <x:v>-0.005663401203753637</x:v>
      </x:c>
      <x:c r="H438" s="8" t="n">
        <x:f>'Source Data'!F438</x:f>
        <x:v>1120</x:v>
      </x:c>
      <x:c r="I438" s="8" t="n">
        <x:f>'Source Data'!H438</x:f>
        <x:v>1059</x:v>
      </x:c>
      <x:c r="J438" s="14" t="n">
        <x:f>I438/H438-1</x:f>
        <x:v>-0.05446428571428574</x:v>
      </x:c>
      <x:c r="K438" s="8" t="n">
        <x:f>H438*('Source Data'!H$8/'Source Data'!F$8)*EXP(F438*('Source Data'!H$7-'Source Data'!F$7))</x:f>
        <x:v>1114.269122129811</x:v>
      </x:c>
      <x:c r="L438" s="14" t="n">
        <x:f>I438/K438-1</x:f>
        <x:v>-0.049601232801075645</x:v>
      </x:c>
      <x:c r="M438" s="8" t="n">
        <x:f>'Source Data'!G438</x:f>
        <x:v>1192</x:v>
      </x:c>
      <x:c r="N438" s="8" t="n">
        <x:f>M438*('Source Data'!H$8/'Source Data'!G$8)*EXP(F438*('Source Data'!H$7-'Source Data'!G$7))</x:f>
        <x:v>1190.1881620625009</x:v>
      </x:c>
      <x:c r="O438" s="14" t="n">
        <x:f>I438/N438-1</x:f>
        <x:v>-0.11022472432859887</x:v>
      </x:c>
      <x:c r="P438" s="2" t="str"/>
    </x:row>
    <x:row r="439">
      <x:c r="A439" s="2" t="str">
        <x:f>'Source Data'!A439</x:f>
        <x:v>424120</x:v>
      </x:c>
      <x:c r="B439" s="2" t="str">
        <x:f>'Source Data'!B439</x:f>
        <x:v>Stationery and Office Supplies Merchant Wholesalers</x:v>
      </x:c>
      <x:c r="C439" s="13" t="n">
        <x:f>LN('Source Data'!C439/'Source Data'!C$8)</x:f>
        <x:v>-7.929768623111395</x:v>
      </x:c>
      <x:c r="D439" s="13" t="n">
        <x:f>LN('Source Data'!D439/'Source Data'!D$8)</x:f>
        <x:v>-7.8063468189814715</x:v>
      </x:c>
      <x:c r="E439" s="13" t="n">
        <x:f>LN('Source Data'!E439/'Source Data'!E$8)</x:f>
        <x:v>-7.8918931705307</x:v>
      </x:c>
      <x:c r="F439" s="13" t="n">
        <x:f>SLOPE(C439:E439,'Source Data'!C$7:E$7)</x:f>
        <x:v>0.01893772629034718</x:v>
      </x:c>
      <x:c r="G439" s="14" t="n">
        <x:f>EXP(F439)-1</x:f>
        <x:v>0.019118182371498316</x:v>
      </x:c>
      <x:c r="H439" s="8" t="n">
        <x:f>'Source Data'!F439</x:f>
        <x:v>4693</x:v>
      </x:c>
      <x:c r="I439" s="8" t="n">
        <x:f>'Source Data'!H439</x:f>
        <x:v>3637</x:v>
      </x:c>
      <x:c r="J439" s="14" t="n">
        <x:f>I439/H439-1</x:f>
        <x:v>-0.22501598124866828</x:v>
      </x:c>
      <x:c r="K439" s="8" t="n">
        <x:f>H439*('Source Data'!H$8/'Source Data'!F$8)*EXP(F439*('Source Data'!H$7-'Source Data'!F$7))</x:f>
        <x:v>5152.13373874589</x:v>
      </x:c>
      <x:c r="L439" s="14" t="n">
        <x:f>I439/K439-1</x:f>
        <x:v>-0.29407888373540103</x:v>
      </x:c>
      <x:c r="M439" s="8" t="n">
        <x:f>'Source Data'!G439</x:f>
        <x:v>4503</x:v>
      </x:c>
      <x:c r="N439" s="8" t="n">
        <x:f>M439*('Source Data'!H$8/'Source Data'!G$8)*EXP(F439*('Source Data'!H$7-'Source Data'!G$7))</x:f>
        <x:v>4840.772729092037</x:v>
      </x:c>
      <x:c r="O439" s="14" t="n">
        <x:f>I439/N439-1</x:f>
        <x:v>-0.2486736718411945</x:v>
      </x:c>
      <x:c r="P439" s="2" t="str"/>
    </x:row>
    <x:row r="440">
      <x:c r="A440" s="2" t="str">
        <x:f>'Source Data'!A440</x:f>
        <x:v>424130</x:v>
      </x:c>
      <x:c r="B440" s="2" t="str">
        <x:f>'Source Data'!B440</x:f>
        <x:v>Industrial and Personal Service Paper Merchant Wholesalers</x:v>
      </x:c>
      <x:c r="C440" s="13" t="n">
        <x:f>LN('Source Data'!C440/'Source Data'!C$8)</x:f>
        <x:v>-7.494862389915494</x:v>
      </x:c>
      <x:c r="D440" s="13" t="n">
        <x:f>LN('Source Data'!D440/'Source Data'!D$8)</x:f>
        <x:v>-7.50913369870869</x:v>
      </x:c>
      <x:c r="E440" s="13" t="n">
        <x:f>LN('Source Data'!E440/'Source Data'!E$8)</x:f>
        <x:v>-7.560674345249913</x:v>
      </x:c>
      <x:c r="F440" s="13" t="n">
        <x:f>SLOPE(C440:E440,'Source Data'!C$7:E$7)</x:f>
        <x:v>-0.032905977667209374</x:v>
      </x:c>
      <x:c r="G440" s="14" t="n">
        <x:f>EXP(F440)-1</x:f>
        <x:v>-0.03237046590177983</x:v>
      </x:c>
      <x:c r="H440" s="8" t="n">
        <x:f>'Source Data'!F440</x:f>
        <x:v>6606</x:v>
      </x:c>
      <x:c r="I440" s="8" t="n">
        <x:f>'Source Data'!H440</x:f>
        <x:v>7253</x:v>
      </x:c>
      <x:c r="J440" s="14" t="n">
        <x:f>I440/H440-1</x:f>
        <x:v>0.0979412655161973</x:v>
      </x:c>
      <x:c r="K440" s="8" t="n">
        <x:f>H440*('Source Data'!H$8/'Source Data'!F$8)*EXP(F440*('Source Data'!H$7-'Source Data'!F$7))</x:f>
        <x:v>5894.044423735978</x:v>
      </x:c>
      <x:c r="L440" s="14" t="n">
        <x:f>I440/K440-1</x:f>
        <x:v>0.23056418964053882</x:v>
      </x:c>
      <x:c r="M440" s="8" t="n">
        <x:f>'Source Data'!G440</x:f>
        <x:v>6619</x:v>
      </x:c>
      <x:c r="N440" s="8" t="n">
        <x:f>M440*('Source Data'!H$8/'Source Data'!G$8)*EXP(F440*('Source Data'!H$7-'Source Data'!G$7))</x:f>
        <x:v>6090.582408329414</x:v>
      </x:c>
      <x:c r="O440" s="14" t="n">
        <x:f>I440/N440-1</x:f>
        <x:v>0.19085491562857393</x:v>
      </x:c>
      <x:c r="P440" s="2" t="str"/>
    </x:row>
    <x:row r="441">
      <x:c r="A441" s="2" t="str">
        <x:f>'Source Data'!A441</x:f>
        <x:v>424210</x:v>
      </x:c>
      <x:c r="B441" s="2" t="str">
        <x:f>'Source Data'!B441</x:f>
        <x:v>Drugs and Druggists' Sundries Merchant Wholesalers</x:v>
      </x:c>
      <x:c r="C441" s="13" t="n">
        <x:f>LN('Source Data'!C441/'Source Data'!C$8)</x:f>
        <x:v>-6.234129824727477</x:v>
      </x:c>
      <x:c r="D441" s="13" t="n">
        <x:f>LN('Source Data'!D441/'Source Data'!D$8)</x:f>
        <x:v>-6.152480519658816</x:v>
      </x:c>
      <x:c r="E441" s="13" t="n">
        <x:f>LN('Source Data'!E441/'Source Data'!E$8)</x:f>
        <x:v>-6.121118256574055</x:v>
      </x:c>
      <x:c r="F441" s="13" t="n">
        <x:f>SLOPE(C441:E441,'Source Data'!C$7:E$7)</x:f>
        <x:v>0.0565057840767107</x:v>
      </x:c>
      <x:c r="G441" s="14" t="n">
        <x:f>EXP(F441)-1</x:f>
        <x:v>0.05813273510343575</x:v>
      </x:c>
      <x:c r="H441" s="8" t="n">
        <x:f>'Source Data'!F441</x:f>
        <x:v>31077</x:v>
      </x:c>
      <x:c r="I441" s="8" t="n">
        <x:f>'Source Data'!H441</x:f>
        <x:v>28872</x:v>
      </x:c>
      <x:c r="J441" s="14" t="n">
        <x:f>I441/H441-1</x:f>
        <x:v>-0.07095279467130033</x:v>
      </x:c>
      <x:c r="K441" s="8" t="n">
        <x:f>H441*('Source Data'!H$8/'Source Data'!F$8)*EXP(F441*('Source Data'!H$7-'Source Data'!F$7))</x:f>
        <x:v>39649.53169935275</x:v>
      </x:c>
      <x:c r="L441" s="14" t="n">
        <x:f>I441/K441-1</x:f>
        <x:v>-0.2718198989353684</x:v>
      </x:c>
      <x:c r="M441" s="8" t="n">
        <x:f>'Source Data'!G441</x:f>
        <x:v>31518</x:v>
      </x:c>
      <x:c r="N441" s="8" t="n">
        <x:f>M441*('Source Data'!H$8/'Source Data'!G$8)*EXP(F441*('Source Data'!H$7-'Source Data'!G$7))</x:f>
        <x:v>37924.35455085707</x:v>
      </x:c>
      <x:c r="O441" s="14" t="n">
        <x:f>I441/N441-1</x:f>
        <x:v>-0.23869501954786698</x:v>
      </x:c>
      <x:c r="P441" s="2" t="str"/>
    </x:row>
    <x:row r="442">
      <x:c r="A442" s="2" t="str">
        <x:f>'Source Data'!A442</x:f>
        <x:v>424310</x:v>
      </x:c>
      <x:c r="B442" s="2" t="str">
        <x:f>'Source Data'!B442</x:f>
        <x:v>Piece Goods, Notions, and Other Dry Goods Merchant Wholesalers</x:v>
      </x:c>
      <x:c r="C442" s="13" t="n">
        <x:f>LN('Source Data'!C442/'Source Data'!C$8)</x:f>
        <x:v>-7.659048573092305</x:v>
      </x:c>
      <x:c r="D442" s="13" t="n">
        <x:f>LN('Source Data'!D442/'Source Data'!D$8)</x:f>
        <x:v>-7.6005572823604135</x:v>
      </x:c>
      <x:c r="E442" s="13" t="n">
        <x:f>LN('Source Data'!E442/'Source Data'!E$8)</x:f>
        <x:v>-7.6891651635420315</x:v>
      </x:c>
      <x:c r="F442" s="13" t="n">
        <x:f>SLOPE(C442:E442,'Source Data'!C$7:E$7)</x:f>
        <x:v>-0.01505829522486346</x:v>
      </x:c>
      <x:c r="G442" s="14" t="n">
        <x:f>EXP(F442)-1</x:f>
        <x:v>-0.014945486045135348</x:v>
      </x:c>
      <x:c r="H442" s="8" t="n">
        <x:f>'Source Data'!F442</x:f>
        <x:v>5424</x:v>
      </x:c>
      <x:c r="I442" s="8" t="n">
        <x:f>'Source Data'!H442</x:f>
        <x:v>4637</x:v>
      </x:c>
      <x:c r="J442" s="14" t="n">
        <x:f>I442/H442-1</x:f>
        <x:v>-0.14509587020648973</x:v>
      </x:c>
      <x:c r="K442" s="8" t="n">
        <x:f>H442*('Source Data'!H$8/'Source Data'!F$8)*EXP(F442*('Source Data'!H$7-'Source Data'!F$7))</x:f>
        <x:v>5197.555270964093</x:v>
      </x:c>
      <x:c r="L442" s="14" t="n">
        <x:f>I442/K442-1</x:f>
        <x:v>-0.10784979509416859</x:v>
      </x:c>
      <x:c r="M442" s="8" t="n">
        <x:f>'Source Data'!G442</x:f>
        <x:v>5188</x:v>
      </x:c>
      <x:c r="N442" s="8" t="n">
        <x:f>M442*('Source Data'!H$8/'Source Data'!G$8)*EXP(F442*('Source Data'!H$7-'Source Data'!G$7))</x:f>
        <x:v>5036.395881233149</x:v>
      </x:c>
      <x:c r="O442" s="14" t="n">
        <x:f>I442/N442-1</x:f>
        <x:v>-0.07930192356827959</x:v>
      </x:c>
      <x:c r="P442" s="2" t="str"/>
    </x:row>
    <x:row r="443">
      <x:c r="A443" s="2" t="str">
        <x:f>'Source Data'!A443</x:f>
        <x:v>424340</x:v>
      </x:c>
      <x:c r="B443" s="2" t="str">
        <x:f>'Source Data'!B443</x:f>
        <x:v>Footwear Merchant Wholesalers</x:v>
      </x:c>
      <x:c r="C443" s="13" t="n">
        <x:f>LN('Source Data'!C443/'Source Data'!C$8)</x:f>
        <x:v>-7.850010135964981</x:v>
      </x:c>
      <x:c r="D443" s="13" t="n">
        <x:f>LN('Source Data'!D443/'Source Data'!D$8)</x:f>
        <x:v>-7.9005319598365</x:v>
      </x:c>
      <x:c r="E443" s="13" t="n">
        <x:f>LN('Source Data'!E443/'Source Data'!E$8)</x:f>
        <x:v>-7.956887267079875</x:v>
      </x:c>
      <x:c r="F443" s="13" t="n">
        <x:f>SLOPE(C443:E443,'Source Data'!C$7:E$7)</x:f>
        <x:v>-0.05343856555744697</x:v>
      </x:c>
      <x:c r="G443" s="14" t="n">
        <x:f>EXP(F443)-1</x:f>
        <x:v>-0.052035823134293</x:v>
      </x:c>
      <x:c r="H443" s="8" t="n">
        <x:f>'Source Data'!F443</x:f>
        <x:v>4441</x:v>
      </x:c>
      <x:c r="I443" s="8" t="n">
        <x:f>'Source Data'!H443</x:f>
        <x:v>3319</x:v>
      </x:c>
      <x:c r="J443" s="14" t="n">
        <x:f>I443/H443-1</x:f>
        <x:v>-0.2526458004953839</x:v>
      </x:c>
      <x:c r="K443" s="8" t="n">
        <x:f>H443*('Source Data'!H$8/'Source Data'!F$8)*EXP(F443*('Source Data'!H$7-'Source Data'!F$7))</x:f>
        <x:v>3649.949453634336</x:v>
      </x:c>
      <x:c r="L443" s="14" t="n">
        <x:f>I443/K443-1</x:f>
        <x:v>-0.09067233884699477</x:v>
      </x:c>
      <x:c r="M443" s="8" t="n">
        <x:f>'Source Data'!G443</x:f>
        <x:v>4358</x:v>
      </x:c>
      <x:c r="N443" s="8" t="n">
        <x:f>M443*('Source Data'!H$8/'Source Data'!G$8)*EXP(F443*('Source Data'!H$7-'Source Data'!G$7))</x:f>
        <x:v>3770.5273880884592</x:v>
      </x:c>
      <x:c r="O443" s="14" t="n">
        <x:f>I443/N443-1</x:f>
        <x:v>-0.11975178578861079</x:v>
      </x:c>
      <x:c r="P443" s="2" t="str"/>
    </x:row>
    <x:row r="444">
      <x:c r="A444" s="2" t="str">
        <x:f>'Source Data'!A444</x:f>
        <x:v>424350</x:v>
      </x:c>
      <x:c r="B444" s="2" t="str">
        <x:f>'Source Data'!B444</x:f>
        <x:v>Clothing and Clothing Accessories Merchant Wholesalers</x:v>
      </x:c>
      <x:c r="C444" s="13" t="n">
        <x:f>LN('Source Data'!C444/'Source Data'!C$8)</x:f>
        <x:v>-6.2720128671389945</x:v>
      </x:c>
      <x:c r="D444" s="13" t="n">
        <x:f>LN('Source Data'!D444/'Source Data'!D$8)</x:f>
        <x:v>-6.255479607518055</x:v>
      </x:c>
      <x:c r="E444" s="13" t="n">
        <x:f>LN('Source Data'!E444/'Source Data'!E$8)</x:f>
        <x:v>-6.2874298547076055</x:v>
      </x:c>
      <x:c r="F444" s="13" t="n">
        <x:f>SLOPE(C444:E444,'Source Data'!C$7:E$7)</x:f>
        <x:v>-0.007708493784305492</x:v>
      </x:c>
      <x:c r="G444" s="14" t="n">
        <x:f>EXP(F444)-1</x:f>
        <x:v>-0.0076788595401117155</x:v>
      </x:c>
      <x:c r="H444" s="8" t="n">
        <x:f>'Source Data'!F444</x:f>
        <x:v>23670</x:v>
      </x:c>
      <x:c r="I444" s="8" t="n">
        <x:f>'Source Data'!H444</x:f>
        <x:v>21429</x:v>
      </x:c>
      <x:c r="J444" s="14" t="n">
        <x:f>I444/H444-1</x:f>
        <x:v>-0.09467680608365014</x:v>
      </x:c>
      <x:c r="K444" s="8" t="n">
        <x:f>H444*('Source Data'!H$8/'Source Data'!F$8)*EXP(F444*('Source Data'!H$7-'Source Data'!F$7))</x:f>
        <x:v>23358.535269448217</x:v>
      </x:c>
      <x:c r="L444" s="14" t="n">
        <x:f>I444/K444-1</x:f>
        <x:v>-0.08260514827622567</x:v>
      </x:c>
      <x:c r="M444" s="8" t="n">
        <x:f>'Source Data'!G444</x:f>
        <x:v>23696</x:v>
      </x:c>
      <x:c r="N444" s="8" t="n">
        <x:f>M444*('Source Data'!H$8/'Source Data'!G$8)*EXP(F444*('Source Data'!H$7-'Source Data'!G$7))</x:f>
        <x:v>23516.40161433822</x:v>
      </x:c>
      <x:c r="O444" s="14" t="n">
        <x:f>I444/N444-1</x:f>
        <x:v>-0.08876364881715193</x:v>
      </x:c>
      <x:c r="P444" s="2" t="str"/>
    </x:row>
    <x:row r="445">
      <x:c r="A445" s="2" t="str">
        <x:f>'Source Data'!A445</x:f>
        <x:v>424410</x:v>
      </x:c>
      <x:c r="B445" s="2" t="str">
        <x:f>'Source Data'!B445</x:f>
        <x:v>General Line Grocery Merchant Wholesalers</x:v>
      </x:c>
      <x:c r="C445" s="13" t="n">
        <x:f>LN('Source Data'!C445/'Source Data'!C$8)</x:f>
        <x:v>-6.425540007402222</x:v>
      </x:c>
      <x:c r="D445" s="13" t="n">
        <x:f>LN('Source Data'!D445/'Source Data'!D$8)</x:f>
        <x:v>-6.410147041782636</x:v>
      </x:c>
      <x:c r="E445" s="13" t="n">
        <x:f>LN('Source Data'!E445/'Source Data'!E$8)</x:f>
        <x:v>-6.392862648201465</x:v>
      </x:c>
      <x:c r="F445" s="13" t="n">
        <x:f>SLOPE(C445:E445,'Source Data'!C$7:E$7)</x:f>
        <x:v>0.01633867960037838</x:v>
      </x:c>
      <x:c r="G445" s="14" t="n">
        <x:f>EXP(F445)-1</x:f>
        <x:v>0.016472885746728005</x:v>
      </x:c>
      <x:c r="H445" s="8" t="n">
        <x:f>'Source Data'!F445</x:f>
        <x:v>26472</x:v>
      </x:c>
      <x:c r="I445" s="8" t="n">
        <x:f>'Source Data'!H445</x:f>
        <x:v>26892</x:v>
      </x:c>
      <x:c r="J445" s="14" t="n">
        <x:f>I445/H445-1</x:f>
        <x:v>0.015865820489573856</x:v>
      </x:c>
      <x:c r="K445" s="8" t="n">
        <x:f>H445*('Source Data'!H$8/'Source Data'!F$8)*EXP(F445*('Source Data'!H$7-'Source Data'!F$7))</x:f>
        <x:v>28761.287362849336</x:v>
      </x:c>
      <x:c r="L445" s="14" t="n">
        <x:f>I445/K445-1</x:f>
        <x:v>-0.06499317430637253</x:v>
      </x:c>
      <x:c r="M445" s="8" t="n">
        <x:f>'Source Data'!G445</x:f>
        <x:v>26888</x:v>
      </x:c>
      <x:c r="N445" s="8" t="n">
        <x:f>M445*('Source Data'!H$8/'Source Data'!G$8)*EXP(F445*('Source Data'!H$7-'Source Data'!G$7))</x:f>
        <x:v>28680.38592234565</x:v>
      </x:c>
      <x:c r="O445" s="14" t="n">
        <x:f>I445/N445-1</x:f>
        <x:v>-0.06235571331528944</x:v>
      </x:c>
      <x:c r="P445" s="2" t="str"/>
    </x:row>
    <x:row r="446">
      <x:c r="A446" s="2" t="str">
        <x:f>'Source Data'!A446</x:f>
        <x:v>424420</x:v>
      </x:c>
      <x:c r="B446" s="2" t="str">
        <x:f>'Source Data'!B446</x:f>
        <x:v>Packaged Frozen Food Merchant Wholesalers</x:v>
      </x:c>
      <x:c r="C446" s="13" t="n">
        <x:f>LN('Source Data'!C446/'Source Data'!C$8)</x:f>
        <x:v>-8.083077088512917</x:v>
      </x:c>
      <x:c r="D446" s="13" t="n">
        <x:f>LN('Source Data'!D446/'Source Data'!D$8)</x:f>
        <x:v>-7.99210168218744</x:v>
      </x:c>
      <x:c r="E446" s="13" t="n">
        <x:f>LN('Source Data'!E446/'Source Data'!E$8)</x:f>
        <x:v>-8.16848984428589</x:v>
      </x:c>
      <x:c r="F446" s="13" t="n">
        <x:f>SLOPE(C446:E446,'Source Data'!C$7:E$7)</x:f>
        <x:v>-0.04270637788648646</x:v>
      </x:c>
      <x:c r="G446" s="14" t="n">
        <x:f>EXP(F446)-1</x:f>
        <x:v>-0.041807304669357226</x:v>
      </x:c>
      <x:c r="H446" s="8" t="n">
        <x:f>'Source Data'!F446</x:f>
        <x:v>4048</x:v>
      </x:c>
      <x:c r="I446" s="8" t="n">
        <x:f>'Source Data'!H446</x:f>
        <x:v>4130</x:v>
      </x:c>
      <x:c r="J446" s="14" t="n">
        <x:f>I446/H446-1</x:f>
        <x:v>0.02025691699604737</x:v>
      </x:c>
      <x:c r="K446" s="8" t="n">
        <x:f>H446*('Source Data'!H$8/'Source Data'!F$8)*EXP(F446*('Source Data'!H$7-'Source Data'!F$7))</x:f>
        <x:v>3472.8841835500825</x:v>
      </x:c>
      <x:c r="L446" s="14" t="n">
        <x:f>I446/K446-1</x:f>
        <x:v>0.1892132825973467</x:v>
      </x:c>
      <x:c r="M446" s="8" t="n">
        <x:f>'Source Data'!G446</x:f>
        <x:v>4204</x:v>
      </x:c>
      <x:c r="N446" s="8" t="n">
        <x:f>M446*('Source Data'!H$8/'Source Data'!G$8)*EXP(F446*('Source Data'!H$7-'Source Data'!G$7))</x:f>
        <x:v>3756.300869809117</x:v>
      </x:c>
      <x:c r="O446" s="14" t="n">
        <x:f>I446/N446-1</x:f>
        <x:v>0.09948594192612514</x:v>
      </x:c>
      <x:c r="P446" s="2" t="str"/>
    </x:row>
    <x:row r="447">
      <x:c r="A447" s="2" t="str">
        <x:f>'Source Data'!A447</x:f>
        <x:v>424430</x:v>
      </x:c>
      <x:c r="B447" s="2" t="str">
        <x:f>'Source Data'!B447</x:f>
        <x:v>Dairy Product (except Dried or Canned) Merchant Wholesalers</x:v>
      </x:c>
      <x:c r="C447" s="13" t="n">
        <x:f>LN('Source Data'!C447/'Source Data'!C$8)</x:f>
        <x:v>-8.215702273553902</x:v>
      </x:c>
      <x:c r="D447" s="13" t="n">
        <x:f>LN('Source Data'!D447/'Source Data'!D$8)</x:f>
        <x:v>-8.206533543588993</x:v>
      </x:c>
      <x:c r="E447" s="13" t="n">
        <x:f>LN('Source Data'!E447/'Source Data'!E$8)</x:f>
        <x:v>-8.235401972044636</x:v>
      </x:c>
      <x:c r="F447" s="13" t="n">
        <x:f>SLOPE(C447:E447,'Source Data'!C$7:E$7)</x:f>
        <x:v>-0.00984984924536736</x:v>
      </x:c>
      <x:c r="G447" s="14" t="n">
        <x:f>EXP(F447)-1</x:f>
        <x:v>-0.009801498360151872</x:v>
      </x:c>
      <x:c r="H447" s="8" t="n">
        <x:f>'Source Data'!F447</x:f>
        <x:v>3277</x:v>
      </x:c>
      <x:c r="I447" s="8" t="n">
        <x:f>'Source Data'!H447</x:f>
        <x:v>3044</x:v>
      </x:c>
      <x:c r="J447" s="14" t="n">
        <x:f>I447/H447-1</x:f>
        <x:v>-0.07110161733292641</x:v>
      </x:c>
      <x:c r="K447" s="8" t="n">
        <x:f>H447*('Source Data'!H$8/'Source Data'!F$8)*EXP(F447*('Source Data'!H$7-'Source Data'!F$7))</x:f>
        <x:v>3206.297927053727</x:v>
      </x:c>
      <x:c r="L447" s="14" t="n">
        <x:f>I447/K447-1</x:f>
        <x:v>-0.05061847986249457</x:v>
      </x:c>
      <x:c r="M447" s="8" t="n">
        <x:f>'Source Data'!G447</x:f>
        <x:v>3314</x:v>
      </x:c>
      <x:c r="N447" s="8" t="n">
        <x:f>M447*('Source Data'!H$8/'Source Data'!G$8)*EXP(F447*('Source Data'!H$7-'Source Data'!G$7))</x:f>
        <x:v>3267.8220192274175</x:v>
      </x:c>
      <x:c r="O447" s="14" t="n">
        <x:f>I447/N447-1</x:f>
        <x:v>-0.06849272020032893</x:v>
      </x:c>
      <x:c r="P447" s="2" t="str"/>
    </x:row>
    <x:row r="448">
      <x:c r="A448" s="2" t="str">
        <x:f>'Source Data'!A448</x:f>
        <x:v>424440</x:v>
      </x:c>
      <x:c r="B448" s="2" t="str">
        <x:f>'Source Data'!B448</x:f>
        <x:v>Poultry and Poultry Product Merchant Wholesalers</x:v>
      </x:c>
      <x:c r="C448" s="13" t="n">
        <x:f>LN('Source Data'!C448/'Source Data'!C$8)</x:f>
        <x:v>-9.04267666096919</x:v>
      </x:c>
      <x:c r="D448" s="13" t="n">
        <x:f>LN('Source Data'!D448/'Source Data'!D$8)</x:f>
        <x:v>-9.10456630073056</x:v>
      </x:c>
      <x:c r="E448" s="13" t="n">
        <x:f>LN('Source Data'!E448/'Source Data'!E$8)</x:f>
        <x:v>-9.102238869629371</x:v>
      </x:c>
      <x:c r="F448" s="13" t="n">
        <x:f>SLOPE(C448:E448,'Source Data'!C$7:E$7)</x:f>
        <x:v>-0.02978110433009018</x:v>
      </x:c>
      <x:c r="G448" s="14" t="n">
        <x:f>EXP(F448)-1</x:f>
        <x:v>-0.029342016875016808</x:v>
      </x:c>
      <x:c r="H448" s="8" t="n">
        <x:f>'Source Data'!F448</x:f>
        <x:v>1421</x:v>
      </x:c>
      <x:c r="I448" s="8" t="n">
        <x:f>'Source Data'!H448</x:f>
        <x:v>1575</x:v>
      </x:c>
      <x:c r="J448" s="14" t="n">
        <x:f>I448/H448-1</x:f>
        <x:v>0.10837438423645329</x:v>
      </x:c>
      <x:c r="K448" s="8" t="n">
        <x:f>H448*('Source Data'!H$8/'Source Data'!F$8)*EXP(F448*('Source Data'!H$7-'Source Data'!F$7))</x:f>
        <x:v>1283.8000089840784</x:v>
      </x:c>
      <x:c r="L448" s="14" t="n">
        <x:f>I448/K448-1</x:f>
        <x:v>0.22682659992062137</x:v>
      </x:c>
      <x:c r="M448" s="8" t="n">
        <x:f>'Source Data'!G448</x:f>
        <x:v>1369</x:v>
      </x:c>
      <x:c r="N448" s="8" t="n">
        <x:f>M448*('Source Data'!H$8/'Source Data'!G$8)*EXP(F448*('Source Data'!H$7-'Source Data'!G$7))</x:f>
        <x:v>1271.572820892347</x:v>
      </x:c>
      <x:c r="O448" s="14" t="n">
        <x:f>I448/N448-1</x:f>
        <x:v>0.23862351736546095</x:v>
      </x:c>
      <x:c r="P448" s="2" t="str"/>
    </x:row>
    <x:row r="449">
      <x:c r="A449" s="2" t="str">
        <x:f>'Source Data'!A449</x:f>
        <x:v>424450</x:v>
      </x:c>
      <x:c r="B449" s="2" t="str">
        <x:f>'Source Data'!B449</x:f>
        <x:v>Confectionery Merchant Wholesalers</x:v>
      </x:c>
      <x:c r="C449" s="13" t="n">
        <x:f>LN('Source Data'!C449/'Source Data'!C$8)</x:f>
        <x:v>-7.726696838944255</x:v>
      </x:c>
      <x:c r="D449" s="13" t="n">
        <x:f>LN('Source Data'!D449/'Source Data'!D$8)</x:f>
        <x:v>-7.694104793383777</x:v>
      </x:c>
      <x:c r="E449" s="13" t="n">
        <x:f>LN('Source Data'!E449/'Source Data'!E$8)</x:f>
        <x:v>-7.682580898040246</x:v>
      </x:c>
      <x:c r="F449" s="13" t="n">
        <x:f>SLOPE(C449:E449,'Source Data'!C$7:E$7)</x:f>
        <x:v>0.022057970452004305</x:v>
      </x:c>
      <x:c r="G449" s="14" t="n">
        <x:f>EXP(F449)-1</x:f>
        <x:v>0.022303046122378323</x:v>
      </x:c>
      <x:c r="H449" s="8" t="n">
        <x:f>'Source Data'!F449</x:f>
        <x:v>6873</x:v>
      </x:c>
      <x:c r="I449" s="8" t="n">
        <x:f>'Source Data'!H449</x:f>
        <x:v>6986</x:v>
      </x:c>
      <x:c r="J449" s="14" t="n">
        <x:f>I449/H449-1</x:f>
        <x:v>0.016441146515350002</x:v>
      </x:c>
      <x:c r="K449" s="8" t="n">
        <x:f>H449*('Source Data'!H$8/'Source Data'!F$8)*EXP(F449*('Source Data'!H$7-'Source Data'!F$7))</x:f>
        <x:v>7640.175537648308</x:v>
      </x:c>
      <x:c r="L449" s="14" t="n">
        <x:f>I449/K449-1</x:f>
        <x:v>-0.08562310308509835</x:v>
      </x:c>
      <x:c r="M449" s="8" t="n">
        <x:f>'Source Data'!G449</x:f>
        <x:v>7017</x:v>
      </x:c>
      <x:c r="N449" s="8" t="n">
        <x:f>M449*('Source Data'!H$8/'Source Data'!G$8)*EXP(F449*('Source Data'!H$7-'Source Data'!G$7))</x:f>
        <x:v>7614.292171776538</x:v>
      </x:c>
      <x:c r="O449" s="14" t="n">
        <x:f>I449/N449-1</x:f>
        <x:v>-0.08251484939143694</x:v>
      </x:c>
      <x:c r="P449" s="2" t="str"/>
    </x:row>
    <x:row r="450">
      <x:c r="A450" s="2" t="str">
        <x:f>'Source Data'!A450</x:f>
        <x:v>424460</x:v>
      </x:c>
      <x:c r="B450" s="2" t="str">
        <x:f>'Source Data'!B450</x:f>
        <x:v>Fish and Seafood Merchant Wholesalers</x:v>
      </x:c>
      <x:c r="C450" s="13" t="n">
        <x:f>LN('Source Data'!C450/'Source Data'!C$8)</x:f>
        <x:v>-7.976334934828258</x:v>
      </x:c>
      <x:c r="D450" s="13" t="n">
        <x:f>LN('Source Data'!D450/'Source Data'!D$8)</x:f>
        <x:v>-7.981636704411745</x:v>
      </x:c>
      <x:c r="E450" s="13" t="n">
        <x:f>LN('Source Data'!E450/'Source Data'!E$8)</x:f>
        <x:v>-7.998813093929713</x:v>
      </x:c>
      <x:c r="F450" s="13" t="n">
        <x:f>SLOPE(C450:E450,'Source Data'!C$7:E$7)</x:f>
        <x:v>-0.01123907955072756</x:v>
      </x:c>
      <x:c r="G450" s="14" t="n">
        <x:f>EXP(F450)-1</x:f>
        <x:v>-0.011176157047112056</x:v>
      </x:c>
      <x:c r="H450" s="8" t="n">
        <x:f>'Source Data'!F450</x:f>
        <x:v>4856</x:v>
      </x:c>
      <x:c r="I450" s="8" t="n">
        <x:f>'Source Data'!H450</x:f>
        <x:v>5174</x:v>
      </x:c>
      <x:c r="J450" s="14" t="n">
        <x:f>I450/H450-1</x:f>
        <x:v>0.06548599670510713</x:v>
      </x:c>
      <x:c r="K450" s="8" t="n">
        <x:f>H450*('Source Data'!H$8/'Source Data'!F$8)*EXP(F450*('Source Data'!H$7-'Source Data'!F$7))</x:f>
        <x:v>4724.901625142296</x:v>
      </x:c>
      <x:c r="L450" s="14" t="n">
        <x:f>I450/K450-1</x:f>
        <x:v>0.09504925403482423</x:v>
      </x:c>
      <x:c r="M450" s="8" t="n">
        <x:f>'Source Data'!G450</x:f>
        <x:v>5022</x:v>
      </x:c>
      <x:c r="N450" s="8" t="n">
        <x:f>M450*('Source Data'!H$8/'Source Data'!G$8)*EXP(F450*('Source Data'!H$7-'Source Data'!G$7))</x:f>
        <x:v>4931.426833045943</x:v>
      </x:c>
      <x:c r="O450" s="14" t="n">
        <x:f>I450/N450-1</x:f>
        <x:v>0.04918924586461526</x:v>
      </x:c>
      <x:c r="P450" s="2" t="str"/>
    </x:row>
    <x:row r="451">
      <x:c r="A451" s="2" t="str">
        <x:f>'Source Data'!A451</x:f>
        <x:v>424470</x:v>
      </x:c>
      <x:c r="B451" s="2" t="str">
        <x:f>'Source Data'!B451</x:f>
        <x:v>Meat and Meat Product Merchant Wholesalers</x:v>
      </x:c>
      <x:c r="C451" s="13" t="n">
        <x:f>LN('Source Data'!C451/'Source Data'!C$8)</x:f>
        <x:v>-7.438221556329523</x:v>
      </x:c>
      <x:c r="D451" s="13" t="n">
        <x:f>LN('Source Data'!D451/'Source Data'!D$8)</x:f>
        <x:v>-7.360382349038542</x:v>
      </x:c>
      <x:c r="E451" s="13" t="n">
        <x:f>LN('Source Data'!E451/'Source Data'!E$8)</x:f>
        <x:v>-7.405086168630638</x:v>
      </x:c>
      <x:c r="F451" s="13" t="n">
        <x:f>SLOPE(C451:E451,'Source Data'!C$7:E$7)</x:f>
        <x:v>0.016567693849442566</x:v>
      </x:c>
      <x:c r="G451" s="14" t="n">
        <x:f>EXP(F451)-1</x:f>
        <x:v>0.016705699179130562</x:v>
      </x:c>
      <x:c r="H451" s="8" t="n">
        <x:f>'Source Data'!F451</x:f>
        <x:v>7664</x:v>
      </x:c>
      <x:c r="I451" s="8" t="n">
        <x:f>'Source Data'!H451</x:f>
        <x:v>7707</x:v>
      </x:c>
      <x:c r="J451" s="14" t="n">
        <x:f>I451/H451-1</x:f>
        <x:v>0.005610647181628403</x:v>
      </x:c>
      <x:c r="K451" s="8" t="n">
        <x:f>H451*('Source Data'!H$8/'Source Data'!F$8)*EXP(F451*('Source Data'!H$7-'Source Data'!F$7))</x:f>
        <x:v>8334.410777690615</x:v>
      </x:c>
      <x:c r="L451" s="14" t="n">
        <x:f>I451/K451-1</x:f>
        <x:v>-0.07527956017839388</x:v>
      </x:c>
      <x:c r="M451" s="8" t="n">
        <x:f>'Source Data'!G451</x:f>
        <x:v>7664</x:v>
      </x:c>
      <x:c r="N451" s="8" t="n">
        <x:f>M451*('Source Data'!H$8/'Source Data'!G$8)*EXP(F451*('Source Data'!H$7-'Source Data'!G$7))</x:f>
        <x:v>8180.509745775537</x:v>
      </x:c>
      <x:c r="O451" s="14" t="n">
        <x:f>I451/N451-1</x:f>
        <x:v>-0.057882669966875855</x:v>
      </x:c>
      <x:c r="P451" s="2" t="str"/>
    </x:row>
    <x:row r="452">
      <x:c r="A452" s="2" t="str">
        <x:f>'Source Data'!A452</x:f>
        <x:v>424480</x:v>
      </x:c>
      <x:c r="B452" s="2" t="str">
        <x:f>'Source Data'!B452</x:f>
        <x:v>Fresh Fruit and Vegetable Merchant Wholesalers</x:v>
      </x:c>
      <x:c r="C452" s="13" t="n">
        <x:f>LN('Source Data'!C452/'Source Data'!C$8)</x:f>
        <x:v>-6.415609780718595</x:v>
      </x:c>
      <x:c r="D452" s="13" t="n">
        <x:f>LN('Source Data'!D452/'Source Data'!D$8)</x:f>
        <x:v>-6.360218787601053</x:v>
      </x:c>
      <x:c r="E452" s="13" t="n">
        <x:f>LN('Source Data'!E452/'Source Data'!E$8)</x:f>
        <x:v>-6.402749534896112</x:v>
      </x:c>
      <x:c r="F452" s="13" t="n">
        <x:f>SLOPE(C452:E452,'Source Data'!C$7:E$7)</x:f>
        <x:v>0.006430122911241121</x:v>
      </x:c>
      <x:c r="G452" s="14" t="n">
        <x:f>EXP(F452)-1</x:f>
        <x:v>0.006450840533382296</x:v>
      </x:c>
      <x:c r="H452" s="8" t="n">
        <x:f>'Source Data'!F452</x:f>
        <x:v>21167</x:v>
      </x:c>
      <x:c r="I452" s="8" t="n">
        <x:f>'Source Data'!H452</x:f>
        <x:v>21161</x:v>
      </x:c>
      <x:c r="J452" s="14" t="n">
        <x:f>I452/H452-1</x:f>
        <x:v>-0.00028346010299051816</x:v>
      </x:c>
      <x:c r="K452" s="8" t="n">
        <x:f>H452*('Source Data'!H$8/'Source Data'!F$8)*EXP(F452*('Source Data'!H$7-'Source Data'!F$7))</x:f>
        <x:v>22103.851334761912</x:v>
      </x:c>
      <x:c r="L452" s="14" t="n">
        <x:f>I452/K452-1</x:f>
        <x:v>-0.04265552280833185</x:v>
      </x:c>
      <x:c r="M452" s="8" t="n">
        <x:f>'Source Data'!G452</x:f>
        <x:v>21066</x:v>
      </x:c>
      <x:c r="N452" s="8" t="n">
        <x:f>M452*('Source Data'!H$8/'Source Data'!G$8)*EXP(F452*('Source Data'!H$7-'Source Data'!G$7))</x:f>
        <x:v>21812.17014844008</x:v>
      </x:c>
      <x:c r="O452" s="14" t="n">
        <x:f>I452/N452-1</x:f>
        <x:v>-0.02985352415686382</x:v>
      </x:c>
      <x:c r="P452" s="2" t="str"/>
    </x:row>
    <x:row r="453">
      <x:c r="A453" s="2" t="str">
        <x:f>'Source Data'!A453</x:f>
        <x:v>424490</x:v>
      </x:c>
      <x:c r="B453" s="2" t="str">
        <x:f>'Source Data'!B453</x:f>
        <x:v>Other Grocery and Related Products Merchant Wholesalers</x:v>
      </x:c>
      <x:c r="C453" s="13" t="n">
        <x:f>LN('Source Data'!C453/'Source Data'!C$8)</x:f>
        <x:v>-6.150334459085728</x:v>
      </x:c>
      <x:c r="D453" s="13" t="n">
        <x:f>LN('Source Data'!D453/'Source Data'!D$8)</x:f>
        <x:v>-6.1339467279916455</x:v>
      </x:c>
      <x:c r="E453" s="13" t="n">
        <x:f>LN('Source Data'!E453/'Source Data'!E$8)</x:f>
        <x:v>-6.170160908321292</x:v>
      </x:c>
      <x:c r="F453" s="13" t="n">
        <x:f>SLOPE(C453:E453,'Source Data'!C$7:E$7)</x:f>
        <x:v>-0.009913224617782213</x:v>
      </x:c>
      <x:c r="G453" s="14" t="n">
        <x:f>EXP(F453)-1</x:f>
        <x:v>-0.009864250570464583</x:v>
      </x:c>
      <x:c r="H453" s="8" t="n">
        <x:f>'Source Data'!F453</x:f>
        <x:v>32017</x:v>
      </x:c>
      <x:c r="I453" s="8" t="n">
        <x:f>'Source Data'!H453</x:f>
        <x:v>32313</x:v>
      </x:c>
      <x:c r="J453" s="14" t="n">
        <x:f>I453/H453-1</x:f>
        <x:v>0.009245088546709468</x:v>
      </x:c>
      <x:c r="K453" s="8" t="n">
        <x:f>H453*('Source Data'!H$8/'Source Data'!F$8)*EXP(F453*('Source Data'!H$7-'Source Data'!F$7))</x:f>
        <x:v>31318.285190554045</x:v>
      </x:c>
      <x:c r="L453" s="14" t="n">
        <x:f>I453/K453-1</x:f>
        <x:v>0.03176147108290506</x:v>
      </x:c>
      <x:c r="M453" s="8" t="n">
        <x:f>'Source Data'!G453</x:f>
        <x:v>31598</x:v>
      </x:c>
      <x:c r="N453" s="8" t="n">
        <x:f>M453*('Source Data'!H$8/'Source Data'!G$8)*EXP(F453*('Source Data'!H$7-'Source Data'!G$7))</x:f>
        <x:v>31151.78341750546</x:v>
      </x:c>
      <x:c r="O453" s="14" t="n">
        <x:f>I453/N453-1</x:f>
        <x:v>0.03727608679514649</x:v>
      </x:c>
      <x:c r="P453" s="2" t="str"/>
    </x:row>
    <x:row r="454">
      <x:c r="A454" s="2" t="str">
        <x:f>'Source Data'!A454</x:f>
        <x:v>424510</x:v>
      </x:c>
      <x:c r="B454" s="2" t="str">
        <x:f>'Source Data'!B454</x:f>
        <x:v>Grain and Field Bean Merchant Wholesalers</x:v>
      </x:c>
      <x:c r="C454" s="13" t="n">
        <x:f>LN('Source Data'!C454/'Source Data'!C$8)</x:f>
        <x:v>-9.491370503628175</x:v>
      </x:c>
      <x:c r="D454" s="13" t="n">
        <x:f>LN('Source Data'!D454/'Source Data'!D$8)</x:f>
        <x:v>-9.42880596891614</x:v>
      </x:c>
      <x:c r="E454" s="13" t="n">
        <x:f>LN('Source Data'!E454/'Source Data'!E$8)</x:f>
        <x:v>-9.588048299046294</x:v>
      </x:c>
      <x:c r="F454" s="13" t="n">
        <x:f>SLOPE(C454:E454,'Source Data'!C$7:E$7)</x:f>
        <x:v>-0.0483388977090593</x:v>
      </x:c>
      <x:c r="G454" s="14" t="n">
        <x:f>EXP(F454)-1</x:f>
        <x:v>-0.04718917305104797</x:v>
      </x:c>
      <x:c r="H454" s="8" t="n">
        <x:f>'Source Data'!F454</x:f>
        <x:v>738</x:v>
      </x:c>
      <x:c r="I454" s="8" t="n">
        <x:f>'Source Data'!H454</x:f>
        <x:v>558</x:v>
      </x:c>
      <x:c r="J454" s="14" t="n">
        <x:f>I454/H454-1</x:f>
        <x:v>-0.24390243902439024</x:v>
      </x:c>
      <x:c r="K454" s="8" t="n">
        <x:f>H454*('Source Data'!H$8/'Source Data'!F$8)*EXP(F454*('Source Data'!H$7-'Source Data'!F$7))</x:f>
        <x:v>619.0439296233019</x:v>
      </x:c>
      <x:c r="L454" s="14" t="n">
        <x:f>I454/K454-1</x:f>
        <x:v>-0.09861001247592893</x:v>
      </x:c>
      <x:c r="M454" s="8" t="n">
        <x:f>'Source Data'!G454</x:f>
        <x:v>710</x:v>
      </x:c>
      <x:c r="N454" s="8" t="n">
        <x:f>M454*('Source Data'!H$8/'Source Data'!G$8)*EXP(F454*('Source Data'!H$7-'Source Data'!G$7))</x:f>
        <x:v>623.759962869139</x:v>
      </x:c>
      <x:c r="O454" s="14" t="n">
        <x:f>I454/N454-1</x:f>
        <x:v>-0.10542511027264356</x:v>
      </x:c>
      <x:c r="P454" s="2" t="str"/>
    </x:row>
    <x:row r="455">
      <x:c r="A455" s="2" t="str">
        <x:f>'Source Data'!A455</x:f>
        <x:v>424520</x:v>
      </x:c>
      <x:c r="B455" s="2" t="str">
        <x:f>'Source Data'!B455</x:f>
        <x:v>Livestock Merchant Wholesalers</x:v>
      </x:c>
      <x:c r="C455" s="13" t="n">
        <x:f>LN('Source Data'!C455/'Source Data'!C$8)</x:f>
        <x:v>-10.363693129383632</x:v>
      </x:c>
      <x:c r="D455" s="13" t="n">
        <x:f>LN('Source Data'!D455/'Source Data'!D$8)</x:f>
        <x:v>-10.287229318469747</x:v>
      </x:c>
      <x:c r="E455" s="13" t="n">
        <x:f>LN('Source Data'!E455/'Source Data'!E$8)</x:f>
        <x:v>-10.275330360153841</x:v>
      </x:c>
      <x:c r="F455" s="13" t="n">
        <x:f>SLOPE(C455:E455,'Source Data'!C$7:E$7)</x:f>
        <x:v>0.044181384614895514</x:v>
      </x:c>
      <x:c r="G455" s="14" t="n">
        <x:f>EXP(F455)-1</x:f>
        <x:v>0.045171915801654805</x:v>
      </x:c>
      <x:c r="H455" s="8" t="n">
        <x:f>'Source Data'!F455</x:f>
        <x:v>435</x:v>
      </x:c>
      <x:c r="I455" s="8" t="n">
        <x:f>'Source Data'!H455</x:f>
        <x:v>446</x:v>
      </x:c>
      <x:c r="J455" s="14" t="n">
        <x:f>I455/H455-1</x:f>
        <x:v>0.025287356321838983</x:v>
      </x:c>
      <x:c r="K455" s="8" t="n">
        <x:f>H455*('Source Data'!H$8/'Source Data'!F$8)*EXP(F455*('Source Data'!H$7-'Source Data'!F$7))</x:f>
        <x:v>528.2975013988919</x:v>
      </x:c>
      <x:c r="L455" s="14" t="n">
        <x:f>I455/K455-1</x:f>
        <x:v>-0.15577870646931757</x:v>
      </x:c>
      <x:c r="M455" s="8" t="n">
        <x:f>'Source Data'!G455</x:f>
        <x:v>430</x:v>
      </x:c>
      <x:c r="N455" s="8" t="n">
        <x:f>M455*('Source Data'!H$8/'Source Data'!G$8)*EXP(F455*('Source Data'!H$7-'Source Data'!G$7))</x:f>
        <x:v>498.6212079076718</x:v>
      </x:c>
      <x:c r="O455" s="14" t="n">
        <x:f>I455/N455-1</x:f>
        <x:v>-0.10553343314152719</x:v>
      </x:c>
      <x:c r="P455" s="2" t="str"/>
    </x:row>
    <x:row r="456">
      <x:c r="A456" s="2" t="str">
        <x:f>'Source Data'!A456</x:f>
        <x:v>424590</x:v>
      </x:c>
      <x:c r="B456" s="2" t="str">
        <x:f>'Source Data'!B456</x:f>
        <x:v>Other Farm Product Raw Material Merchant Wholesalers</x:v>
      </x:c>
      <x:c r="C456" s="13" t="n">
        <x:f>LN('Source Data'!C456/'Source Data'!C$8)</x:f>
        <x:v>-10.117318202378211</x:v>
      </x:c>
      <x:c r="D456" s="13" t="n">
        <x:f>LN('Source Data'!D456/'Source Data'!D$8)</x:f>
        <x:v>-9.67781303082027</x:v>
      </x:c>
      <x:c r="E456" s="13" t="n">
        <x:f>LN('Source Data'!E456/'Source Data'!E$8)</x:f>
        <x:v>-9.175419370004494</x:v>
      </x:c>
      <x:c r="F456" s="13" t="n">
        <x:f>SLOPE(C456:E456,'Source Data'!C$7:E$7)</x:f>
        <x:v>0.47094941618685837</x:v>
      </x:c>
      <x:c r="G456" s="14" t="n">
        <x:f>EXP(F456)-1</x:f>
        <x:v>0.6015139749418053</x:v>
      </x:c>
      <x:c r="H456" s="8" t="n">
        <x:f>'Source Data'!F456</x:f>
        <x:v>4087</x:v>
      </x:c>
      <x:c r="I456" s="8" t="n">
        <x:f>'Source Data'!H456</x:f>
        <x:v>3302</x:v>
      </x:c>
      <x:c r="J456" s="14" t="n">
        <x:f>I456/H456-1</x:f>
        <x:v>-0.1920724247614387</x:v>
      </x:c>
      <x:c r="K456" s="8" t="n">
        <x:f>H456*('Source Data'!H$8/'Source Data'!F$8)*EXP(F456*('Source Data'!H$7-'Source Data'!F$7))</x:f>
        <x:v>27363.140606844663</x:v>
      </x:c>
      <x:c r="L456" s="14" t="n">
        <x:f>I456/K456-1</x:f>
        <x:v>-0.8793267173734425</x:v>
      </x:c>
      <x:c r="M456" s="8" t="n">
        <x:f>'Source Data'!G456</x:f>
        <x:v>3481</x:v>
      </x:c>
      <x:c r="N456" s="8" t="n">
        <x:f>M456*('Source Data'!H$8/'Source Data'!G$8)*EXP(F456*('Source Data'!H$7-'Source Data'!G$7))</x:f>
        <x:v>14522.297108600975</x:v>
      </x:c>
      <x:c r="O456" s="14" t="n">
        <x:f>I456/N456-1</x:f>
        <x:v>-0.7726255030242869</x:v>
      </x:c>
      <x:c r="P456" s="2" t="str"/>
    </x:row>
    <x:row r="457">
      <x:c r="A457" s="2" t="str">
        <x:f>'Source Data'!A457</x:f>
        <x:v>424610</x:v>
      </x:c>
      <x:c r="B457" s="2" t="str">
        <x:f>'Source Data'!B457</x:f>
        <x:v>Plastics Materials and Basic Forms and Shapes Merchant Wholesalers</x:v>
      </x:c>
      <x:c r="C457" s="13" t="n">
        <x:f>LN('Source Data'!C457/'Source Data'!C$8)</x:f>
        <x:v>-8.368947566266348</x:v>
      </x:c>
      <x:c r="D457" s="13" t="n">
        <x:f>LN('Source Data'!D457/'Source Data'!D$8)</x:f>
        <x:v>-8.182752388200296</x:v>
      </x:c>
      <x:c r="E457" s="13" t="n">
        <x:f>LN('Source Data'!E457/'Source Data'!E$8)</x:f>
        <x:v>-8.214829244473156</x:v>
      </x:c>
      <x:c r="F457" s="13" t="n">
        <x:f>SLOPE(C457:E457,'Source Data'!C$7:E$7)</x:f>
        <x:v>0.07705916089659581</x:v>
      </x:c>
      <x:c r="G457" s="14" t="n">
        <x:f>EXP(F457)-1</x:f>
        <x:v>0.08010597454031809</x:v>
      </x:c>
      <x:c r="H457" s="8" t="n">
        <x:f>'Source Data'!F457</x:f>
        <x:v>3767</x:v>
      </x:c>
      <x:c r="I457" s="8" t="n">
        <x:f>'Source Data'!H457</x:f>
        <x:v>3047</x:v>
      </x:c>
      <x:c r="J457" s="14" t="n">
        <x:f>I457/H457-1</x:f>
        <x:v>-0.19113352800637107</x:v>
      </x:c>
      <x:c r="K457" s="8" t="n">
        <x:f>H457*('Source Data'!H$8/'Source Data'!F$8)*EXP(F457*('Source Data'!H$7-'Source Data'!F$7))</x:f>
        <x:v>5217.944640865682</x:v>
      </x:c>
      <x:c r="L457" s="14" t="n">
        <x:f>I457/K457-1</x:f>
        <x:v>-0.41605359778318995</x:v>
      </x:c>
      <x:c r="M457" s="8" t="n">
        <x:f>'Source Data'!G457</x:f>
        <x:v>3490</x:v>
      </x:c>
      <x:c r="N457" s="8" t="n">
        <x:f>M457*('Source Data'!H$8/'Source Data'!G$8)*EXP(F457*('Source Data'!H$7-'Source Data'!G$7))</x:f>
        <x:v>4466.461844238296</x:v>
      </x:c>
      <x:c r="O457" s="14" t="n">
        <x:f>I457/N457-1</x:f>
        <x:v>-0.3178045382990099</x:v>
      </x:c>
      <x:c r="P457" s="2" t="str"/>
    </x:row>
    <x:row r="458">
      <x:c r="A458" s="2" t="str">
        <x:f>'Source Data'!A458</x:f>
        <x:v>424690</x:v>
      </x:c>
      <x:c r="B458" s="2" t="str">
        <x:f>'Source Data'!B458</x:f>
        <x:v>Other Chemical and Allied Products Merchant Wholesalers</x:v>
      </x:c>
      <x:c r="C458" s="13" t="n">
        <x:f>LN('Source Data'!C458/'Source Data'!C$8)</x:f>
        <x:v>-7.296930150828361</x:v>
      </x:c>
      <x:c r="D458" s="13" t="n">
        <x:f>LN('Source Data'!D458/'Source Data'!D$8)</x:f>
        <x:v>-7.208862703063027</x:v>
      </x:c>
      <x:c r="E458" s="13" t="n">
        <x:f>LN('Source Data'!E458/'Source Data'!E$8)</x:f>
        <x:v>-7.241540142467883</x:v>
      </x:c>
      <x:c r="F458" s="13" t="n">
        <x:f>SLOPE(C458:E458,'Source Data'!C$7:E$7)</x:f>
        <x:v>0.027695004180238847</x:v>
      </x:c>
      <x:c r="G458" s="14" t="n">
        <x:f>EXP(F458)-1</x:f>
        <x:v>0.02808207586369682</x:v>
      </x:c>
      <x:c r="H458" s="8" t="n">
        <x:f>'Source Data'!F458</x:f>
        <x:v>10201</x:v>
      </x:c>
      <x:c r="I458" s="8" t="n">
        <x:f>'Source Data'!H458</x:f>
        <x:v>9891</x:v>
      </x:c>
      <x:c r="J458" s="14" t="n">
        <x:f>I458/H458-1</x:f>
        <x:v>-0.03038917753161452</x:v>
      </x:c>
      <x:c r="K458" s="8" t="n">
        <x:f>H458*('Source Data'!H$8/'Source Data'!F$8)*EXP(F458*('Source Data'!H$7-'Source Data'!F$7))</x:f>
        <x:v>11598.24480233571</x:v>
      </x:c>
      <x:c r="L458" s="14" t="n">
        <x:f>I458/K458-1</x:f>
        <x:v>-0.1471985486969457</x:v>
      </x:c>
      <x:c r="M458" s="8" t="n">
        <x:f>'Source Data'!G458</x:f>
        <x:v>10026</x:v>
      </x:c>
      <x:c r="N458" s="8" t="n">
        <x:f>M458*('Source Data'!H$8/'Source Data'!G$8)*EXP(F458*('Source Data'!H$7-'Source Data'!G$7))</x:f>
        <x:v>11064.967916467058</x:v>
      </x:c>
      <x:c r="O458" s="14" t="n">
        <x:f>I458/N458-1</x:f>
        <x:v>-0.10609772439736953</x:v>
      </x:c>
      <x:c r="P458" s="2" t="str"/>
    </x:row>
    <x:row r="459">
      <x:c r="A459" s="2" t="str">
        <x:f>'Source Data'!A459</x:f>
        <x:v>424710</x:v>
      </x:c>
      <x:c r="B459" s="2" t="str">
        <x:f>'Source Data'!B459</x:f>
        <x:v>Petroleum Bulk Stations and Terminals</x:v>
      </x:c>
      <x:c r="C459" s="13" t="n">
        <x:f>LN('Source Data'!C459/'Source Data'!C$8)</x:f>
        <x:v>-8.46049409842137</x:v>
      </x:c>
      <x:c r="D459" s="13" t="n">
        <x:f>LN('Source Data'!D459/'Source Data'!D$8)</x:f>
        <x:v>-8.513707436791472</x:v>
      </x:c>
      <x:c r="E459" s="13" t="n">
        <x:f>LN('Source Data'!E459/'Source Data'!E$8)</x:f>
        <x:v>-8.530462274125991</x:v>
      </x:c>
      <x:c r="F459" s="13" t="n">
        <x:f>SLOPE(C459:E459,'Source Data'!C$7:E$7)</x:f>
        <x:v>-0.034984087852310886</x:v>
      </x:c>
      <x:c r="G459" s="14" t="n">
        <x:f>EXP(F459)-1</x:f>
        <x:v>-0.03437921876419603</x:v>
      </x:c>
      <x:c r="H459" s="8" t="n">
        <x:f>'Source Data'!F459</x:f>
        <x:v>3242</x:v>
      </x:c>
      <x:c r="I459" s="8" t="n">
        <x:f>'Source Data'!H459</x:f>
        <x:v>2466</x:v>
      </x:c>
      <x:c r="J459" s="14" t="n">
        <x:f>I459/H459-1</x:f>
        <x:v>-0.23935842072794566</x:v>
      </x:c>
      <x:c r="K459" s="8" t="n">
        <x:f>H459*('Source Data'!H$8/'Source Data'!F$8)*EXP(F459*('Source Data'!H$7-'Source Data'!F$7))</x:f>
        <x:v>2868.651552433087</x:v>
      </x:c>
      <x:c r="L459" s="14" t="n">
        <x:f>I459/K459-1</x:f>
        <x:v>-0.14036265648631063</x:v>
      </x:c>
      <x:c r="M459" s="8" t="n">
        <x:f>'Source Data'!G459</x:f>
        <x:v>3283</x:v>
      </x:c>
      <x:c r="N459" s="8" t="n">
        <x:f>M459*('Source Data'!H$8/'Source Data'!G$8)*EXP(F459*('Source Data'!H$7-'Source Data'!G$7))</x:f>
        <x:v>3002.132043823338</x:v>
      </x:c>
      <x:c r="O459" s="14" t="n">
        <x:f>I459/N459-1</x:f>
        <x:v>-0.1785837651366433</x:v>
      </x:c>
      <x:c r="P459" s="2" t="str"/>
    </x:row>
    <x:row r="460">
      <x:c r="A460" s="2" t="str">
        <x:f>'Source Data'!A460</x:f>
        <x:v>424720</x:v>
      </x:c>
      <x:c r="B460" s="2" t="str">
        <x:f>'Source Data'!B460</x:f>
        <x:v>Petroleum and Petroleum Products Merchant Wholesalers (except Bulk Stations and Terminals)</x:v>
      </x:c>
      <x:c r="C460" s="13" t="n">
        <x:f>LN('Source Data'!C460/'Source Data'!C$8)</x:f>
        <x:v>-8.05052125908068</x:v>
      </x:c>
      <x:c r="D460" s="13" t="n">
        <x:f>LN('Source Data'!D460/'Source Data'!D$8)</x:f>
        <x:v>-7.998596529455154</x:v>
      </x:c>
      <x:c r="E460" s="13" t="n">
        <x:f>LN('Source Data'!E460/'Source Data'!E$8)</x:f>
        <x:v>-7.983327376490332</x:v>
      </x:c>
      <x:c r="F460" s="13" t="n">
        <x:f>SLOPE(C460:E460,'Source Data'!C$7:E$7)</x:f>
        <x:v>0.03359694129517399</x:v>
      </x:c>
      <x:c r="G460" s="14" t="n">
        <x:f>EXP(F460)-1</x:f>
        <x:v>0.03416769242261131</x:v>
      </x:c>
      <x:c r="H460" s="8" t="n">
        <x:f>'Source Data'!F460</x:f>
        <x:v>5433</x:v>
      </x:c>
      <x:c r="I460" s="8" t="n">
        <x:f>'Source Data'!H460</x:f>
        <x:v>4675</x:v>
      </x:c>
      <x:c r="J460" s="14" t="n">
        <x:f>I460/H460-1</x:f>
        <x:v>-0.13951776182587894</x:v>
      </x:c>
      <x:c r="K460" s="8" t="n">
        <x:f>H460*('Source Data'!H$8/'Source Data'!F$8)*EXP(F460*('Source Data'!H$7-'Source Data'!F$7))</x:f>
        <x:v>6324.729316256597</x:v>
      </x:c>
      <x:c r="L460" s="14" t="n">
        <x:f>I460/K460-1</x:f>
        <x:v>-0.2608379321493268</x:v>
      </x:c>
      <x:c r="M460" s="8" t="n">
        <x:f>'Source Data'!G460</x:f>
        <x:v>5566</x:v>
      </x:c>
      <x:c r="N460" s="8" t="n">
        <x:f>M460*('Source Data'!H$8/'Source Data'!G$8)*EXP(F460*('Source Data'!H$7-'Source Data'!G$7))</x:f>
        <x:v>6252.521544809479</x:v>
      </x:c>
      <x:c r="O460" s="14" t="n">
        <x:f>I460/N460-1</x:f>
        <x:v>-0.2523016567802242</x:v>
      </x:c>
      <x:c r="P460" s="2" t="str"/>
    </x:row>
    <x:row r="461">
      <x:c r="A461" s="2" t="str">
        <x:f>'Source Data'!A461</x:f>
        <x:v>424810</x:v>
      </x:c>
      <x:c r="B461" s="2" t="str">
        <x:f>'Source Data'!B461</x:f>
        <x:v>Beer and Ale Merchant Wholesalers</x:v>
      </x:c>
      <x:c r="C461" s="13" t="n">
        <x:f>LN('Source Data'!C461/'Source Data'!C$8)</x:f>
        <x:v>-7.2974465997372215</x:v>
      </x:c>
      <x:c r="D461" s="13" t="n">
        <x:f>LN('Source Data'!D461/'Source Data'!D$8)</x:f>
        <x:v>-7.285091898918495</x:v>
      </x:c>
      <x:c r="E461" s="13" t="n">
        <x:f>LN('Source Data'!E461/'Source Data'!E$8)</x:f>
        <x:v>-7.309775988826313</x:v>
      </x:c>
      <x:c r="F461" s="13" t="n">
        <x:f>SLOPE(C461:E461,'Source Data'!C$7:E$7)</x:f>
        <x:v>-0.0061646945445459345</x:v>
      </x:c>
      <x:c r="G461" s="14" t="n">
        <x:f>EXP(F461)-1</x:f>
        <x:v>-0.006145731801647902</x:v>
      </x:c>
      <x:c r="H461" s="8" t="n">
        <x:f>'Source Data'!F461</x:f>
        <x:v>10059</x:v>
      </x:c>
      <x:c r="I461" s="8" t="n">
        <x:f>'Source Data'!H461</x:f>
        <x:v>10425</x:v>
      </x:c>
      <x:c r="J461" s="14" t="n">
        <x:f>I461/H461-1</x:f>
        <x:v>0.03638532657321791</x:v>
      </x:c>
      <x:c r="K461" s="8" t="n">
        <x:f>H461*('Source Data'!H$8/'Source Data'!F$8)*EXP(F461*('Source Data'!H$7-'Source Data'!F$7))</x:f>
        <x:v>9988.125956020973</x:v>
      </x:c>
      <x:c r="L461" s="14" t="n">
        <x:f>I461/K461-1</x:f>
        <x:v>0.04373934068339147</x:v>
      </x:c>
      <x:c r="M461" s="8" t="n">
        <x:f>'Source Data'!G461</x:f>
        <x:v>10209</x:v>
      </x:c>
      <x:c r="N461" s="8" t="n">
        <x:f>M461*('Source Data'!H$8/'Source Data'!G$8)*EXP(F461*('Source Data'!H$7-'Source Data'!G$7))</x:f>
        <x:v>10178.655636500465</x:v>
      </x:c>
      <x:c r="O461" s="14" t="n">
        <x:f>I461/N461-1</x:f>
        <x:v>0.02420205303106515</x:v>
      </x:c>
      <x:c r="P461" s="2" t="str"/>
    </x:row>
    <x:row r="462">
      <x:c r="A462" s="2" t="str">
        <x:f>'Source Data'!A462</x:f>
        <x:v>424820</x:v>
      </x:c>
      <x:c r="B462" s="2" t="str">
        <x:f>'Source Data'!B462</x:f>
        <x:v>Wine and Distilled Alcoholic Beverage Merchant Wholesalers</x:v>
      </x:c>
      <x:c r="C462" s="13" t="n">
        <x:f>LN('Source Data'!C462/'Source Data'!C$8)</x:f>
        <x:v>-7.102616217035274</x:v>
      </x:c>
      <x:c r="D462" s="13" t="n">
        <x:f>LN('Source Data'!D462/'Source Data'!D$8)</x:f>
        <x:v>-7.128350802179919</x:v>
      </x:c>
      <x:c r="E462" s="13" t="n">
        <x:f>LN('Source Data'!E462/'Source Data'!E$8)</x:f>
        <x:v>-7.1452750970394865</x:v>
      </x:c>
      <x:c r="F462" s="13" t="n">
        <x:f>SLOPE(C462:E462,'Source Data'!C$7:E$7)</x:f>
        <x:v>-0.02132944000210646</x:v>
      </x:c>
      <x:c r="G462" s="14" t="n">
        <x:f>EXP(F462)-1</x:f>
        <x:v>-0.021103576196458418</x:v>
      </x:c>
      <x:c r="H462" s="8" t="n">
        <x:f>'Source Data'!F462</x:f>
        <x:v>10189</x:v>
      </x:c>
      <x:c r="I462" s="8" t="n">
        <x:f>'Source Data'!H462</x:f>
        <x:v>8801</x:v>
      </x:c>
      <x:c r="J462" s="14" t="n">
        <x:f>I462/H462-1</x:f>
        <x:v>-0.1362253410540779</x:v>
      </x:c>
      <x:c r="K462" s="8" t="n">
        <x:f>H462*('Source Data'!H$8/'Source Data'!F$8)*EXP(F462*('Source Data'!H$7-'Source Data'!F$7))</x:f>
        <x:v>9521.752824565527</x:v>
      </x:c>
      <x:c r="L462" s="14" t="n">
        <x:f>I462/K462-1</x:f>
        <x:v>-0.07569539325847963</x:v>
      </x:c>
      <x:c r="M462" s="8" t="n">
        <x:f>'Source Data'!G462</x:f>
        <x:v>10398</x:v>
      </x:c>
      <x:c r="N462" s="8" t="n">
        <x:f>M462*('Source Data'!H$8/'Source Data'!G$8)*EXP(F462*('Source Data'!H$7-'Source Data'!G$7))</x:f>
        <x:v>9906.018507940315</x:v>
      </x:c>
      <x:c r="O462" s="14" t="n">
        <x:f>I462/N462-1</x:f>
        <x:v>-0.11155021637144835</x:v>
      </x:c>
      <x:c r="P462" s="2" t="str"/>
    </x:row>
    <x:row r="463">
      <x:c r="A463" s="2" t="str">
        <x:f>'Source Data'!A463</x:f>
        <x:v>424910</x:v>
      </x:c>
      <x:c r="B463" s="2" t="str">
        <x:f>'Source Data'!B463</x:f>
        <x:v>Farm Supplies Merchant Wholesalers</x:v>
      </x:c>
      <x:c r="C463" s="13" t="n">
        <x:f>LN('Source Data'!C463/'Source Data'!C$8)</x:f>
        <x:v>-7.2785134240421305</x:v>
      </x:c>
      <x:c r="D463" s="13" t="n">
        <x:f>LN('Source Data'!D463/'Source Data'!D$8)</x:f>
        <x:v>-7.257541947150265</x:v>
      </x:c>
      <x:c r="E463" s="13" t="n">
        <x:f>LN('Source Data'!E463/'Source Data'!E$8)</x:f>
        <x:v>-7.280573220758056</x:v>
      </x:c>
      <x:c r="F463" s="13" t="n">
        <x:f>SLOPE(C463:E463,'Source Data'!C$7:E$7)</x:f>
        <x:v>-0.001029898357962633</x:v>
      </x:c>
      <x:c r="G463" s="14" t="n">
        <x:f>EXP(F463)-1</x:f>
        <x:v>-0.0010293681946691446</x:v>
      </x:c>
      <x:c r="H463" s="8" t="n">
        <x:f>'Source Data'!F463</x:f>
        <x:v>10078</x:v>
      </x:c>
      <x:c r="I463" s="8" t="n">
        <x:f>'Source Data'!H463</x:f>
        <x:v>8706</x:v>
      </x:c>
      <x:c r="J463" s="14" t="n">
        <x:f>I463/H463-1</x:f>
        <x:v>-0.13613812264338165</x:v>
      </x:c>
      <x:c r="K463" s="8" t="n">
        <x:f>H463*('Source Data'!H$8/'Source Data'!F$8)*EXP(F463*('Source Data'!H$7-'Source Data'!F$7))</x:f>
        <x:v>10214.652835394932</x:v>
      </x:c>
      <x:c r="L463" s="14" t="n">
        <x:f>I463/K463-1</x:f>
        <x:v>-0.14769496914934588</x:v>
      </x:c>
      <x:c r="M463" s="8" t="n">
        <x:f>'Source Data'!G463</x:f>
        <x:v>9725</x:v>
      </x:c>
      <x:c r="N463" s="8" t="n">
        <x:f>M463*('Source Data'!H$8/'Source Data'!G$8)*EXP(F463*('Source Data'!H$7-'Source Data'!G$7))</x:f>
        <x:v>9846.61298831204</x:v>
      </x:c>
      <x:c r="O463" s="14" t="n">
        <x:f>I463/N463-1</x:f>
        <x:v>-0.11583810490632163</x:v>
      </x:c>
      <x:c r="P463" s="2" t="str"/>
    </x:row>
    <x:row r="464">
      <x:c r="A464" s="2" t="str">
        <x:f>'Source Data'!A464</x:f>
        <x:v>424920</x:v>
      </x:c>
      <x:c r="B464" s="2" t="str">
        <x:f>'Source Data'!B464</x:f>
        <x:v>Book, Periodical, and Newspaper Merchant Wholesalers</x:v>
      </x:c>
      <x:c r="C464" s="13" t="n">
        <x:f>LN('Source Data'!C464/'Source Data'!C$8)</x:f>
        <x:v>-8.459172657859073</x:v>
      </x:c>
      <x:c r="D464" s="13" t="n">
        <x:f>LN('Source Data'!D464/'Source Data'!D$8)</x:f>
        <x:v>-8.560811905978946</x:v>
      </x:c>
      <x:c r="E464" s="13" t="n">
        <x:f>LN('Source Data'!E464/'Source Data'!E$8)</x:f>
        <x:v>-8.661613118100366</x:v>
      </x:c>
      <x:c r="F464" s="13" t="n">
        <x:f>SLOPE(C464:E464,'Source Data'!C$7:E$7)</x:f>
        <x:v>-0.10122023012064663</x:v>
      </x:c>
      <x:c r="G464" s="14" t="n">
        <x:f>EXP(F464)-1</x:f>
        <x:v>-0.09626601847566763</x:v>
      </x:c>
      <x:c r="H464" s="8" t="n">
        <x:f>'Source Data'!F464</x:f>
        <x:v>1203</x:v>
      </x:c>
      <x:c r="I464" s="8" t="n">
        <x:f>'Source Data'!H464</x:f>
        <x:v>932</x:v>
      </x:c>
      <x:c r="J464" s="14" t="n">
        <x:f>I464/H464-1</x:f>
        <x:v>-0.22527015793848715</x:v>
      </x:c>
      <x:c r="K464" s="8" t="n">
        <x:f>H464*('Source Data'!H$8/'Source Data'!F$8)*EXP(F464*('Source Data'!H$7-'Source Data'!F$7))</x:f>
        <x:v>816.707326017115</x:v>
      </x:c>
      <x:c r="L464" s="14" t="n">
        <x:f>I464/K464-1</x:f>
        <x:v>0.14116767452685863</x:v>
      </x:c>
      <x:c r="M464" s="8" t="n">
        <x:f>'Source Data'!G464</x:f>
        <x:v>1245</x:v>
      </x:c>
      <x:c r="N464" s="8" t="n">
        <x:f>M464*('Source Data'!H$8/'Source Data'!G$8)*EXP(F464*('Source Data'!H$7-'Source Data'!G$7))</x:f>
        <x:v>933.3193834711213</x:v>
      </x:c>
      <x:c r="O464" s="14" t="n">
        <x:f>I464/N464-1</x:f>
        <x:v>-0.001413646276384406</x:v>
      </x:c>
      <x:c r="P464" s="2" t="str"/>
    </x:row>
    <x:row r="465">
      <x:c r="A465" s="2" t="str">
        <x:f>'Source Data'!A465</x:f>
        <x:v>424930</x:v>
      </x:c>
      <x:c r="B465" s="2" t="str">
        <x:f>'Source Data'!B465</x:f>
        <x:v>Flower, Nursery Stock, and Florists' Supplies Merchant Wholesalers</x:v>
      </x:c>
      <x:c r="C465" s="13" t="n">
        <x:f>LN('Source Data'!C465/'Source Data'!C$8)</x:f>
        <x:v>-7.516105954170618</x:v>
      </x:c>
      <x:c r="D465" s="13" t="n">
        <x:f>LN('Source Data'!D465/'Source Data'!D$8)</x:f>
        <x:v>-7.446015931746454</x:v>
      </x:c>
      <x:c r="E465" s="13" t="n">
        <x:f>LN('Source Data'!E465/'Source Data'!E$8)</x:f>
        <x:v>-7.4733295183956825</x:v>
      </x:c>
      <x:c r="F465" s="13" t="n">
        <x:f>SLOPE(C465:E465,'Source Data'!C$7:E$7)</x:f>
        <x:v>0.021388217887467587</x:v>
      </x:c>
      <x:c r="G465" s="14" t="n">
        <x:f>EXP(F465)-1</x:f>
        <x:v>0.021618585270795077</x:v>
      </x:c>
      <x:c r="H465" s="8" t="n">
        <x:f>'Source Data'!F465</x:f>
        <x:v>9039</x:v>
      </x:c>
      <x:c r="I465" s="8" t="n">
        <x:f>'Source Data'!H465</x:f>
        <x:v>8006</x:v>
      </x:c>
      <x:c r="J465" s="14" t="n">
        <x:f>I465/H465-1</x:f>
        <x:v>-0.11428255337979865</x:v>
      </x:c>
      <x:c r="K465" s="8" t="n">
        <x:f>H465*('Source Data'!H$8/'Source Data'!F$8)*EXP(F465*('Source Data'!H$7-'Source Data'!F$7))</x:f>
        <x:v>10021.06548132537</x:v>
      </x:c>
      <x:c r="L465" s="14" t="n">
        <x:f>I465/K465-1</x:f>
        <x:v>-0.20108295720455271</x:v>
      </x:c>
      <x:c r="M465" s="8" t="n">
        <x:f>'Source Data'!G465</x:f>
        <x:v>8426</x:v>
      </x:c>
      <x:c r="N465" s="8" t="n">
        <x:f>M465*('Source Data'!H$8/'Source Data'!G$8)*EXP(F465*('Source Data'!H$7-'Source Data'!G$7))</x:f>
        <x:v>9124.874626248009</x:v>
      </x:c>
      <x:c r="O465" s="14" t="n">
        <x:f>I465/N465-1</x:f>
        <x:v>-0.12261808211912617</x:v>
      </x:c>
      <x:c r="P465" s="2" t="str"/>
    </x:row>
    <x:row r="466">
      <x:c r="A466" s="2" t="str">
        <x:f>'Source Data'!A466</x:f>
        <x:v>424940</x:v>
      </x:c>
      <x:c r="B466" s="2" t="str">
        <x:f>'Source Data'!B466</x:f>
        <x:v>Tobacco Product and Electronic Cigarette Merchant Wholesalers</x:v>
      </x:c>
      <x:c r="C466" s="13" t="n">
        <x:f>LN('Source Data'!C466/'Source Data'!C$8)</x:f>
        <x:v>-9.503491864160521</x:v>
      </x:c>
      <x:c r="D466" s="13" t="n">
        <x:f>LN('Source Data'!D466/'Source Data'!D$8)</x:f>
        <x:v>-9.3048951742786</x:v>
      </x:c>
      <x:c r="E466" s="13" t="n">
        <x:f>LN('Source Data'!E466/'Source Data'!E$8)</x:f>
        <x:v>-9.122343110560772</x:v>
      </x:c>
      <x:c r="F466" s="13" t="n">
        <x:f>SLOPE(C466:E466,'Source Data'!C$7:E$7)</x:f>
        <x:v>0.19057437679987466</x:v>
      </x:c>
      <x:c r="G466" s="14" t="n">
        <x:f>EXP(F466)-1</x:f>
        <x:v>0.20994436208058587</x:v>
      </x:c>
      <x:c r="H466" s="8" t="n">
        <x:f>'Source Data'!F466</x:f>
        <x:v>1560</x:v>
      </x:c>
      <x:c r="I466" s="8" t="n">
        <x:f>'Source Data'!H466</x:f>
        <x:v>1500</x:v>
      </x:c>
      <x:c r="J466" s="14" t="n">
        <x:f>I466/H466-1</x:f>
        <x:v>-0.038461538461538436</x:v>
      </x:c>
      <x:c r="K466" s="8" t="n">
        <x:f>H466*('Source Data'!H$8/'Source Data'!F$8)*EXP(F466*('Source Data'!H$7-'Source Data'!F$7))</x:f>
        <x:v>3402.7071437561035</x:v>
      </x:c>
      <x:c r="L466" s="14" t="n">
        <x:f>I466/K466-1</x:f>
        <x:v>-0.5591745229228826</x:v>
      </x:c>
      <x:c r="M466" s="8" t="n">
        <x:f>'Source Data'!G466</x:f>
        <x:v>1555</x:v>
      </x:c>
      <x:c r="N466" s="8" t="n">
        <x:f>M466*('Source Data'!H$8/'Source Data'!G$8)*EXP(F466*('Source Data'!H$7-'Source Data'!G$7))</x:f>
        <x:v>2797.4716261995723</x:v>
      </x:c>
      <x:c r="O466" s="14" t="n">
        <x:f>I466/N466-1</x:f>
        <x:v>-0.4638015320863921</x:v>
      </x:c>
      <x:c r="P466" s="2" t="str"/>
    </x:row>
    <x:row r="467">
      <x:c r="A467" s="2" t="str">
        <x:f>'Source Data'!A467</x:f>
        <x:v>424950</x:v>
      </x:c>
      <x:c r="B467" s="2" t="str">
        <x:f>'Source Data'!B467</x:f>
        <x:v>Paint, Varnish, and Supplies Merchant Wholesalers</x:v>
      </x:c>
      <x:c r="C467" s="13" t="n">
        <x:f>LN('Source Data'!C467/'Source Data'!C$8)</x:f>
        <x:v>-8.457193765392711</x:v>
      </x:c>
      <x:c r="D467" s="13" t="n">
        <x:f>LN('Source Data'!D467/'Source Data'!D$8)</x:f>
        <x:v>-8.426298501937739</x:v>
      </x:c>
      <x:c r="E467" s="13" t="n">
        <x:f>LN('Source Data'!E467/'Source Data'!E$8)</x:f>
        <x:v>-8.470979925557273</x:v>
      </x:c>
      <x:c r="F467" s="13" t="n">
        <x:f>SLOPE(C467:E467,'Source Data'!C$7:E$7)</x:f>
        <x:v>-0.006893080082281067</x:v>
      </x:c>
      <x:c r="G467" s="14" t="n">
        <x:f>EXP(F467)-1</x:f>
        <x:v>-0.006869377298768686</x:v>
      </x:c>
      <x:c r="H467" s="8" t="n">
        <x:f>'Source Data'!F467</x:f>
        <x:v>2783</x:v>
      </x:c>
      <x:c r="I467" s="8" t="n">
        <x:f>'Source Data'!H467</x:f>
        <x:v>2710</x:v>
      </x:c>
      <x:c r="J467" s="14" t="n">
        <x:f>I467/H467-1</x:f>
        <x:v>-0.026230686309737683</x:v>
      </x:c>
      <x:c r="K467" s="8" t="n">
        <x:f>H467*('Source Data'!H$8/'Source Data'!F$8)*EXP(F467*('Source Data'!H$7-'Source Data'!F$7))</x:f>
        <x:v>2755.351904045481</x:v>
      </x:c>
      <x:c r="L467" s="14" t="n">
        <x:f>I467/K467-1</x:f>
        <x:v>-0.016459568731999052</x:v>
      </x:c>
      <x:c r="M467" s="8" t="n">
        <x:f>'Source Data'!G467</x:f>
        <x:v>2697</x:v>
      </x:c>
      <x:c r="N467" s="8" t="n">
        <x:f>M467*('Source Data'!H$8/'Source Data'!G$8)*EXP(F467*('Source Data'!H$7-'Source Data'!G$7))</x:f>
        <x:v>2683.114231245065</x:v>
      </x:c>
      <x:c r="O467" s="14" t="n">
        <x:f>I467/N467-1</x:f>
        <x:v>0.01002035934282941</x:v>
      </x:c>
      <x:c r="P467" s="2" t="str"/>
    </x:row>
    <x:row r="468">
      <x:c r="A468" s="2" t="str">
        <x:f>'Source Data'!A468</x:f>
        <x:v>424990</x:v>
      </x:c>
      <x:c r="B468" s="2" t="str">
        <x:f>'Source Data'!B468</x:f>
        <x:v>Other Miscellaneous Nondurable Goods Merchant Wholesalers</x:v>
      </x:c>
      <x:c r="C468" s="13" t="n">
        <x:f>LN('Source Data'!C468/'Source Data'!C$8)</x:f>
        <x:v>-6.429435778929697</x:v>
      </x:c>
      <x:c r="D468" s="13" t="n">
        <x:f>LN('Source Data'!D468/'Source Data'!D$8)</x:f>
        <x:v>-6.452972497495746</x:v>
      </x:c>
      <x:c r="E468" s="13" t="n">
        <x:f>LN('Source Data'!E468/'Source Data'!E$8)</x:f>
        <x:v>-6.508209189397971</x:v>
      </x:c>
      <x:c r="F468" s="13" t="n">
        <x:f>SLOPE(C468:E468,'Source Data'!C$7:E$7)</x:f>
        <x:v>-0.03938670523413679</x:v>
      </x:c>
      <x:c r="G468" s="14" t="n">
        <x:f>EXP(F468)-1</x:f>
        <x:v>-0.03862113298551184</x:v>
      </x:c>
      <x:c r="H468" s="8" t="n">
        <x:f>'Source Data'!F468</x:f>
        <x:v>20146</x:v>
      </x:c>
      <x:c r="I468" s="8" t="n">
        <x:f>'Source Data'!H468</x:f>
        <x:v>16686</x:v>
      </x:c>
      <x:c r="J468" s="14" t="n">
        <x:f>I468/H468-1</x:f>
        <x:v>-0.17174625235778818</x:v>
      </x:c>
      <x:c r="K468" s="8" t="n">
        <x:f>H468*('Source Data'!H$8/'Source Data'!F$8)*EXP(F468*('Source Data'!H$7-'Source Data'!F$7))</x:f>
        <x:v>17514.812328366606</x:v>
      </x:c>
      <x:c r="L468" s="14" t="n">
        <x:f>I468/K468-1</x:f>
        <x:v>-0.047320651390839075</x:v>
      </x:c>
      <x:c r="M468" s="8" t="n">
        <x:f>'Source Data'!G468</x:f>
        <x:v>19117</x:v>
      </x:c>
      <x:c r="N468" s="8" t="n">
        <x:f>M468*('Source Data'!H$8/'Source Data'!G$8)*EXP(F468*('Source Data'!H$7-'Source Data'!G$7))</x:f>
        <x:v>17252.123173242504</x:v>
      </x:c>
      <x:c r="O468" s="14" t="n">
        <x:f>I468/N468-1</x:f>
        <x:v>-0.03281469576570972</x:v>
      </x:c>
      <x:c r="P468" s="2" t="str"/>
    </x:row>
    <x:row r="469">
      <x:c r="A469" s="2" t="str">
        <x:f>'Source Data'!A469</x:f>
        <x:v>425120</x:v>
      </x:c>
      <x:c r="B469" s="2" t="str">
        <x:f>'Source Data'!B469</x:f>
        <x:v>Wholesale Trade Agents and Brokers</x:v>
      </x:c>
      <x:c r="C469" s="13" t="n">
        <x:f>LN('Source Data'!C469/'Source Data'!C$8)</x:f>
        <x:v>-5.0681178782016465</x:v>
      </x:c>
      <x:c r="D469" s="13" t="n">
        <x:f>LN('Source Data'!D469/'Source Data'!D$8)</x:f>
        <x:v>-5.790839142570739</x:v>
      </x:c>
      <x:c r="E469" s="13" t="n">
        <x:f>LN('Source Data'!E469/'Source Data'!E$8)</x:f>
        <x:v>-5.828262772103075</x:v>
      </x:c>
      <x:c r="F469" s="13" t="n">
        <x:f>SLOPE(C469:E469,'Source Data'!C$7:E$7)</x:f>
        <x:v>-0.3800724469507144</x:v>
      </x:c>
      <x:c r="G469" s="14" t="n">
        <x:f>EXP(F469)-1</x:f>
        <x:v>-0.3161881326668521</x:v>
      </x:c>
      <x:c r="H469" s="8" t="n">
        <x:f>'Source Data'!F469</x:f>
        <x:v>41708</x:v>
      </x:c>
      <x:c r="I469" s="8" t="n">
        <x:f>'Source Data'!H469</x:f>
        <x:v>29962</x:v>
      </x:c>
      <x:c r="J469" s="14" t="n">
        <x:f>I469/H469-1</x:f>
        <x:v>-0.2816246283686583</x:v>
      </x:c>
      <x:c r="K469" s="8" t="n">
        <x:f>H469*('Source Data'!H$8/'Source Data'!F$8)*EXP(F469*('Source Data'!H$7-'Source Data'!F$7))</x:f>
        <x:v>9281.203020477822</x:v>
      </x:c>
      <x:c r="L469" s="14" t="n">
        <x:f>I469/K469-1</x:f>
        <x:v>2.228245296853497</x:v>
      </x:c>
      <x:c r="M469" s="8" t="n">
        <x:f>'Source Data'!G469</x:f>
        <x:v>40108</x:v>
      </x:c>
      <x:c r="N469" s="8" t="n">
        <x:f>M469*('Source Data'!H$8/'Source Data'!G$8)*EXP(F469*('Source Data'!H$7-'Source Data'!G$7))</x:f>
        <x:v>13025.068117486711</x:v>
      </x:c>
      <x:c r="O469" s="14" t="n">
        <x:f>I469/N469-1</x:f>
        <x:v>1.3003334592757128</x:v>
      </x:c>
      <x:c r="P469" s="2" t="str"/>
    </x:row>
    <x:row r="470">
      <x:c r="A470" s="2" t="str">
        <x:f>'Source Data'!A470</x:f>
        <x:v>441110</x:v>
      </x:c>
      <x:c r="B470" s="2" t="str">
        <x:f>'Source Data'!B470</x:f>
        <x:v>New Car Dealers</x:v>
      </x:c>
      <x:c r="C470" s="13" t="n">
        <x:f>LN('Source Data'!C470/'Source Data'!C$8)</x:f>
        <x:v>-4.793471611720978</x:v>
      </x:c>
      <x:c r="D470" s="13" t="n">
        <x:f>LN('Source Data'!D470/'Source Data'!D$8)</x:f>
        <x:v>-4.7936721876004595</x:v>
      </x:c>
      <x:c r="E470" s="13" t="n">
        <x:f>LN('Source Data'!E470/'Source Data'!E$8)</x:f>
        <x:v>-4.833343111118722</x:v>
      </x:c>
      <x:c r="F470" s="13" t="n">
        <x:f>SLOPE(C470:E470,'Source Data'!C$7:E$7)</x:f>
        <x:v>-0.01993574969887213</x:v>
      </x:c>
      <x:c r="G470" s="14" t="n">
        <x:f>EXP(F470)-1</x:f>
        <x:v>-0.019738346610096658</x:v>
      </x:c>
      <x:c r="H470" s="8" t="n">
        <x:f>'Source Data'!F470</x:f>
        <x:v>108185</x:v>
      </x:c>
      <x:c r="I470" s="8" t="n">
        <x:f>'Source Data'!H470</x:f>
        <x:v>109519</x:v>
      </x:c>
      <x:c r="J470" s="14" t="n">
        <x:f>I470/H470-1</x:f>
        <x:v>0.012330729768452287</x:v>
      </x:c>
      <x:c r="K470" s="8" t="n">
        <x:f>H470*('Source Data'!H$8/'Source Data'!F$8)*EXP(F470*('Source Data'!H$7-'Source Data'!F$7))</x:f>
        <x:v>101665.47137905678</x:v>
      </x:c>
      <x:c r="L470" s="14" t="n">
        <x:f>I470/K470-1</x:f>
        <x:v>0.07724873070879257</x:v>
      </x:c>
      <x:c r="M470" s="8" t="n">
        <x:f>'Source Data'!G470</x:f>
        <x:v>110324</x:v>
      </x:c>
      <x:c r="N470" s="8" t="n">
        <x:f>M470*('Source Data'!H$8/'Source Data'!G$8)*EXP(F470*('Source Data'!H$7-'Source Data'!G$7))</x:f>
        <x:v>105544.38596175272</x:v>
      </x:c>
      <x:c r="O470" s="14" t="n">
        <x:f>I470/N470-1</x:f>
        <x:v>0.03765822314497713</x:v>
      </x:c>
      <x:c r="P470" s="2" t="str"/>
    </x:row>
    <x:row r="471">
      <x:c r="A471" s="2" t="str">
        <x:f>'Source Data'!A471</x:f>
        <x:v>441120</x:v>
      </x:c>
      <x:c r="B471" s="2" t="str">
        <x:f>'Source Data'!B471</x:f>
        <x:v>Used Car Dealers</x:v>
      </x:c>
      <x:c r="C471" s="13" t="n">
        <x:f>LN('Source Data'!C471/'Source Data'!C$8)</x:f>
        <x:v>-7.077345174875378</x:v>
      </x:c>
      <x:c r="D471" s="13" t="n">
        <x:f>LN('Source Data'!D471/'Source Data'!D$8)</x:f>
        <x:v>-7.04839338599008</x:v>
      </x:c>
      <x:c r="E471" s="13" t="n">
        <x:f>LN('Source Data'!E471/'Source Data'!E$8)</x:f>
        <x:v>-7.060595651489938</x:v>
      </x:c>
      <x:c r="F471" s="13" t="n">
        <x:f>SLOPE(C471:E471,'Source Data'!C$7:E$7)</x:f>
        <x:v>0.008374761692720334</x:v>
      </x:c>
      <x:c r="G471" s="14" t="n">
        <x:f>EXP(F471)-1</x:f>
        <x:v>0.00840992811099861</x:v>
      </x:c>
      <x:c r="H471" s="8" t="n">
        <x:f>'Source Data'!F471</x:f>
        <x:v>14419</x:v>
      </x:c>
      <x:c r="I471" s="8" t="n">
        <x:f>'Source Data'!H471</x:f>
        <x:v>12405</x:v>
      </x:c>
      <x:c r="J471" s="14" t="n">
        <x:f>I471/H471-1</x:f>
        <x:v>-0.13967681531312848</x:v>
      </x:c>
      <x:c r="K471" s="8" t="n">
        <x:f>H471*('Source Data'!H$8/'Source Data'!F$8)*EXP(F471*('Source Data'!H$7-'Source Data'!F$7))</x:f>
        <x:v>15174.764732399359</x:v>
      </x:c>
      <x:c r="L471" s="14" t="n">
        <x:f>I471/K471-1</x:f>
        <x:v>-0.18252439370514162</x:v>
      </x:c>
      <x:c r="M471" s="8" t="n">
        <x:f>'Source Data'!G471</x:f>
        <x:v>13040</x:v>
      </x:c>
      <x:c r="N471" s="8" t="n">
        <x:f>M471*('Source Data'!H$8/'Source Data'!G$8)*EXP(F471*('Source Data'!H$7-'Source Data'!G$7))</x:f>
        <x:v>13580.883570863345</x:v>
      </x:c>
      <x:c r="O471" s="14" t="n">
        <x:f>I471/N471-1</x:f>
        <x:v>-0.08658373107520823</x:v>
      </x:c>
      <x:c r="P471" s="2" t="str"/>
    </x:row>
    <x:row r="472">
      <x:c r="A472" s="2" t="str">
        <x:f>'Source Data'!A472</x:f>
        <x:v>441210</x:v>
      </x:c>
      <x:c r="B472" s="2" t="str">
        <x:f>'Source Data'!B472</x:f>
        <x:v>Recreational Vehicle Dealers</x:v>
      </x:c>
      <x:c r="C472" s="13" t="n">
        <x:f>LN('Source Data'!C472/'Source Data'!C$8)</x:f>
        <x:v>-8.165483572898584</x:v>
      </x:c>
      <x:c r="D472" s="13" t="n">
        <x:f>LN('Source Data'!D472/'Source Data'!D$8)</x:f>
        <x:v>-8.120818234678024</x:v>
      </x:c>
      <x:c r="E472" s="13" t="n">
        <x:f>LN('Source Data'!E472/'Source Data'!E$8)</x:f>
        <x:v>-8.0984543680886</x:v>
      </x:c>
      <x:c r="F472" s="13" t="n">
        <x:f>SLOPE(C472:E472,'Source Data'!C$7:E$7)</x:f>
        <x:v>0.03351460240499193</x:v>
      </x:c>
      <x:c r="G472" s="14" t="n">
        <x:f>EXP(F472)-1</x:f>
        <x:v>0.034082543708128465</x:v>
      </x:c>
      <x:c r="H472" s="8" t="n">
        <x:f>'Source Data'!F472</x:f>
        <x:v>4607</x:v>
      </x:c>
      <x:c r="I472" s="8" t="n">
        <x:f>'Source Data'!H472</x:f>
        <x:v>3448</x:v>
      </x:c>
      <x:c r="J472" s="14" t="n">
        <x:f>I472/H472-1</x:f>
        <x:v>-0.25157369220751036</x:v>
      </x:c>
      <x:c r="K472" s="8" t="n">
        <x:f>H472*('Source Data'!H$8/'Source Data'!F$8)*EXP(F472*('Source Data'!H$7-'Source Data'!F$7))</x:f>
        <x:v>5361.390165407401</x:v>
      </x:c>
      <x:c r="L472" s="14" t="n">
        <x:f>I472/K472-1</x:f>
        <x:v>-0.35688321617645336</x:v>
      </x:c>
      <x:c r="M472" s="8" t="n">
        <x:f>'Source Data'!G472</x:f>
        <x:v>4466</x:v>
      </x:c>
      <x:c r="N472" s="8" t="n">
        <x:f>M472*('Source Data'!H$8/'Source Data'!G$8)*EXP(F472*('Source Data'!H$7-'Source Data'!G$7))</x:f>
        <x:v>5015.606258792467</x:v>
      </x:c>
      <x:c r="O472" s="14" t="n">
        <x:f>I472/N472-1</x:f>
        <x:v>-0.3125457178869292</x:v>
      </x:c>
      <x:c r="P472" s="2" t="str"/>
    </x:row>
    <x:row r="473">
      <x:c r="A473" s="2" t="str">
        <x:f>'Source Data'!A473</x:f>
        <x:v>441222</x:v>
      </x:c>
      <x:c r="B473" s="2" t="str">
        <x:f>'Source Data'!B473</x:f>
        <x:v>Boat Dealers</x:v>
      </x:c>
      <x:c r="C473" s="13" t="n">
        <x:f>LN('Source Data'!C473/'Source Data'!C$8)</x:f>
        <x:v>-9.191712240129679</x:v>
      </x:c>
      <x:c r="D473" s="13" t="n">
        <x:f>LN('Source Data'!D473/'Source Data'!D$8)</x:f>
        <x:v>-9.203452096205577</x:v>
      </x:c>
      <x:c r="E473" s="13" t="n">
        <x:f>LN('Source Data'!E473/'Source Data'!E$8)</x:f>
        <x:v>-9.1858565162831</x:v>
      </x:c>
      <x:c r="F473" s="13" t="n">
        <x:f>SLOPE(C473:E473,'Source Data'!C$7:E$7)</x:f>
        <x:v>0.002927861923289754</x:v>
      </x:c>
      <x:c r="G473" s="14" t="n">
        <x:f>EXP(F473)-1</x:f>
        <x:v>0.0029321522971963443</x:v>
      </x:c>
      <x:c r="H473" s="8" t="n">
        <x:f>'Source Data'!F473</x:f>
        <x:v>1651</x:v>
      </x:c>
      <x:c r="I473" s="8" t="n">
        <x:f>'Source Data'!H473</x:f>
        <x:v>1539</x:v>
      </x:c>
      <x:c r="J473" s="14" t="n">
        <x:f>I473/H473-1</x:f>
        <x:v>-0.06783767413688668</x:v>
      </x:c>
      <x:c r="K473" s="8" t="n">
        <x:f>H473*('Source Data'!H$8/'Source Data'!F$8)*EXP(F473*('Source Data'!H$7-'Source Data'!F$7))</x:f>
        <x:v>1700.0890256664895</x:v>
      </x:c>
      <x:c r="L473" s="14" t="n">
        <x:f>I473/K473-1</x:f>
        <x:v>-0.09475328834814256</x:v>
      </x:c>
      <x:c r="M473" s="8" t="n">
        <x:f>'Source Data'!G473</x:f>
        <x:v>1630</x:v>
      </x:c>
      <x:c r="N473" s="8" t="n">
        <x:f>M473*('Source Data'!H$8/'Source Data'!G$8)*EXP(F473*('Source Data'!H$7-'Source Data'!G$7))</x:f>
        <x:v>1670.0957216748786</x:v>
      </x:c>
      <x:c r="O473" s="14" t="n">
        <x:f>I473/N473-1</x:f>
        <x:v>-0.07849593288186352</x:v>
      </x:c>
      <x:c r="P473" s="2" t="str"/>
    </x:row>
    <x:row r="474">
      <x:c r="A474" s="2" t="str">
        <x:f>'Source Data'!A474</x:f>
        <x:v>444110</x:v>
      </x:c>
      <x:c r="B474" s="2" t="str">
        <x:f>'Source Data'!B474</x:f>
        <x:v>Home Centers</x:v>
      </x:c>
      <x:c r="C474" s="13" t="n">
        <x:f>LN('Source Data'!C474/'Source Data'!C$8)</x:f>
        <x:v>-5.34488731395909</x:v>
      </x:c>
      <x:c r="D474" s="13" t="n">
        <x:f>LN('Source Data'!D474/'Source Data'!D$8)</x:f>
        <x:v>-5.322532835828765</x:v>
      </x:c>
      <x:c r="E474" s="13" t="n">
        <x:f>LN('Source Data'!E474/'Source Data'!E$8)</x:f>
        <x:v>-5.4346489740428785</x:v>
      </x:c>
      <x:c r="F474" s="13" t="n">
        <x:f>SLOPE(C474:E474,'Source Data'!C$7:E$7)</x:f>
        <x:v>-0.04488083004189436</x:v>
      </x:c>
      <x:c r="G474" s="14" t="n">
        <x:f>EXP(F474)-1</x:f>
        <x:v>-0.043888585198482266</x:v>
      </x:c>
      <x:c r="H474" s="8" t="n">
        <x:f>'Source Data'!F474</x:f>
        <x:v>74946</x:v>
      </x:c>
      <x:c r="I474" s="8" t="n">
        <x:f>'Source Data'!H474</x:f>
        <x:v>65878</x:v>
      </x:c>
      <x:c r="J474" s="14" t="n">
        <x:f>I474/H474-1</x:f>
        <x:v>-0.12099378218984336</x:v>
      </x:c>
      <x:c r="K474" s="8" t="n">
        <x:f>H474*('Source Data'!H$8/'Source Data'!F$8)*EXP(F474*('Source Data'!H$7-'Source Data'!F$7))</x:f>
        <x:v>63741.28948306125</x:v>
      </x:c>
      <x:c r="L474" s="14" t="n">
        <x:f>I474/K474-1</x:f>
        <x:v>0.03352160796035619</x:v>
      </x:c>
      <x:c r="M474" s="8" t="n">
        <x:f>'Source Data'!G474</x:f>
        <x:v>69456</x:v>
      </x:c>
      <x:c r="N474" s="8" t="n">
        <x:f>M474*('Source Data'!H$8/'Source Data'!G$8)*EXP(F474*('Source Data'!H$7-'Source Data'!G$7))</x:f>
        <x:v>61655.86204618252</x:v>
      </x:c>
      <x:c r="O474" s="14" t="n">
        <x:f>I474/N474-1</x:f>
        <x:v>0.06847910018117886</x:v>
      </x:c>
      <x:c r="P474" s="2" t="str"/>
    </x:row>
    <x:row r="475">
      <x:c r="A475" s="2" t="str">
        <x:f>'Source Data'!A475</x:f>
        <x:v>444120</x:v>
      </x:c>
      <x:c r="B475" s="2" t="str">
        <x:f>'Source Data'!B475</x:f>
        <x:v>Paint and Wallpaper Retailers</x:v>
      </x:c>
      <x:c r="C475" s="13" t="n">
        <x:f>LN('Source Data'!C475/'Source Data'!C$8)</x:f>
        <x:v>-8.079908948275316</x:v>
      </x:c>
      <x:c r="D475" s="13" t="n">
        <x:f>LN('Source Data'!D475/'Source Data'!D$8)</x:f>
        <x:v>-8.080235569300916</x:v>
      </x:c>
      <x:c r="E475" s="13" t="n">
        <x:f>LN('Source Data'!E475/'Source Data'!E$8)</x:f>
        <x:v>-8.084406727075349</x:v>
      </x:c>
      <x:c r="F475" s="13" t="n">
        <x:f>SLOPE(C475:E475,'Source Data'!C$7:E$7)</x:f>
        <x:v>-0.0022488894000165516</x:v>
      </x:c>
      <x:c r="G475" s="14" t="n">
        <x:f>EXP(F475)-1</x:f>
        <x:v>-0.002246362542812186</x:v>
      </x:c>
      <x:c r="H475" s="8" t="n">
        <x:f>'Source Data'!F475</x:f>
        <x:v>4359</x:v>
      </x:c>
      <x:c r="I475" s="8" t="n">
        <x:f>'Source Data'!H475</x:f>
        <x:v>4317</x:v>
      </x:c>
      <x:c r="J475" s="14" t="n">
        <x:f>I475/H475-1</x:f>
        <x:v>-0.009635237439779787</x:v>
      </x:c>
      <x:c r="K475" s="8" t="n">
        <x:f>H475*('Source Data'!H$8/'Source Data'!F$8)*EXP(F475*('Source Data'!H$7-'Source Data'!F$7))</x:f>
        <x:v>4396.615853338471</x:v>
      </x:c>
      <x:c r="L475" s="14" t="n">
        <x:f>I475/K475-1</x:f>
        <x:v>-0.01810843976237242</x:v>
      </x:c>
      <x:c r="M475" s="8" t="n">
        <x:f>'Source Data'!G475</x:f>
        <x:v>4520</x:v>
      </x:c>
      <x:c r="N475" s="8" t="n">
        <x:f>M475*('Source Data'!H$8/'Source Data'!G$8)*EXP(F475*('Source Data'!H$7-'Source Data'!G$7))</x:f>
        <x:v>4559.817807396452</x:v>
      </x:c>
      <x:c r="O475" s="14" t="n">
        <x:f>I475/N475-1</x:f>
        <x:v>-0.05325164680978667</x:v>
      </x:c>
      <x:c r="P475" s="2" t="str"/>
    </x:row>
    <x:row r="476">
      <x:c r="A476" s="2" t="str">
        <x:f>'Source Data'!A476</x:f>
        <x:v>445110</x:v>
      </x:c>
      <x:c r="B476" s="2" t="str">
        <x:f>'Source Data'!B476</x:f>
        <x:v>Supermarkets and Other Grocery Retailers (except Convenience Retailers)</x:v>
      </x:c>
      <x:c r="C476" s="13" t="n">
        <x:f>LN('Source Data'!C476/'Source Data'!C$8)</x:f>
        <x:v>-3.882832718180664</x:v>
      </x:c>
      <x:c r="D476" s="13" t="n">
        <x:f>LN('Source Data'!D476/'Source Data'!D$8)</x:f>
        <x:v>-3.9051313329241792</x:v>
      </x:c>
      <x:c r="E476" s="13" t="n">
        <x:f>LN('Source Data'!E476/'Source Data'!E$8)</x:f>
        <x:v>-3.9199167078240613</x:v>
      </x:c>
      <x:c r="F476" s="13" t="n">
        <x:f>SLOPE(C476:E476,'Source Data'!C$7:E$7)</x:f>
        <x:v>-0.018541994821698715</x:v>
      </x:c>
      <x:c r="G476" s="14" t="n">
        <x:f>EXP(F476)-1</x:f>
        <x:v>-0.018371149602350534</x:v>
      </x:c>
      <x:c r="H476" s="8" t="n">
        <x:f>'Source Data'!F476</x:f>
        <x:v>303314</x:v>
      </x:c>
      <x:c r="I476" s="8" t="n">
        <x:f>'Source Data'!H476</x:f>
        <x:v>316476</x:v>
      </x:c>
      <x:c r="J476" s="14" t="n">
        <x:f>I476/H476-1</x:f>
        <x:v>0.0433939745610159</x:v>
      </x:c>
      <x:c r="K476" s="8" t="n">
        <x:f>H476*('Source Data'!H$8/'Source Data'!F$8)*EXP(F476*('Source Data'!H$7-'Source Data'!F$7))</x:f>
        <x:v>286628.9718422865</x:v>
      </x:c>
      <x:c r="L476" s="14" t="n">
        <x:f>I476/K476-1</x:f>
        <x:v>0.10413123267293578</x:v>
      </x:c>
      <x:c r="M476" s="8" t="n">
        <x:f>'Source Data'!G476</x:f>
        <x:v>313904</x:v>
      </x:c>
      <x:c r="N476" s="8" t="n">
        <x:f>M476*('Source Data'!H$8/'Source Data'!G$8)*EXP(F476*('Source Data'!H$7-'Source Data'!G$7))</x:f>
        <x:v>301562.88396341633</x:v>
      </x:c>
      <x:c r="O476" s="14" t="n">
        <x:f>I476/N476-1</x:f>
        <x:v>0.04945275705213392</x:v>
      </x:c>
      <x:c r="P476" s="2" t="str"/>
    </x:row>
    <x:row r="477">
      <x:c r="A477" s="2" t="str">
        <x:f>'Source Data'!A477</x:f>
        <x:v>445132</x:v>
      </x:c>
      <x:c r="B477" s="2" t="str">
        <x:f>'Source Data'!B477</x:f>
        <x:v>Vending Machine Operators</x:v>
      </x:c>
      <x:c r="C477" s="13" t="n">
        <x:f>LN('Source Data'!C477/'Source Data'!C$8)</x:f>
        <x:v>-9.16194008179601</x:v>
      </x:c>
      <x:c r="D477" s="13" t="n">
        <x:f>LN('Source Data'!D477/'Source Data'!D$8)</x:f>
        <x:v>-9.00506909457202</x:v>
      </x:c>
      <x:c r="E477" s="13" t="n">
        <x:f>LN('Source Data'!E477/'Source Data'!E$8)</x:f>
        <x:v>-8.862585791520422</x:v>
      </x:c>
      <x:c r="F477" s="13" t="n">
        <x:f>SLOPE(C477:E477,'Source Data'!C$7:E$7)</x:f>
        <x:v>0.14967714513779384</x:v>
      </x:c>
      <x:c r="G477" s="14" t="n">
        <x:f>EXP(F477)-1</x:f>
        <x:v>0.16145919943947318</x:v>
      </x:c>
      <x:c r="H477" s="8" t="n">
        <x:f>'Source Data'!F477</x:f>
        <x:v>1595</x:v>
      </x:c>
      <x:c r="I477" s="8" t="n">
        <x:f>'Source Data'!H477</x:f>
        <x:v>1818</x:v>
      </x:c>
      <x:c r="J477" s="14" t="n">
        <x:f>I477/H477-1</x:f>
        <x:v>0.13981191222570533</x:v>
      </x:c>
      <x:c r="K477" s="8" t="n">
        <x:f>H477*('Source Data'!H$8/'Source Data'!F$8)*EXP(F477*('Source Data'!H$7-'Source Data'!F$7))</x:f>
        <x:v>2954.0299471473286</x:v>
      </x:c>
      <x:c r="L477" s="14" t="n">
        <x:f>I477/K477-1</x:f>
        <x:v>-0.3845695431234132</x:v>
      </x:c>
      <x:c r="M477" s="8" t="n">
        <x:f>'Source Data'!G477</x:f>
        <x:v>1625</x:v>
      </x:c>
      <x:c r="N477" s="8" t="n">
        <x:f>M477*('Source Data'!H$8/'Source Data'!G$8)*EXP(F477*('Source Data'!H$7-'Source Data'!G$7))</x:f>
        <x:v>2585.8559984906083</x:v>
      </x:c>
      <x:c r="O477" s="14" t="n">
        <x:f>I477/N477-1</x:f>
        <x:v>-0.2969446090342285</x:v>
      </x:c>
      <x:c r="P477" s="2" t="str"/>
    </x:row>
    <x:row r="478">
      <x:c r="A478" s="2" t="str">
        <x:f>'Source Data'!A478</x:f>
        <x:v>445230</x:v>
      </x:c>
      <x:c r="B478" s="2" t="str">
        <x:f>'Source Data'!B478</x:f>
        <x:v>Fruit and Vegetable Retailers</x:v>
      </x:c>
      <x:c r="C478" s="13" t="n">
        <x:f>LN('Source Data'!C478/'Source Data'!C$8)</x:f>
        <x:v>-8.256103807825713</x:v>
      </x:c>
      <x:c r="D478" s="13" t="n">
        <x:f>LN('Source Data'!D478/'Source Data'!D$8)</x:f>
        <x:v>-8.284176692464401</x:v>
      </x:c>
      <x:c r="E478" s="13" t="n">
        <x:f>LN('Source Data'!E478/'Source Data'!E$8)</x:f>
        <x:v>-8.321653181760867</x:v>
      </x:c>
      <x:c r="F478" s="13" t="n">
        <x:f>SLOPE(C478:E478,'Source Data'!C$7:E$7)</x:f>
        <x:v>-0.032774686967576905</x:v>
      </x:c>
      <x:c r="G478" s="14" t="n">
        <x:f>EXP(F478)-1</x:f>
        <x:v>-0.032243416803262925</x:v>
      </x:c>
      <x:c r="H478" s="8" t="n">
        <x:f>'Source Data'!F478</x:f>
        <x:v>3705</x:v>
      </x:c>
      <x:c r="I478" s="8" t="n">
        <x:f>'Source Data'!H478</x:f>
        <x:v>3405</x:v>
      </x:c>
      <x:c r="J478" s="14" t="n">
        <x:f>I478/H478-1</x:f>
        <x:v>-0.08097165991902833</x:v>
      </x:c>
      <x:c r="K478" s="8" t="n">
        <x:f>H478*('Source Data'!H$8/'Source Data'!F$8)*EXP(F478*('Source Data'!H$7-'Source Data'!F$7))</x:f>
        <x:v>3307.43351651062</x:v>
      </x:c>
      <x:c r="L478" s="14" t="n">
        <x:f>I478/K478-1</x:f>
        <x:v>0.029499151835503445</x:v>
      </x:c>
      <x:c r="M478" s="8" t="n">
        <x:f>'Source Data'!G478</x:f>
        <x:v>3681</x:v>
      </x:c>
      <x:c r="N478" s="8" t="n">
        <x:f>M478*('Source Data'!H$8/'Source Data'!G$8)*EXP(F478*('Source Data'!H$7-'Source Data'!G$7))</x:f>
        <x:v>3388.4674382498224</x:v>
      </x:c>
      <x:c r="O478" s="14" t="n">
        <x:f>I478/N478-1</x:f>
        <x:v>0.004879067617281629</x:v>
      </x:c>
      <x:c r="P478" s="2" t="str"/>
    </x:row>
    <x:row r="479">
      <x:c r="A479" s="2" t="str">
        <x:f>'Source Data'!A479</x:f>
        <x:v>445291</x:v>
      </x:c>
      <x:c r="B479" s="2" t="str">
        <x:f>'Source Data'!B479</x:f>
        <x:v>Baked Goods Retailers</x:v>
      </x:c>
      <x:c r="C479" s="13" t="n">
        <x:f>LN('Source Data'!C479/'Source Data'!C$8)</x:f>
        <x:v>-8.46413708969987</x:v>
      </x:c>
      <x:c r="D479" s="13" t="n">
        <x:f>LN('Source Data'!D479/'Source Data'!D$8)</x:f>
        <x:v>-8.63571718383165</x:v>
      </x:c>
      <x:c r="E479" s="13" t="n">
        <x:f>LN('Source Data'!E479/'Source Data'!E$8)</x:f>
        <x:v>-8.739490728225869</x:v>
      </x:c>
      <x:c r="F479" s="13" t="n">
        <x:f>SLOPE(C479:E479,'Source Data'!C$7:E$7)</x:f>
        <x:v>-0.13767681926299957</x:v>
      </x:c>
      <x:c r="G479" s="14" t="n">
        <x:f>EXP(F479)-1</x:f>
        <x:v>-0.12861974044080715</x:v>
      </x:c>
      <x:c r="H479" s="8" t="n">
        <x:f>'Source Data'!F479</x:f>
        <x:v>2012</x:v>
      </x:c>
      <x:c r="I479" s="8" t="n">
        <x:f>'Source Data'!H479</x:f>
        <x:v>1702</x:v>
      </x:c>
      <x:c r="J479" s="14" t="n">
        <x:f>I479/H479-1</x:f>
        <x:v>-0.15407554671968193</x:v>
      </x:c>
      <x:c r="K479" s="8" t="n">
        <x:f>H479*('Source Data'!H$8/'Source Data'!F$8)*EXP(F479*('Source Data'!H$7-'Source Data'!F$7))</x:f>
        <x:v>1180.5848842374633</x:v>
      </x:c>
      <x:c r="L479" s="14" t="n">
        <x:f>I479/K479-1</x:f>
        <x:v>0.4416583023585954</x:v>
      </x:c>
      <x:c r="M479" s="8" t="n">
        <x:f>'Source Data'!G479</x:f>
        <x:v>2204</x:v>
      </x:c>
      <x:c r="N479" s="8" t="n">
        <x:f>M479*('Source Data'!H$8/'Source Data'!G$8)*EXP(F479*('Source Data'!H$7-'Source Data'!G$7))</x:f>
        <x:v>1481.0640409822595</x:v>
      </x:c>
      <x:c r="O479" s="14" t="n">
        <x:f>I479/N479-1</x:f>
        <x:v>0.1491738053887346</x:v>
      </x:c>
      <x:c r="P479" s="2" t="str"/>
    </x:row>
    <x:row r="480">
      <x:c r="A480" s="2" t="str">
        <x:f>'Source Data'!A480</x:f>
        <x:v>445292</x:v>
      </x:c>
      <x:c r="B480" s="2" t="str">
        <x:f>'Source Data'!B480</x:f>
        <x:v>Confectionery and Nut Retailers</x:v>
      </x:c>
      <x:c r="C480" s="13" t="n">
        <x:f>LN('Source Data'!C480/'Source Data'!C$8)</x:f>
        <x:v>-8.066666694393414</x:v>
      </x:c>
      <x:c r="D480" s="13" t="n">
        <x:f>LN('Source Data'!D480/'Source Data'!D$8)</x:f>
        <x:v>-8.056869510077751</x:v>
      </x:c>
      <x:c r="E480" s="13" t="n">
        <x:f>LN('Source Data'!E480/'Source Data'!E$8)</x:f>
        <x:v>-8.089651494342645</x:v>
      </x:c>
      <x:c r="F480" s="13" t="n">
        <x:f>SLOPE(C480:E480,'Source Data'!C$7:E$7)</x:f>
        <x:v>-0.011492399974615708</x:v>
      </x:c>
      <x:c r="G480" s="14" t="n">
        <x:f>EXP(F480)-1</x:f>
        <x:v>-0.0114266145978138</x:v>
      </x:c>
      <x:c r="H480" s="8" t="n">
        <x:f>'Source Data'!F480</x:f>
        <x:v>4095</x:v>
      </x:c>
      <x:c r="I480" s="8" t="n">
        <x:f>'Source Data'!H480</x:f>
        <x:v>3397</x:v>
      </x:c>
      <x:c r="J480" s="14" t="n">
        <x:f>I480/H480-1</x:f>
        <x:v>-0.1704517704517704</x:v>
      </x:c>
      <x:c r="K480" s="8" t="n">
        <x:f>H480*('Source Data'!H$8/'Source Data'!F$8)*EXP(F480*('Source Data'!H$7-'Source Data'!F$7))</x:f>
        <x:v>3980.411168009728</x:v>
      </x:c>
      <x:c r="L480" s="14" t="n">
        <x:f>I480/K480-1</x:f>
        <x:v>-0.1465705786122199</x:v>
      </x:c>
      <x:c r="M480" s="8" t="n">
        <x:f>'Source Data'!G480</x:f>
        <x:v>4498</x:v>
      </x:c>
      <x:c r="N480" s="8" t="n">
        <x:f>M480*('Source Data'!H$8/'Source Data'!G$8)*EXP(F480*('Source Data'!H$7-'Source Data'!G$7))</x:f>
        <x:v>4413.52193824253</x:v>
      </x:c>
      <x:c r="O480" s="14" t="n">
        <x:f>I480/N480-1</x:f>
        <x:v>-0.23031990153589466</x:v>
      </x:c>
      <x:c r="P480" s="2" t="str"/>
    </x:row>
    <x:row r="481">
      <x:c r="A481" s="2" t="str">
        <x:f>'Source Data'!A481</x:f>
        <x:v>457110</x:v>
      </x:c>
      <x:c r="B481" s="2" t="str">
        <x:f>'Source Data'!B481</x:f>
        <x:v>Gasoline Stations with Convenience Stores</x:v>
      </x:c>
      <x:c r="C481" s="13" t="n">
        <x:f>LN('Source Data'!C481/'Source Data'!C$8)</x:f>
        <x:v>-5.634442948462372</x:v>
      </x:c>
      <x:c r="D481" s="13" t="n">
        <x:f>LN('Source Data'!D481/'Source Data'!D$8)</x:f>
        <x:v>-5.6256294535377815</x:v>
      </x:c>
      <x:c r="E481" s="13" t="n">
        <x:f>LN('Source Data'!E481/'Source Data'!E$8)</x:f>
        <x:v>-5.615206918946712</x:v>
      </x:c>
      <x:c r="F481" s="13" t="n">
        <x:f>SLOPE(C481:E481,'Source Data'!C$7:E$7)</x:f>
        <x:v>0.009618014757829751</x:v>
      </x:c>
      <x:c r="G481" s="14" t="n">
        <x:f>EXP(F481)-1</x:f>
        <x:v>0.009664416506694584</x:v>
      </x:c>
      <x:c r="H481" s="8" t="n">
        <x:f>'Source Data'!F481</x:f>
        <x:v>53350</x:v>
      </x:c>
      <x:c r="I481" s="8" t="n">
        <x:f>'Source Data'!H481</x:f>
        <x:v>55014</x:v>
      </x:c>
      <x:c r="J481" s="14" t="n">
        <x:f>I481/H481-1</x:f>
        <x:v>0.031190253045923155</x:v>
      </x:c>
      <x:c r="K481" s="8" t="n">
        <x:f>H481*('Source Data'!H$8/'Source Data'!F$8)*EXP(F481*('Source Data'!H$7-'Source Data'!F$7))</x:f>
        <x:v>56426.22551772724</x:v>
      </x:c>
      <x:c r="L481" s="14" t="n">
        <x:f>I481/K481-1</x:f>
        <x:v>-0.02502782181104002</x:v>
      </x:c>
      <x:c r="M481" s="8" t="n">
        <x:f>'Source Data'!G481</x:f>
        <x:v>55528</x:v>
      </x:c>
      <x:c r="N481" s="8" t="n">
        <x:f>M481*('Source Data'!H$8/'Source Data'!G$8)*EXP(F481*('Source Data'!H$7-'Source Data'!G$7))</x:f>
        <x:v>58047.334215535804</x:v>
      </x:c>
      <x:c r="O481" s="14" t="n">
        <x:f>I481/N481-1</x:f>
        <x:v>-0.05225621911029921</x:v>
      </x:c>
      <x:c r="P481" s="2" t="str"/>
    </x:row>
    <x:row r="482">
      <x:c r="A482" s="2" t="str">
        <x:f>'Source Data'!A482</x:f>
        <x:v>457120</x:v>
      </x:c>
      <x:c r="B482" s="2" t="str">
        <x:f>'Source Data'!B482</x:f>
        <x:v>Other Gasoline Stations</x:v>
      </x:c>
      <x:c r="C482" s="13" t="n">
        <x:f>LN('Source Data'!C482/'Source Data'!C$8)</x:f>
        <x:v>-7.385407059899245</x:v>
      </x:c>
      <x:c r="D482" s="13" t="n">
        <x:f>LN('Source Data'!D482/'Source Data'!D$8)</x:f>
        <x:v>-7.422049516913911</x:v>
      </x:c>
      <x:c r="E482" s="13" t="n">
        <x:f>LN('Source Data'!E482/'Source Data'!E$8)</x:f>
        <x:v>-7.426304161725484</x:v>
      </x:c>
      <x:c r="F482" s="13" t="n">
        <x:f>SLOPE(C482:E482,'Source Data'!C$7:E$7)</x:f>
        <x:v>-0.020448550913119146</x:v>
      </x:c>
      <x:c r="G482" s="14" t="n">
        <x:f>EXP(F482)-1</x:f>
        <x:v>-0.020240897110968437</x:v>
      </x:c>
      <x:c r="H482" s="8" t="n">
        <x:f>'Source Data'!F482</x:f>
        <x:v>9144</x:v>
      </x:c>
      <x:c r="I482" s="8" t="n">
        <x:f>'Source Data'!H482</x:f>
        <x:v>8439</x:v>
      </x:c>
      <x:c r="J482" s="14" t="n">
        <x:f>I482/H482-1</x:f>
        <x:v>-0.07709973753280841</x:v>
      </x:c>
      <x:c r="K482" s="8" t="n">
        <x:f>H482*('Source Data'!H$8/'Source Data'!F$8)*EXP(F482*('Source Data'!H$7-'Source Data'!F$7))</x:f>
        <x:v>8575.349308770532</x:v>
      </x:c>
      <x:c r="L482" s="14" t="n">
        <x:f>I482/K482-1</x:f>
        <x:v>-0.01590014632186232</x:v>
      </x:c>
      <x:c r="M482" s="8" t="n">
        <x:f>'Source Data'!G482</x:f>
        <x:v>9001</x:v>
      </x:c>
      <x:c r="N482" s="8" t="n">
        <x:f>M482*('Source Data'!H$8/'Source Data'!G$8)*EXP(F482*('Source Data'!H$7-'Source Data'!G$7))</x:f>
        <x:v>8597.808731253182</x:v>
      </x:c>
      <x:c r="O482" s="14" t="n">
        <x:f>I482/N482-1</x:f>
        <x:v>-0.018470837886391922</x:v>
      </x:c>
      <x:c r="P482" s="2" t="str"/>
    </x:row>
    <x:row r="483">
      <x:c r="A483" s="2" t="str">
        <x:f>'Source Data'!A483</x:f>
        <x:v>457210</x:v>
      </x:c>
      <x:c r="B483" s="2" t="str">
        <x:f>'Source Data'!B483</x:f>
        <x:v>Fuel Dealers</x:v>
      </x:c>
      <x:c r="C483" s="13" t="n">
        <x:f>LN('Source Data'!C483/'Source Data'!C$8)</x:f>
        <x:v>-8.536001650929514</x:v>
      </x:c>
      <x:c r="D483" s="13" t="n">
        <x:f>LN('Source Data'!D483/'Source Data'!D$8)</x:f>
        <x:v>-8.57194907875684</x:v>
      </x:c>
      <x:c r="E483" s="13" t="n">
        <x:f>LN('Source Data'!E483/'Source Data'!E$8)</x:f>
        <x:v>-8.622034131819708</x:v>
      </x:c>
      <x:c r="F483" s="13" t="n">
        <x:f>SLOPE(C483:E483,'Source Data'!C$7:E$7)</x:f>
        <x:v>-0.04301624044509733</x:v>
      </x:c>
      <x:c r="G483" s="14" t="n">
        <x:f>EXP(F483)-1</x:f>
        <x:v>-0.04210416671398298</x:v>
      </x:c>
      <x:c r="H483" s="8" t="n">
        <x:f>'Source Data'!F483</x:f>
        <x:v>2519</x:v>
      </x:c>
      <x:c r="I483" s="8" t="n">
        <x:f>'Source Data'!H483</x:f>
        <x:v>2432</x:v>
      </x:c>
      <x:c r="J483" s="14" t="n">
        <x:f>I483/H483-1</x:f>
        <x:v>-0.034537514886859855</x:v>
      </x:c>
      <x:c r="K483" s="8" t="n">
        <x:f>H483*('Source Data'!H$8/'Source Data'!F$8)*EXP(F483*('Source Data'!H$7-'Source Data'!F$7))</x:f>
        <x:v>2158.438493718743</x:v>
      </x:c>
      <x:c r="L483" s="14" t="n">
        <x:f>I483/K483-1</x:f>
        <x:v>0.12674046866628186</x:v>
      </x:c>
      <x:c r="M483" s="8" t="n">
        <x:f>'Source Data'!G483</x:f>
        <x:v>2509</x:v>
      </x:c>
      <x:c r="N483" s="8" t="n">
        <x:f>M483*('Source Data'!H$8/'Source Data'!G$8)*EXP(F483*('Source Data'!H$7-'Source Data'!G$7))</x:f>
        <x:v>2239.7245478924206</x:v>
      </x:c>
      <x:c r="O483" s="14" t="n">
        <x:f>I483/N483-1</x:f>
        <x:v>0.08584781208408443</x:v>
      </x:c>
      <x:c r="P483" s="2" t="str"/>
    </x:row>
    <x:row r="484">
      <x:c r="A484" s="2" t="str">
        <x:f>'Source Data'!A484</x:f>
        <x:v>459930</x:v>
      </x:c>
      <x:c r="B484" s="2" t="str">
        <x:f>'Source Data'!B484</x:f>
        <x:v>Manufactured (Mobile) Home Dealers</x:v>
      </x:c>
      <x:c r="C484" s="13" t="n">
        <x:f>LN('Source Data'!C484/'Source Data'!C$8)</x:f>
        <x:v>-9.62080596663129</x:v>
      </x:c>
      <x:c r="D484" s="13" t="n">
        <x:f>LN('Source Data'!D484/'Source Data'!D$8)</x:f>
        <x:v>-9.520548053863651</x:v>
      </x:c>
      <x:c r="E484" s="13" t="n">
        <x:f>LN('Source Data'!E484/'Source Data'!E$8)</x:f>
        <x:v>-9.620936165891129</x:v>
      </x:c>
      <x:c r="F484" s="13" t="n">
        <x:f>SLOPE(C484:E484,'Source Data'!C$7:E$7)</x:f>
        <x:v>-0.00006509962991962936</x:v>
      </x:c>
      <x:c r="G484" s="14" t="n">
        <x:f>EXP(F484)-1</x:f>
        <x:v>-0.00006509751098471295</x:v>
      </x:c>
      <x:c r="H484" s="8" t="n">
        <x:f>'Source Data'!F484</x:f>
        <x:v>488</x:v>
      </x:c>
      <x:c r="I484" s="8" t="n">
        <x:f>'Source Data'!H484</x:f>
        <x:v>446</x:v>
      </x:c>
      <x:c r="J484" s="14" t="n">
        <x:f>I484/H484-1</x:f>
        <x:v>-0.08606557377049184</x:v>
      </x:c>
      <x:c r="K484" s="8" t="n">
        <x:f>H484*('Source Data'!H$8/'Source Data'!F$8)*EXP(F484*('Source Data'!H$7-'Source Data'!F$7))</x:f>
        <x:v>496.5295570020322</x:v>
      </x:c>
      <x:c r="L484" s="14" t="n">
        <x:f>I484/K484-1</x:f>
        <x:v>-0.1017654564355076</x:v>
      </x:c>
      <x:c r="M484" s="8" t="n">
        <x:f>'Source Data'!G484</x:f>
        <x:v>497</x:v>
      </x:c>
      <x:c r="N484" s="8" t="n">
        <x:f>M484*('Source Data'!H$8/'Source Data'!G$8)*EXP(F484*('Source Data'!H$7-'Source Data'!G$7))</x:f>
        <x:v>504.67369391795944</x:v>
      </x:c>
      <x:c r="O484" s="14" t="n">
        <x:f>I484/N484-1</x:f>
        <x:v>-0.11626065440909927</x:v>
      </x:c>
      <x:c r="P484" s="2" t="str"/>
    </x:row>
    <x:row r="485">
      <x:c r="A485" s="2" t="str">
        <x:f>'Source Data'!A485</x:f>
        <x:v>481111</x:v>
      </x:c>
      <x:c r="B485" s="2" t="str">
        <x:f>'Source Data'!B485</x:f>
        <x:v>Scheduled Passenger Air Transportation</x:v>
      </x:c>
      <x:c r="C485" s="13" t="n">
        <x:f>LN('Source Data'!C485/'Source Data'!C$8)</x:f>
        <x:v>-5.691133722183177</x:v>
      </x:c>
      <x:c r="D485" s="13" t="n">
        <x:f>LN('Source Data'!D485/'Source Data'!D$8)</x:f>
        <x:v>-5.674776478550458</x:v>
      </x:c>
      <x:c r="E485" s="13" t="n">
        <x:f>LN('Source Data'!E485/'Source Data'!E$8)</x:f>
        <x:v>-5.678597225652661</x:v>
      </x:c>
      <x:c r="F485" s="13" t="n">
        <x:f>SLOPE(C485:E485,'Source Data'!C$7:E$7)</x:f>
        <x:v>0.0062682482652580696</x:v>
      </x:c>
      <x:c r="G485" s="14" t="n">
        <x:f>EXP(F485)-1</x:f>
        <x:v>0.006287934845377485</x:v>
      </x:c>
      <x:c r="H485" s="8" t="n">
        <x:f>'Source Data'!F485</x:f>
        <x:v>44369</x:v>
      </x:c>
      <x:c r="I485" s="8" t="n">
        <x:f>'Source Data'!H485</x:f>
        <x:v>50556</x:v>
      </x:c>
      <x:c r="J485" s="14" t="n">
        <x:f>I485/H485-1</x:f>
        <x:v>0.13944420654060274</x:v>
      </x:c>
      <x:c r="K485" s="8" t="n">
        <x:f>H485*('Source Data'!H$8/'Source Data'!F$8)*EXP(F485*('Source Data'!H$7-'Source Data'!F$7))</x:f>
        <x:v>46302.781067737524</x:v>
      </x:c>
      <x:c r="L485" s="14" t="n">
        <x:f>I485/K485-1</x:f>
        <x:v>0.0918566624765007</x:v>
      </x:c>
      <x:c r="M485" s="8" t="n">
        <x:f>'Source Data'!G485</x:f>
        <x:v>46969</x:v>
      </x:c>
      <x:c r="N485" s="8" t="n">
        <x:f>M485*('Source Data'!H$8/'Source Data'!G$8)*EXP(F485*('Source Data'!H$7-'Source Data'!G$7))</x:f>
        <x:v>48609.05823563513</x:v>
      </x:c>
      <x:c r="O485" s="14" t="n">
        <x:f>I485/N485-1</x:f>
        <x:v>0.04005306490257343</x:v>
      </x:c>
      <x:c r="P485" s="2" t="str"/>
    </x:row>
    <x:row r="486">
      <x:c r="A486" s="2" t="str">
        <x:f>'Source Data'!A486</x:f>
        <x:v>481112</x:v>
      </x:c>
      <x:c r="B486" s="2" t="str">
        <x:f>'Source Data'!B486</x:f>
        <x:v>Scheduled Freight Air Transportation</x:v>
      </x:c>
      <x:c r="C486" s="13" t="n">
        <x:f>LN('Source Data'!C486/'Source Data'!C$8)</x:f>
        <x:v>-9.753734768095667</x:v>
      </x:c>
      <x:c r="D486" s="13" t="n">
        <x:f>LN('Source Data'!D486/'Source Data'!D$8)</x:f>
        <x:v>-9.749069848002721</x:v>
      </x:c>
      <x:c r="E486" s="13" t="n">
        <x:f>LN('Source Data'!E486/'Source Data'!E$8)</x:f>
        <x:v>-9.514360583255135</x:v>
      </x:c>
      <x:c r="F486" s="13" t="n">
        <x:f>SLOPE(C486:E486,'Source Data'!C$7:E$7)</x:f>
        <x:v>0.11968709242026598</x:v>
      </x:c>
      <x:c r="G486" s="14" t="n">
        <x:f>EXP(F486)-1</x:f>
        <x:v>0.12714410445989222</x:v>
      </x:c>
      <x:c r="H486" s="8" t="n">
        <x:f>'Source Data'!F486</x:f>
        <x:v>996</x:v>
      </x:c>
      <x:c r="I486" s="8" t="n">
        <x:f>'Source Data'!H486</x:f>
        <x:v>1053</x:v>
      </x:c>
      <x:c r="J486" s="14" t="n">
        <x:f>I486/H486-1</x:f>
        <x:v>0.05722891566265065</x:v>
      </x:c>
      <x:c r="K486" s="8" t="n">
        <x:f>H486*('Source Data'!H$8/'Source Data'!F$8)*EXP(F486*('Source Data'!H$7-'Source Data'!F$7))</x:f>
        <x:v>1636.1212569638164</x:v>
      </x:c>
      <x:c r="L486" s="14" t="n">
        <x:f>I486/K486-1</x:f>
        <x:v>-0.356404670180697</x:v>
      </x:c>
      <x:c r="M486" s="8" t="n">
        <x:f>'Source Data'!G486</x:f>
        <x:v>1113</x:v>
      </x:c>
      <x:c r="N486" s="8" t="n">
        <x:f>M486*('Source Data'!H$8/'Source Data'!G$8)*EXP(F486*('Source Data'!H$7-'Source Data'!G$7))</x:f>
        <x:v>1618.7232028744995</x:v>
      </x:c>
      <x:c r="O486" s="14" t="n">
        <x:f>I486/N486-1</x:f>
        <x:v>-0.34948730077501733</x:v>
      </x:c>
      <x:c r="P486" s="2" t="str"/>
    </x:row>
    <x:row r="487">
      <x:c r="A487" s="2" t="str">
        <x:f>'Source Data'!A487</x:f>
        <x:v>481211</x:v>
      </x:c>
      <x:c r="B487" s="2" t="str">
        <x:f>'Source Data'!B487</x:f>
        <x:v>Nonscheduled Chartered Passenger Air Transportation</x:v>
      </x:c>
      <x:c r="C487" s="13" t="n">
        <x:f>LN('Source Data'!C487/'Source Data'!C$8)</x:f>
        <x:v>-8.587951883072378</x:v>
      </x:c>
      <x:c r="D487" s="13" t="n">
        <x:f>LN('Source Data'!D487/'Source Data'!D$8)</x:f>
        <x:v>-8.555467157820065</x:v>
      </x:c>
      <x:c r="E487" s="13" t="n">
        <x:f>LN('Source Data'!E487/'Source Data'!E$8)</x:f>
        <x:v>-8.501932062491926</x:v>
      </x:c>
      <x:c r="F487" s="13" t="n">
        <x:f>SLOPE(C487:E487,'Source Data'!C$7:E$7)</x:f>
        <x:v>0.04300991029022594</x:v>
      </x:c>
      <x:c r="G487" s="14" t="n">
        <x:f>EXP(F487)-1</x:f>
        <x:v>0.043948240629393176</x:v>
      </x:c>
      <x:c r="H487" s="8" t="n">
        <x:f>'Source Data'!F487</x:f>
        <x:v>3430</x:v>
      </x:c>
      <x:c r="I487" s="8" t="n">
        <x:f>'Source Data'!H487</x:f>
        <x:v>3647</x:v>
      </x:c>
      <x:c r="J487" s="14" t="n">
        <x:f>I487/H487-1</x:f>
        <x:v>0.06326530612244907</x:v>
      </x:c>
      <x:c r="K487" s="8" t="n">
        <x:f>H487*('Source Data'!H$8/'Source Data'!F$8)*EXP(F487*('Source Data'!H$7-'Source Data'!F$7))</x:f>
        <x:v>4146.181986130446</x:v>
      </x:c>
      <x:c r="L487" s="14" t="n">
        <x:f>I487/K487-1</x:f>
        <x:v>-0.12039558027126618</x:v>
      </x:c>
      <x:c r="M487" s="8" t="n">
        <x:f>'Source Data'!G487</x:f>
        <x:v>3778</x:v>
      </x:c>
      <x:c r="N487" s="8" t="n">
        <x:f>M487*('Source Data'!H$8/'Source Data'!G$8)*EXP(F487*('Source Data'!H$7-'Source Data'!G$7))</x:f>
        <x:v>4365.539779695299</x:v>
      </x:c>
      <x:c r="O487" s="14" t="n">
        <x:f>I487/N487-1</x:f>
        <x:v>-0.16459357054477486</x:v>
      </x:c>
      <x:c r="P487" s="2" t="str"/>
    </x:row>
    <x:row r="488">
      <x:c r="A488" s="2" t="str">
        <x:f>'Source Data'!A488</x:f>
        <x:v>481212</x:v>
      </x:c>
      <x:c r="B488" s="2" t="str">
        <x:f>'Source Data'!B488</x:f>
        <x:v>Nonscheduled Chartered Freight Air Transportation</x:v>
      </x:c>
      <x:c r="C488" s="13" t="n">
        <x:f>LN('Source Data'!C488/'Source Data'!C$8)</x:f>
        <x:v>-9.36855433115901</x:v>
      </x:c>
      <x:c r="D488" s="13" t="n">
        <x:f>LN('Source Data'!D488/'Source Data'!D$8)</x:f>
        <x:v>-9.33079151858218</x:v>
      </x:c>
      <x:c r="E488" s="13" t="n">
        <x:f>LN('Source Data'!E488/'Source Data'!E$8)</x:f>
        <x:v>-9.142859838920282</x:v>
      </x:c>
      <x:c r="F488" s="13" t="n">
        <x:f>SLOPE(C488:E488,'Source Data'!C$7:E$7)</x:f>
        <x:v>0.11284724611936348</x:v>
      </x:c>
      <x:c r="G488" s="14" t="n">
        <x:f>EXP(F488)-1</x:f>
        <x:v>0.11946091788788316</x:v>
      </x:c>
      <x:c r="H488" s="8" t="n">
        <x:f>'Source Data'!F488</x:f>
        <x:v>1593</x:v>
      </x:c>
      <x:c r="I488" s="8" t="n">
        <x:f>'Source Data'!H488</x:f>
        <x:v>1673</x:v>
      </x:c>
      <x:c r="J488" s="14" t="n">
        <x:f>I488/H488-1</x:f>
        <x:v>0.05021971123666047</x:v>
      </x:c>
      <x:c r="K488" s="8" t="n">
        <x:f>H488*('Source Data'!H$8/'Source Data'!F$8)*EXP(F488*('Source Data'!H$7-'Source Data'!F$7))</x:f>
        <x:v>2546.1846435549196</x:v>
      </x:c>
      <x:c r="L488" s="14" t="n">
        <x:f>I488/K488-1</x:f>
        <x:v>-0.3429384611855175</x:v>
      </x:c>
      <x:c r="M488" s="8" t="n">
        <x:f>'Source Data'!G488</x:f>
        <x:v>1754</x:v>
      </x:c>
      <x:c r="N488" s="8" t="n">
        <x:f>M488*('Source Data'!H$8/'Source Data'!G$8)*EXP(F488*('Source Data'!H$7-'Source Data'!G$7))</x:f>
        <x:v>2499.168245892691</x:v>
      </x:c>
      <x:c r="O488" s="14" t="n">
        <x:f>I488/N488-1</x:f>
        <x:v>-0.3305772819618984</x:v>
      </x:c>
      <x:c r="P488" s="2" t="str"/>
    </x:row>
    <x:row r="489">
      <x:c r="A489" s="2" t="str">
        <x:f>'Source Data'!A489</x:f>
        <x:v>481219</x:v>
      </x:c>
      <x:c r="B489" s="2" t="str">
        <x:f>'Source Data'!B489</x:f>
        <x:v>Other Nonscheduled Air Transportation</x:v>
      </x:c>
      <x:c r="C489" s="13" t="n">
        <x:f>LN('Source Data'!C489/'Source Data'!C$8)</x:f>
        <x:v>-10.217492881003672</x:v>
      </x:c>
      <x:c r="D489" s="13" t="n">
        <x:f>LN('Source Data'!D489/'Source Data'!D$8)</x:f>
        <x:v>-10.164549767354709</x:v>
      </x:c>
      <x:c r="E489" s="13" t="n">
        <x:f>LN('Source Data'!E489/'Source Data'!E$8)</x:f>
        <x:v>-10.068300342783397</x:v>
      </x:c>
      <x:c r="F489" s="13" t="n">
        <x:f>SLOPE(C489:E489,'Source Data'!C$7:E$7)</x:f>
        <x:v>0.07459626911013739</x:v>
      </x:c>
      <x:c r="G489" s="14" t="n">
        <x:f>EXP(F489)-1</x:f>
        <x:v>0.07744906359222581</x:v>
      </x:c>
      <x:c r="H489" s="8" t="n">
        <x:f>'Source Data'!F489</x:f>
        <x:v>981</x:v>
      </x:c>
      <x:c r="I489" s="8" t="n">
        <x:f>'Source Data'!H489</x:f>
        <x:v>897</x:v>
      </x:c>
      <x:c r="J489" s="14" t="n">
        <x:f>I489/H489-1</x:f>
        <x:v>-0.08562691131498468</x:v>
      </x:c>
      <x:c r="K489" s="8" t="n">
        <x:f>H489*('Source Data'!H$8/'Source Data'!F$8)*EXP(F489*('Source Data'!H$7-'Source Data'!F$7))</x:f>
        <x:v>1345.5330606031428</x:v>
      </x:c>
      <x:c r="L489" s="14" t="n">
        <x:f>I489/K489-1</x:f>
        <x:v>-0.3333497137573753</x:v>
      </x:c>
      <x:c r="M489" s="8" t="n">
        <x:f>'Source Data'!G489</x:f>
        <x:v>1070</x:v>
      </x:c>
      <x:c r="N489" s="8" t="n">
        <x:f>M489*('Source Data'!H$8/'Source Data'!G$8)*EXP(F489*('Source Data'!H$7-'Source Data'!G$7))</x:f>
        <x:v>1359.2931178962585</x:v>
      </x:c>
      <x:c r="O489" s="14" t="n">
        <x:f>I489/N489-1</x:f>
        <x:v>-0.340098181775346</x:v>
      </x:c>
      <x:c r="P489" s="2" t="str"/>
    </x:row>
    <x:row r="490">
      <x:c r="A490" s="2" t="str">
        <x:f>'Source Data'!A490</x:f>
        <x:v>483111</x:v>
      </x:c>
      <x:c r="B490" s="2" t="str">
        <x:f>'Source Data'!B490</x:f>
        <x:v>Deep Sea Freight Transportation</x:v>
      </x:c>
      <x:c r="C490" s="13" t="n">
        <x:f>LN('Source Data'!C490/'Source Data'!C$8)</x:f>
        <x:v>-8.668464096365131</x:v>
      </x:c>
      <x:c r="D490" s="13" t="n">
        <x:f>LN('Source Data'!D490/'Source Data'!D$8)</x:f>
        <x:v>-8.601648786878908</x:v>
      </x:c>
      <x:c r="E490" s="13" t="n">
        <x:f>LN('Source Data'!E490/'Source Data'!E$8)</x:f>
        <x:v>-8.65157054625216</x:v>
      </x:c>
      <x:c r="F490" s="13" t="n">
        <x:f>SLOPE(C490:E490,'Source Data'!C$7:E$7)</x:f>
        <x:v>0.008446775056485833</x:v>
      </x:c>
      <x:c r="G490" s="14" t="n">
        <x:f>EXP(F490)-1</x:f>
        <x:v>0.008482549716808174</x:v>
      </x:c>
      <x:c r="H490" s="8" t="n">
        <x:f>'Source Data'!F490</x:f>
        <x:v>1954</x:v>
      </x:c>
      <x:c r="I490" s="8" t="n">
        <x:f>'Source Data'!H490</x:f>
        <x:v>1294</x:v>
      </x:c>
      <x:c r="J490" s="14" t="n">
        <x:f>I490/H490-1</x:f>
        <x:v>-0.3377686796315251</x:v>
      </x:c>
      <x:c r="K490" s="8" t="n">
        <x:f>H490*('Source Data'!H$8/'Source Data'!F$8)*EXP(F490*('Source Data'!H$7-'Source Data'!F$7))</x:f>
        <x:v>2057.0103843272445</x:v>
      </x:c>
      <x:c r="L490" s="14" t="n">
        <x:f>I490/K490-1</x:f>
        <x:v>-0.37093171242146683</x:v>
      </x:c>
      <x:c r="M490" s="8" t="n">
        <x:f>'Source Data'!G490</x:f>
        <x:v>1995</x:v>
      </x:c>
      <x:c r="N490" s="8" t="n">
        <x:f>M490*('Source Data'!H$8/'Source Data'!G$8)*EXP(F490*('Source Data'!H$7-'Source Data'!G$7))</x:f>
        <x:v>2078.19913472198</x:v>
      </x:c>
      <x:c r="O490" s="14" t="n">
        <x:f>I490/N490-1</x:f>
        <x:v>-0.3773455207539048</x:v>
      </x:c>
      <x:c r="P490" s="2" t="str"/>
    </x:row>
    <x:row r="491">
      <x:c r="A491" s="2" t="str">
        <x:f>'Source Data'!A491</x:f>
        <x:v>483211</x:v>
      </x:c>
      <x:c r="B491" s="2" t="str">
        <x:f>'Source Data'!B491</x:f>
        <x:v>Inland Water Freight Transportation</x:v>
      </x:c>
      <x:c r="C491" s="13" t="n">
        <x:f>LN('Source Data'!C491/'Source Data'!C$8)</x:f>
        <x:v>-11.662976113513894</x:v>
      </x:c>
      <x:c r="D491" s="13" t="n">
        <x:f>LN('Source Data'!D491/'Source Data'!D$8)</x:f>
        <x:v>-11.599989595543487</x:v>
      </x:c>
      <x:c r="E491" s="13" t="n">
        <x:f>LN('Source Data'!E491/'Source Data'!E$8)</x:f>
        <x:v>-11.538872462904036</x:v>
      </x:c>
      <x:c r="F491" s="13" t="n">
        <x:f>SLOPE(C491:E491,'Source Data'!C$7:E$7)</x:f>
        <x:v>0.0620518253049287</x:v>
      </x:c>
      <x:c r="G491" s="14" t="n">
        <x:f>EXP(F491)-1</x:f>
        <x:v>0.06401748632983462</x:v>
      </x:c>
      <x:c r="H491" s="8" t="n">
        <x:f>'Source Data'!F491</x:f>
        <x:v>155</x:v>
      </x:c>
      <x:c r="I491" s="8" t="n">
        <x:f>'Source Data'!H491</x:f>
        <x:v>174</x:v>
      </x:c>
      <x:c r="J491" s="14" t="n">
        <x:f>I491/H491-1</x:f>
        <x:v>0.1225806451612903</x:v>
      </x:c>
      <x:c r="K491" s="8" t="n">
        <x:f>H491*('Source Data'!H$8/'Source Data'!F$8)*EXP(F491*('Source Data'!H$7-'Source Data'!F$7))</x:f>
        <x:v>202.19254232447915</x:v>
      </x:c>
      <x:c r="L491" s="14" t="n">
        <x:f>I491/K491-1</x:f>
        <x:v>-0.13943413540562577</x:v>
      </x:c>
      <x:c r="M491" s="8" t="n">
        <x:f>'Source Data'!G491</x:f>
        <x:v>177</x:v>
      </x:c>
      <x:c r="N491" s="8" t="n">
        <x:f>M491*('Source Data'!H$8/'Source Data'!G$8)*EXP(F491*('Source Data'!H$7-'Source Data'!G$7))</x:f>
        <x:v>216.55023460902393</x:v>
      </x:c>
      <x:c r="O491" s="14" t="n">
        <x:f>I491/N491-1</x:f>
        <x:v>-0.19649128843405472</x:v>
      </x:c>
      <x:c r="P491" s="2" t="str"/>
    </x:row>
    <x:row r="492">
      <x:c r="A492" s="2" t="str">
        <x:f>'Source Data'!A492</x:f>
        <x:v>483212</x:v>
      </x:c>
      <x:c r="B492" s="2" t="str">
        <x:f>'Source Data'!B492</x:f>
        <x:v>Inland Water Passenger Transportation</x:v>
      </x:c>
      <x:c r="C492" s="13" t="n">
        <x:f>LN('Source Data'!C492/'Source Data'!C$8)</x:f>
        <x:v>-11.104522440758648</x:v>
      </x:c>
      <x:c r="D492" s="13" t="n">
        <x:f>LN('Source Data'!D492/'Source Data'!D$8)</x:f>
        <x:v>-11.072879378012997</x:v>
      </x:c>
      <x:c r="E492" s="13" t="n">
        <x:f>LN('Source Data'!E492/'Source Data'!E$8)</x:f>
        <x:v>-11.030809271833956</x:v>
      </x:c>
      <x:c r="F492" s="13" t="n">
        <x:f>SLOPE(C492:E492,'Source Data'!C$7:E$7)</x:f>
        <x:v>0.0368565844623463</x:v>
      </x:c>
      <x:c r="G492" s="14" t="n">
        <x:f>EXP(F492)-1</x:f>
        <x:v>0.037544210206787554</x:v>
      </x:c>
      <x:c r="H492" s="8" t="n">
        <x:f>'Source Data'!F492</x:f>
        <x:v>265</x:v>
      </x:c>
      <x:c r="I492" s="8" t="n">
        <x:f>'Source Data'!H492</x:f>
        <x:v>325</x:v>
      </x:c>
      <x:c r="J492" s="14" t="n">
        <x:f>I492/H492-1</x:f>
        <x:v>0.2264150943396226</x:v>
      </x:c>
      <x:c r="K492" s="8" t="n">
        <x:f>H492*('Source Data'!H$8/'Source Data'!F$8)*EXP(F492*('Source Data'!H$7-'Source Data'!F$7))</x:f>
        <x:v>312.5436592239346</x:v>
      </x:c>
      <x:c r="L492" s="14" t="n">
        <x:f>I492/K492-1</x:f>
        <x:v>0.039854722399409015</x:v>
      </x:c>
      <x:c r="M492" s="8" t="n">
        <x:f>'Source Data'!G492</x:f>
        <x:v>270</x:v>
      </x:c>
      <x:c r="N492" s="8" t="n">
        <x:f>M492*('Source Data'!H$8/'Source Data'!G$8)*EXP(F492*('Source Data'!H$7-'Source Data'!G$7))</x:f>
        <x:v>306.2828602722815</x:v>
      </x:c>
      <x:c r="O492" s="14" t="n">
        <x:f>I492/N492-1</x:f>
        <x:v>0.061110633847023754</x:v>
      </x:c>
      <x:c r="P492" s="2" t="str"/>
    </x:row>
    <x:row r="493">
      <x:c r="A493" s="2" t="str">
        <x:f>'Source Data'!A493</x:f>
        <x:v>484110</x:v>
      </x:c>
      <x:c r="B493" s="2" t="str">
        <x:f>'Source Data'!B493</x:f>
        <x:v>General Freight Trucking, Local</x:v>
      </x:c>
      <x:c r="C493" s="13" t="n">
        <x:f>LN('Source Data'!C493/'Source Data'!C$8)</x:f>
        <x:v>-5.99635252240368</x:v>
      </x:c>
      <x:c r="D493" s="13" t="n">
        <x:f>LN('Source Data'!D493/'Source Data'!D$8)</x:f>
        <x:v>-5.970410773087008</x:v>
      </x:c>
      <x:c r="E493" s="13" t="n">
        <x:f>LN('Source Data'!E493/'Source Data'!E$8)</x:f>
        <x:v>-5.890529798597234</x:v>
      </x:c>
      <x:c r="F493" s="13" t="n">
        <x:f>SLOPE(C493:E493,'Source Data'!C$7:E$7)</x:f>
        <x:v>0.05291136190322332</x:v>
      </x:c>
      <x:c r="G493" s="14" t="n">
        <x:f>EXP(F493)-1</x:f>
        <x:v>0.054336186624480476</x:v>
      </x:c>
      <x:c r="H493" s="8" t="n">
        <x:f>'Source Data'!F493</x:f>
        <x:v>47022</x:v>
      </x:c>
      <x:c r="I493" s="8" t="n">
        <x:f>'Source Data'!H493</x:f>
        <x:v>42532</x:v>
      </x:c>
      <x:c r="J493" s="14" t="n">
        <x:f>I493/H493-1</x:f>
        <x:v>-0.09548721874867083</x:v>
      </x:c>
      <x:c r="K493" s="8" t="n">
        <x:f>H493*('Source Data'!H$8/'Source Data'!F$8)*EXP(F493*('Source Data'!H$7-'Source Data'!F$7))</x:f>
        <x:v>59136.541332914916</x:v>
      </x:c>
      <x:c r="L493" s="14" t="n">
        <x:f>I493/K493-1</x:f>
        <x:v>-0.2807830988869984</x:v>
      </x:c>
      <x:c r="M493" s="8" t="n">
        <x:f>'Source Data'!G493</x:f>
        <x:v>47470</x:v>
      </x:c>
      <x:c r="N493" s="8" t="n">
        <x:f>M493*('Source Data'!H$8/'Source Data'!G$8)*EXP(F493*('Source Data'!H$7-'Source Data'!G$7))</x:f>
        <x:v>56506.143165713904</x:v>
      </x:c>
      <x:c r="O493" s="14" t="n">
        <x:f>I493/N493-1</x:f>
        <x:v>-0.2473030786180601</x:v>
      </x:c>
      <x:c r="P493" s="2" t="str"/>
    </x:row>
    <x:row r="494">
      <x:c r="A494" s="2" t="str">
        <x:f>'Source Data'!A494</x:f>
        <x:v>484121</x:v>
      </x:c>
      <x:c r="B494" s="2" t="str">
        <x:f>'Source Data'!B494</x:f>
        <x:v>General Freight Trucking, Long-Distance, Truckload</x:v>
      </x:c>
      <x:c r="C494" s="13" t="n">
        <x:f>LN('Source Data'!C494/'Source Data'!C$8)</x:f>
        <x:v>-6.394782749553435</x:v>
      </x:c>
      <x:c r="D494" s="13" t="n">
        <x:f>LN('Source Data'!D494/'Source Data'!D$8)</x:f>
        <x:v>-6.324811012090939</x:v>
      </x:c>
      <x:c r="E494" s="13" t="n">
        <x:f>LN('Source Data'!E494/'Source Data'!E$8)</x:f>
        <x:v>-6.2707654901475625</x:v>
      </x:c>
      <x:c r="F494" s="13" t="n">
        <x:f>SLOPE(C494:E494,'Source Data'!C$7:E$7)</x:f>
        <x:v>0.06200862970293608</x:v>
      </x:c>
      <x:c r="G494" s="14" t="n">
        <x:f>EXP(F494)-1</x:f>
        <x:v>0.06397152644662163</x:v>
      </x:c>
      <x:c r="H494" s="8" t="n">
        <x:f>'Source Data'!F494</x:f>
        <x:v>33938</x:v>
      </x:c>
      <x:c r="I494" s="8" t="n">
        <x:f>'Source Data'!H494</x:f>
        <x:v>34551</x:v>
      </x:c>
      <x:c r="J494" s="14" t="n">
        <x:f>I494/H494-1</x:f>
        <x:v>0.018062348989333454</x:v>
      </x:c>
      <x:c r="K494" s="8" t="n">
        <x:f>H494*('Source Data'!H$8/'Source Data'!F$8)*EXP(F494*('Source Data'!H$7-'Source Data'!F$7))</x:f>
        <x:v>44263.38689763053</x:v>
      </x:c>
      <x:c r="L494" s="14" t="n">
        <x:f>I494/K494-1</x:f>
        <x:v>-0.21942258779457402</x:v>
      </x:c>
      <x:c r="M494" s="8" t="n">
        <x:f>'Source Data'!G494</x:f>
        <x:v>37012</x:v>
      </x:c>
      <x:c r="N494" s="8" t="n">
        <x:f>M494*('Source Data'!H$8/'Source Data'!G$8)*EXP(F494*('Source Data'!H$7-'Source Data'!G$7))</x:f>
        <x:v>45276.3769374488</x:v>
      </x:c>
      <x:c r="O494" s="14" t="n">
        <x:f>I494/N494-1</x:f>
        <x:v>-0.2368868196381162</x:v>
      </x:c>
      <x:c r="P494" s="2" t="str"/>
    </x:row>
    <x:row r="495">
      <x:c r="A495" s="2" t="str">
        <x:f>'Source Data'!A495</x:f>
        <x:v>484122</x:v>
      </x:c>
      <x:c r="B495" s="2" t="str">
        <x:f>'Source Data'!B495</x:f>
        <x:v>General Freight Trucking, Long-Distance, Less Than Truckload</x:v>
      </x:c>
      <x:c r="C495" s="13" t="n">
        <x:f>LN('Source Data'!C495/'Source Data'!C$8)</x:f>
        <x:v>-6.527847436810153</x:v>
      </x:c>
      <x:c r="D495" s="13" t="n">
        <x:f>LN('Source Data'!D495/'Source Data'!D$8)</x:f>
        <x:v>-6.487462481331175</x:v>
      </x:c>
      <x:c r="E495" s="13" t="n">
        <x:f>LN('Source Data'!E495/'Source Data'!E$8)</x:f>
        <x:v>-6.481572962941839</x:v>
      </x:c>
      <x:c r="F495" s="13" t="n">
        <x:f>SLOPE(C495:E495,'Source Data'!C$7:E$7)</x:f>
        <x:v>0.023137236934156924</x:v>
      </x:c>
      <x:c r="G495" s="14" t="n">
        <x:f>EXP(F495)-1</x:f>
        <x:v>0.02340697914645995</x:v>
      </x:c>
      <x:c r="H495" s="8" t="n">
        <x:f>'Source Data'!F495</x:f>
        <x:v>24163</x:v>
      </x:c>
      <x:c r="I495" s="8" t="n">
        <x:f>'Source Data'!H495</x:f>
        <x:v>20389</x:v>
      </x:c>
      <x:c r="J495" s="14" t="n">
        <x:f>I495/H495-1</x:f>
        <x:v>-0.15618921491536641</x:v>
      </x:c>
      <x:c r="K495" s="8" t="n">
        <x:f>H495*('Source Data'!H$8/'Source Data'!F$8)*EXP(F495*('Source Data'!H$7-'Source Data'!F$7))</x:f>
        <x:v>26976.32124721315</x:v>
      </x:c>
      <x:c r="L495" s="14" t="n">
        <x:f>I495/K495-1</x:f>
        <x:v>-0.2441890125360836</x:v>
      </x:c>
      <x:c r="M495" s="8" t="n">
        <x:f>'Source Data'!G495</x:f>
        <x:v>22166</x:v>
      </x:c>
      <x:c r="N495" s="8" t="n">
        <x:f>M495*('Source Data'!H$8/'Source Data'!G$8)*EXP(F495*('Source Data'!H$7-'Source Data'!G$7))</x:f>
        <x:v>24130.790441399324</x:v>
      </x:c>
      <x:c r="O495" s="14" t="n">
        <x:f>I495/N495-1</x:f>
        <x:v>-0.15506290398924627</x:v>
      </x:c>
      <x:c r="P495" s="2" t="str"/>
    </x:row>
    <x:row r="496">
      <x:c r="A496" s="2" t="str">
        <x:f>'Source Data'!A496</x:f>
        <x:v>484210</x:v>
      </x:c>
      <x:c r="B496" s="2" t="str">
        <x:f>'Source Data'!B496</x:f>
        <x:v>Used Household and Office Goods Moving</x:v>
      </x:c>
      <x:c r="C496" s="13" t="n">
        <x:f>LN('Source Data'!C496/'Source Data'!C$8)</x:f>
        <x:v>-7.270838169235691</x:v>
      </x:c>
      <x:c r="D496" s="13" t="n">
        <x:f>LN('Source Data'!D496/'Source Data'!D$8)</x:f>
        <x:v>-7.307997900149757</x:v>
      </x:c>
      <x:c r="E496" s="13" t="n">
        <x:f>LN('Source Data'!E496/'Source Data'!E$8)</x:f>
        <x:v>-7.29918436303256</x:v>
      </x:c>
      <x:c r="F496" s="13" t="n">
        <x:f>SLOPE(C496:E496,'Source Data'!C$7:E$7)</x:f>
        <x:v>-0.0141730968984346</x:v>
      </x:c>
      <x:c r="G496" s="14" t="n">
        <x:f>EXP(F496)-1</x:f>
        <x:v>-0.0140731313914646</x:v>
      </x:c>
      <x:c r="H496" s="8" t="n">
        <x:f>'Source Data'!F496</x:f>
        <x:v>11162</x:v>
      </x:c>
      <x:c r="I496" s="8" t="n">
        <x:f>'Source Data'!H496</x:f>
        <x:v>8383</x:v>
      </x:c>
      <x:c r="J496" s="14" t="n">
        <x:f>I496/H496-1</x:f>
        <x:v>-0.24896971868840712</x:v>
      </x:c>
      <x:c r="K496" s="8" t="n">
        <x:f>H496*('Source Data'!H$8/'Source Data'!F$8)*EXP(F496*('Source Data'!H$7-'Source Data'!F$7))</x:f>
        <x:v>10733.940921480742</x:v>
      </x:c>
      <x:c r="L496" s="14" t="n">
        <x:f>I496/K496-1</x:f>
        <x:v>-0.2190193647121761</x:v>
      </x:c>
      <x:c r="M496" s="8" t="n">
        <x:f>'Source Data'!G496</x:f>
        <x:v>10222</x:v>
      </x:c>
      <x:c r="N496" s="8" t="n">
        <x:f>M496*('Source Data'!H$8/'Source Data'!G$8)*EXP(F496*('Source Data'!H$7-'Source Data'!G$7))</x:f>
        <x:v>9949.679227578034</x:v>
      </x:c>
      <x:c r="O496" s="14" t="n">
        <x:f>I496/N496-1</x:f>
        <x:v>-0.15746027502430315</x:v>
      </x:c>
      <x:c r="P496" s="2" t="str"/>
    </x:row>
    <x:row r="497">
      <x:c r="A497" s="2" t="str">
        <x:f>'Source Data'!A497</x:f>
        <x:v>484220</x:v>
      </x:c>
      <x:c r="B497" s="2" t="str">
        <x:f>'Source Data'!B497</x:f>
        <x:v>Specialized Freight (except Used Goods) Trucking, Local</x:v>
      </x:c>
      <x:c r="C497" s="13" t="n">
        <x:f>LN('Source Data'!C497/'Source Data'!C$8)</x:f>
        <x:v>-6.438191524975702</x:v>
      </x:c>
      <x:c r="D497" s="13" t="n">
        <x:f>LN('Source Data'!D497/'Source Data'!D$8)</x:f>
        <x:v>-6.449635621959013</x:v>
      </x:c>
      <x:c r="E497" s="13" t="n">
        <x:f>LN('Source Data'!E497/'Source Data'!E$8)</x:f>
        <x:v>-6.438879886602913</x:v>
      </x:c>
      <x:c r="F497" s="13" t="n">
        <x:f>SLOPE(C497:E497,'Source Data'!C$7:E$7)</x:f>
        <x:v>-0.00034418081360554353</x:v>
      </x:c>
      <x:c r="G497" s="14" t="n">
        <x:f>EXP(F497)-1</x:f>
        <x:v>-0.0003441215901840433</x:v>
      </x:c>
      <x:c r="H497" s="8" t="n">
        <x:f>'Source Data'!F497</x:f>
        <x:v>23858</x:v>
      </x:c>
      <x:c r="I497" s="8" t="n">
        <x:f>'Source Data'!H497</x:f>
        <x:v>24392</x:v>
      </x:c>
      <x:c r="J497" s="14" t="n">
        <x:f>I497/H497-1</x:f>
        <x:v>0.022382429373794865</x:v>
      </x:c>
      <x:c r="K497" s="8" t="n">
        <x:f>H497*('Source Data'!H$8/'Source Data'!F$8)*EXP(F497*('Source Data'!H$7-'Source Data'!F$7))</x:f>
        <x:v>24247.920780672</x:v>
      </x:c>
      <x:c r="L497" s="14" t="n">
        <x:f>I497/K497-1</x:f>
        <x:v>0.005941920572540171</x:v>
      </x:c>
      <x:c r="M497" s="8" t="n">
        <x:f>'Source Data'!G497</x:f>
        <x:v>24170</x:v>
      </x:c>
      <x:c r="N497" s="8" t="n">
        <x:f>M497*('Source Data'!H$8/'Source Data'!G$8)*EXP(F497*('Source Data'!H$7-'Source Data'!G$7))</x:f>
        <x:v>24522.645452793564</x:v>
      </x:c>
      <x:c r="O497" s="14" t="n">
        <x:f>I497/N497-1</x:f>
        <x:v>-0.005327543190438377</x:v>
      </x:c>
      <x:c r="P497" s="2" t="str"/>
    </x:row>
    <x:row r="498">
      <x:c r="A498" s="2" t="str">
        <x:f>'Source Data'!A498</x:f>
        <x:v>484230</x:v>
      </x:c>
      <x:c r="B498" s="2" t="str">
        <x:f>'Source Data'!B498</x:f>
        <x:v>Specialized Freight (except Used Goods) Trucking, Long-Distance</x:v>
      </x:c>
      <x:c r="C498" s="13" t="n">
        <x:f>LN('Source Data'!C498/'Source Data'!C$8)</x:f>
        <x:v>-7.889001073005351</x:v>
      </x:c>
      <x:c r="D498" s="13" t="n">
        <x:f>LN('Source Data'!D498/'Source Data'!D$8)</x:f>
        <x:v>-7.926716362088731</x:v>
      </x:c>
      <x:c r="E498" s="13" t="n">
        <x:f>LN('Source Data'!E498/'Source Data'!E$8)</x:f>
        <x:v>-7.959000011551538</x:v>
      </x:c>
      <x:c r="F498" s="13" t="n">
        <x:f>SLOPE(C498:E498,'Source Data'!C$7:E$7)</x:f>
        <x:v>-0.03499946927309372</x:v>
      </x:c>
      <x:c r="G498" s="14" t="n">
        <x:f>EXP(F498)-1</x:f>
        <x:v>-0.03439407126952232</x:v>
      </x:c>
      <x:c r="H498" s="8" t="n">
        <x:f>'Source Data'!F498</x:f>
        <x:v>6197</x:v>
      </x:c>
      <x:c r="I498" s="8" t="n">
        <x:f>'Source Data'!H498</x:f>
        <x:v>6855</x:v>
      </x:c>
      <x:c r="J498" s="14" t="n">
        <x:f>I498/H498-1</x:f>
        <x:v>0.1061804098757464</x:v>
      </x:c>
      <x:c r="K498" s="8" t="n">
        <x:f>H498*('Source Data'!H$8/'Source Data'!F$8)*EXP(F498*('Source Data'!H$7-'Source Data'!F$7))</x:f>
        <x:v>5483.016644026282</x:v>
      </x:c>
      <x:c r="L498" s="14" t="n">
        <x:f>I498/K498-1</x:f>
        <x:v>0.25022418224254106</x:v>
      </x:c>
      <x:c r="M498" s="8" t="n">
        <x:f>'Source Data'!G498</x:f>
        <x:v>6461</x:v>
      </x:c>
      <x:c r="N498" s="8" t="n">
        <x:f>M498*('Source Data'!H$8/'Source Data'!G$8)*EXP(F498*('Source Data'!H$7-'Source Data'!G$7))</x:f>
        <x:v>5907.9744459069225</x:v>
      </x:c>
      <x:c r="O498" s="14" t="n">
        <x:f>I498/N498-1</x:f>
        <x:v>0.1602961493425521</x:v>
      </x:c>
      <x:c r="P498" s="2" t="str"/>
    </x:row>
    <x:row r="499">
      <x:c r="A499" s="2" t="str">
        <x:f>'Source Data'!A499</x:f>
        <x:v>485111</x:v>
      </x:c>
      <x:c r="B499" s="2" t="str">
        <x:f>'Source Data'!B499</x:f>
        <x:v>Mixed Mode Transit Systems</x:v>
      </x:c>
      <x:c r="C499" s="13" t="n">
        <x:f>LN('Source Data'!C499/'Source Data'!C$8)</x:f>
        <x:v>-8.923973601590161</x:v>
      </x:c>
      <x:c r="D499" s="13" t="n">
        <x:f>LN('Source Data'!D499/'Source Data'!D$8)</x:f>
        <x:v>-9.093550277457132</x:v>
      </x:c>
      <x:c r="E499" s="13" t="n">
        <x:f>LN('Source Data'!E499/'Source Data'!E$8)</x:f>
        <x:v>-9.121113098105573</x:v>
      </x:c>
      <x:c r="F499" s="13" t="n">
        <x:f>SLOPE(C499:E499,'Source Data'!C$7:E$7)</x:f>
        <x:v>-0.09856974825770592</x:v>
      </x:c>
      <x:c r="G499" s="14" t="n">
        <x:f>EXP(F499)-1</x:f>
        <x:v>-0.09386751075224176</x:v>
      </x:c>
      <x:c r="H499" s="8" t="n">
        <x:f>'Source Data'!F499</x:f>
        <x:v>760</x:v>
      </x:c>
      <x:c r="I499" s="8" t="n">
        <x:f>'Source Data'!H499</x:f>
        <x:v>570</x:v>
      </x:c>
      <x:c r="J499" s="14" t="n">
        <x:f>I499/H499-1</x:f>
        <x:v>-0.25</x:v>
      </x:c>
      <x:c r="K499" s="8" t="n">
        <x:f>H499*('Source Data'!H$8/'Source Data'!F$8)*EXP(F499*('Source Data'!H$7-'Source Data'!F$7))</x:f>
        <x:v>521.4573278743</x:v>
      </x:c>
      <x:c r="L499" s="14" t="n">
        <x:f>I499/K499-1</x:f>
        <x:v>0.09309040170857763</x:v>
      </x:c>
      <x:c r="M499" s="8" t="n">
        <x:f>'Source Data'!G499</x:f>
        <x:v>496</x:v>
      </x:c>
      <x:c r="N499" s="8" t="n">
        <x:f>M499*('Source Data'!H$8/'Source Data'!G$8)*EXP(F499*('Source Data'!H$7-'Source Data'!G$7))</x:f>
        <x:v>374.7968045262497</x:v>
      </x:c>
      <x:c r="O499" s="14" t="n">
        <x:f>I499/N499-1</x:f>
        <x:v>0.5208240655106195</x:v>
      </x:c>
      <x:c r="P499" s="2" t="str"/>
    </x:row>
    <x:row r="500">
      <x:c r="A500" s="2" t="str">
        <x:f>'Source Data'!A500</x:f>
        <x:v>485113</x:v>
      </x:c>
      <x:c r="B500" s="2" t="str">
        <x:f>'Source Data'!B500</x:f>
        <x:v>Bus and Other Motor Vehicle Transit Systems</x:v>
      </x:c>
      <x:c r="C500" s="13" t="n">
        <x:f>LN('Source Data'!C500/'Source Data'!C$8)</x:f>
        <x:v>-8.12614927071031</x:v>
      </x:c>
      <x:c r="D500" s="13" t="n">
        <x:f>LN('Source Data'!D500/'Source Data'!D$8)</x:f>
        <x:v>-8.167206775161532</x:v>
      </x:c>
      <x:c r="E500" s="13" t="n">
        <x:f>LN('Source Data'!E500/'Source Data'!E$8)</x:f>
        <x:v>-8.190784906555828</x:v>
      </x:c>
      <x:c r="F500" s="13" t="n">
        <x:f>SLOPE(C500:E500,'Source Data'!C$7:E$7)</x:f>
        <x:v>-0.03231781792275967</x:v>
      </x:c>
      <x:c r="G500" s="14" t="n">
        <x:f>EXP(F500)-1</x:f>
        <x:v>-0.03180117776251057</x:v>
      </x:c>
      <x:c r="H500" s="8" t="n">
        <x:f>'Source Data'!F500</x:f>
        <x:v>5582</x:v>
      </x:c>
      <x:c r="I500" s="8" t="n">
        <x:f>'Source Data'!H500</x:f>
        <x:v>6061</x:v>
      </x:c>
      <x:c r="J500" s="14" t="n">
        <x:f>I500/H500-1</x:f>
        <x:v>0.08581153708348266</x:v>
      </x:c>
      <x:c r="K500" s="8" t="n">
        <x:f>H500*('Source Data'!H$8/'Source Data'!F$8)*EXP(F500*('Source Data'!H$7-'Source Data'!F$7))</x:f>
        <x:v>4992.135971226803</x:v>
      </x:c>
      <x:c r="L500" s="14" t="n">
        <x:f>I500/K500-1</x:f>
        <x:v>0.21410955850037205</x:v>
      </x:c>
      <x:c r="M500" s="8" t="n">
        <x:f>'Source Data'!G500</x:f>
        <x:v>4706</x:v>
      </x:c>
      <x:c r="N500" s="8" t="n">
        <x:f>M500*('Source Data'!H$8/'Source Data'!G$8)*EXP(F500*('Source Data'!H$7-'Source Data'!G$7))</x:f>
        <x:v>4337.95127020914</x:v>
      </x:c>
      <x:c r="O500" s="14" t="n">
        <x:f>I500/N500-1</x:f>
        <x:v>0.39720333919467676</x:v>
      </x:c>
      <x:c r="P500" s="2" t="str"/>
    </x:row>
    <x:row r="501">
      <x:c r="A501" s="2" t="str">
        <x:f>'Source Data'!A501</x:f>
        <x:v>485210</x:v>
      </x:c>
      <x:c r="B501" s="2" t="str">
        <x:f>'Source Data'!B501</x:f>
        <x:v>Interurban and Rural Bus Transportation</x:v>
      </x:c>
      <x:c r="C501" s="13" t="n">
        <x:f>LN('Source Data'!C501/'Source Data'!C$8)</x:f>
        <x:v>-9.521476258015774</x:v>
      </x:c>
      <x:c r="D501" s="13" t="n">
        <x:f>LN('Source Data'!D501/'Source Data'!D$8)</x:f>
        <x:v>-9.560515314270718</x:v>
      </x:c>
      <x:c r="E501" s="13" t="n">
        <x:f>LN('Source Data'!E501/'Source Data'!E$8)</x:f>
        <x:v>-9.507101023242331</x:v>
      </x:c>
      <x:c r="F501" s="13" t="n">
        <x:f>SLOPE(C501:E501,'Source Data'!C$7:E$7)</x:f>
        <x:v>0.007187617386721357</x:v>
      </x:c>
      <x:c r="G501" s="14" t="n">
        <x:f>EXP(F501)-1</x:f>
        <x:v>0.007213510307530813</x:v>
      </x:c>
      <x:c r="H501" s="8" t="n">
        <x:f>'Source Data'!F501</x:f>
        <x:v>536</x:v>
      </x:c>
      <x:c r="I501" s="8" t="n">
        <x:f>'Source Data'!H501</x:f>
        <x:v>502</x:v>
      </x:c>
      <x:c r="J501" s="14" t="n">
        <x:f>I501/H501-1</x:f>
        <x:v>-0.06343283582089554</x:v>
      </x:c>
      <x:c r="K501" s="8" t="n">
        <x:f>H501*('Source Data'!H$8/'Source Data'!F$8)*EXP(F501*('Source Data'!H$7-'Source Data'!F$7))</x:f>
        <x:v>561.4218791886095</x:v>
      </x:c>
      <x:c r="L501" s="14" t="n">
        <x:f>I501/K501-1</x:f>
        <x:v>-0.10584175891842429</x:v>
      </x:c>
      <x:c r="M501" s="8" t="n">
        <x:f>'Source Data'!G501</x:f>
        <x:v>627</x:v>
      </x:c>
      <x:c r="N501" s="8" t="n">
        <x:f>M501*('Source Data'!H$8/'Source Data'!G$8)*EXP(F501*('Source Data'!H$7-'Source Data'!G$7))</x:f>
        <x:v>650.6857035348427</x:v>
      </x:c>
      <x:c r="O501" s="14" t="n">
        <x:f>I501/N501-1</x:f>
        <x:v>-0.22850617852383925</x:v>
      </x:c>
      <x:c r="P501" s="2" t="str"/>
    </x:row>
    <x:row r="502">
      <x:c r="A502" s="2" t="str">
        <x:f>'Source Data'!A502</x:f>
        <x:v>485410</x:v>
      </x:c>
      <x:c r="B502" s="2" t="str">
        <x:f>'Source Data'!B502</x:f>
        <x:v>School and Employee Bus Transportation</x:v>
      </x:c>
      <x:c r="C502" s="13" t="n">
        <x:f>LN('Source Data'!C502/'Source Data'!C$8)</x:f>
        <x:v>-7.219559965505264</x:v>
      </x:c>
      <x:c r="D502" s="13" t="n">
        <x:f>LN('Source Data'!D502/'Source Data'!D$8)</x:f>
        <x:v>-7.226299855205794</x:v>
      </x:c>
      <x:c r="E502" s="13" t="n">
        <x:f>LN('Source Data'!E502/'Source Data'!E$8)</x:f>
        <x:v>-7.147151590254736</x:v>
      </x:c>
      <x:c r="F502" s="13" t="n">
        <x:f>SLOPE(C502:E502,'Source Data'!C$7:E$7)</x:f>
        <x:v>0.036204187625263895</x:v>
      </x:c>
      <x:c r="G502" s="14" t="n">
        <x:f>EXP(F502)-1</x:f>
        <x:v>0.03686754039833717</x:v>
      </x:c>
      <x:c r="H502" s="8" t="n">
        <x:f>'Source Data'!F502</x:f>
        <x:v>9671</x:v>
      </x:c>
      <x:c r="I502" s="8" t="n">
        <x:f>'Source Data'!H502</x:f>
        <x:v>10645</x:v>
      </x:c>
      <x:c r="J502" s="14" t="n">
        <x:f>I502/H502-1</x:f>
        <x:v>0.10071347327060276</x:v>
      </x:c>
      <x:c r="K502" s="8" t="n">
        <x:f>H502*('Source Data'!H$8/'Source Data'!F$8)*EXP(F502*('Source Data'!H$7-'Source Data'!F$7))</x:f>
        <x:v>11376.348102666507</x:v>
      </x:c>
      <x:c r="L502" s="14" t="n">
        <x:f>I502/K502-1</x:f>
        <x:v>-0.06428671978621026</x:v>
      </x:c>
      <x:c r="M502" s="8" t="n">
        <x:f>'Source Data'!G502</x:f>
        <x:v>9428</x:v>
      </x:c>
      <x:c r="N502" s="8" t="n">
        <x:f>M502*('Source Data'!H$8/'Source Data'!G$8)*EXP(F502*('Source Data'!H$7-'Source Data'!G$7))</x:f>
        <x:v>10674.032156579293</x:v>
      </x:c>
      <x:c r="O502" s="14" t="n">
        <x:f>I502/N502-1</x:f>
        <x:v>-0.0027198865577146014</x:v>
      </x:c>
      <x:c r="P502" s="2" t="str"/>
    </x:row>
    <x:row r="503">
      <x:c r="A503" s="2" t="str">
        <x:f>'Source Data'!A503</x:f>
        <x:v>485510</x:v>
      </x:c>
      <x:c r="B503" s="2" t="str">
        <x:f>'Source Data'!B503</x:f>
        <x:v>Charter Bus Industry</x:v>
      </x:c>
      <x:c r="C503" s="13" t="n">
        <x:f>LN('Source Data'!C503/'Source Data'!C$8)</x:f>
        <x:v>-8.199784094049905</x:v>
      </x:c>
      <x:c r="D503" s="13" t="n">
        <x:f>LN('Source Data'!D503/'Source Data'!D$8)</x:f>
        <x:v>-8.237595103887102</x:v>
      </x:c>
      <x:c r="E503" s="13" t="n">
        <x:f>LN('Source Data'!E503/'Source Data'!E$8)</x:f>
        <x:v>-8.444700116536792</x:v>
      </x:c>
      <x:c r="F503" s="13" t="n">
        <x:f>SLOPE(C503:E503,'Source Data'!C$7:E$7)</x:f>
        <x:v>-0.12245801124344347</x:v>
      </x:c>
      <x:c r="G503" s="14" t="n">
        <x:f>EXP(F503)-1</x:f>
        <x:v>-0.11525694657574581</x:v>
      </x:c>
      <x:c r="H503" s="8" t="n">
        <x:f>'Source Data'!F503</x:f>
        <x:v>1812</x:v>
      </x:c>
      <x:c r="I503" s="8" t="n">
        <x:f>'Source Data'!H503</x:f>
        <x:v>2310</x:v>
      </x:c>
      <x:c r="J503" s="14" t="n">
        <x:f>I503/H503-1</x:f>
        <x:v>0.2748344370860927</x:v>
      </x:c>
      <x:c r="K503" s="8" t="n">
        <x:f>H503*('Source Data'!H$8/'Source Data'!F$8)*EXP(F503*('Source Data'!H$7-'Source Data'!F$7))</x:f>
        <x:v>1129.9655750989439</x:v>
      </x:c>
      <x:c r="L503" s="14" t="n">
        <x:f>I503/K503-1</x:f>
        <x:v>1.0443100665236886</x:v>
      </x:c>
      <x:c r="M503" s="8" t="n">
        <x:f>'Source Data'!G503</x:f>
        <x:v>2043</x:v>
      </x:c>
      <x:c r="N503" s="8" t="n">
        <x:f>M503*('Source Data'!H$8/'Source Data'!G$8)*EXP(F503*('Source Data'!H$7-'Source Data'!G$7))</x:f>
        <x:v>1437.0072102718493</x:v>
      </x:c>
      <x:c r="O503" s="14" t="n">
        <x:f>I503/N503-1</x:f>
        <x:v>0.6075075918115957</x:v>
      </x:c>
      <x:c r="P503" s="2" t="str"/>
    </x:row>
    <x:row r="504">
      <x:c r="A504" s="2" t="str">
        <x:f>'Source Data'!A504</x:f>
        <x:v>485991</x:v>
      </x:c>
      <x:c r="B504" s="2" t="str">
        <x:f>'Source Data'!B504</x:f>
        <x:v>Special Needs Transportation</x:v>
      </x:c>
      <x:c r="C504" s="13" t="n">
        <x:f>LN('Source Data'!C504/'Source Data'!C$8)</x:f>
        <x:v>-7.274163611913281</x:v>
      </x:c>
      <x:c r="D504" s="13" t="n">
        <x:f>LN('Source Data'!D504/'Source Data'!D$8)</x:f>
        <x:v>-7.302907276246597</x:v>
      </x:c>
      <x:c r="E504" s="13" t="n">
        <x:f>LN('Source Data'!E504/'Source Data'!E$8)</x:f>
        <x:v>-7.283700055433867</x:v>
      </x:c>
      <x:c r="F504" s="13" t="n">
        <x:f>SLOPE(C504:E504,'Source Data'!C$7:E$7)</x:f>
        <x:v>-0.004768221760293123</x:v>
      </x:c>
      <x:c r="G504" s="14" t="n">
        <x:f>EXP(F504)-1</x:f>
        <x:v>-0.0047568718377305474</x:v>
      </x:c>
      <x:c r="H504" s="8" t="n">
        <x:f>'Source Data'!F504</x:f>
        <x:v>9616</x:v>
      </x:c>
      <x:c r="I504" s="8" t="n">
        <x:f>'Source Data'!H504</x:f>
        <x:v>12856</x:v>
      </x:c>
      <x:c r="J504" s="14" t="n">
        <x:f>I504/H504-1</x:f>
        <x:v>0.33693843594009976</x:v>
      </x:c>
      <x:c r="K504" s="8" t="n">
        <x:f>H504*('Source Data'!H$8/'Source Data'!F$8)*EXP(F504*('Source Data'!H$7-'Source Data'!F$7))</x:f>
        <x:v>9601.7319710347</x:v>
      </x:c>
      <x:c r="L504" s="14" t="n">
        <x:f>I504/K504-1</x:f>
        <x:v>0.3389251063019012</x:v>
      </x:c>
      <x:c r="M504" s="8" t="n">
        <x:f>'Source Data'!G504</x:f>
        <x:v>10282</x:v>
      </x:c>
      <x:c r="N504" s="8" t="n">
        <x:f>M504*('Source Data'!H$8/'Source Data'!G$8)*EXP(F504*('Source Data'!H$7-'Source Data'!G$7))</x:f>
        <x:v>10294.47631118294</x:v>
      </x:c>
      <x:c r="O504" s="14" t="n">
        <x:f>I504/N504-1</x:f>
        <x:v>0.2488250602932045</x:v>
      </x:c>
      <x:c r="P504" s="2" t="str"/>
    </x:row>
    <x:row r="505">
      <x:c r="A505" s="2" t="str">
        <x:f>'Source Data'!A505</x:f>
        <x:v>485999</x:v>
      </x:c>
      <x:c r="B505" s="2" t="str">
        <x:f>'Source Data'!B505</x:f>
        <x:v>All Other Transit and Ground Passenger Transportation</x:v>
      </x:c>
      <x:c r="C505" s="13" t="n">
        <x:f>LN('Source Data'!C505/'Source Data'!C$8)</x:f>
        <x:v>-8.419685327129036</x:v>
      </x:c>
      <x:c r="D505" s="13" t="n">
        <x:f>LN('Source Data'!D505/'Source Data'!D$8)</x:f>
        <x:v>-8.345343319714159</x:v>
      </x:c>
      <x:c r="E505" s="13" t="n">
        <x:f>LN('Source Data'!E505/'Source Data'!E$8)</x:f>
        <x:v>-8.040277218007072</x:v>
      </x:c>
      <x:c r="F505" s="13" t="n">
        <x:f>SLOPE(C505:E505,'Source Data'!C$7:E$7)</x:f>
        <x:v>0.18970405456098227</x:v>
      </x:c>
      <x:c r="G505" s="14" t="n">
        <x:f>EXP(F505)-1</x:f>
        <x:v>0.2088917787042459</x:v>
      </x:c>
      <x:c r="H505" s="8" t="n">
        <x:f>'Source Data'!F505</x:f>
        <x:v>5633</x:v>
      </x:c>
      <x:c r="I505" s="8" t="n">
        <x:f>'Source Data'!H505</x:f>
        <x:v>6190</x:v>
      </x:c>
      <x:c r="J505" s="14" t="n">
        <x:f>I505/H505-1</x:f>
        <x:v>0.09888159062666424</x:v>
      </x:c>
      <x:c r="K505" s="8" t="n">
        <x:f>H505*('Source Data'!H$8/'Source Data'!F$8)*EXP(F505*('Source Data'!H$7-'Source Data'!F$7))</x:f>
        <x:v>12244.12687509516</x:v>
      </x:c>
      <x:c r="L505" s="14" t="n">
        <x:f>I505/K505-1</x:f>
        <x:v>-0.49445149800018784</x:v>
      </x:c>
      <x:c r="M505" s="8" t="n">
        <x:f>'Source Data'!G505</x:f>
        <x:v>5188</x:v>
      </x:c>
      <x:c r="N505" s="8" t="n">
        <x:f>M505*('Source Data'!H$8/'Source Data'!G$8)*EXP(F505*('Source Data'!H$7-'Source Data'!G$7))</x:f>
        <x:v>9308.96368164474</x:v>
      </x:c>
      <x:c r="O505" s="14" t="n">
        <x:f>I505/N505-1</x:f>
        <x:v>-0.33504950586440263</x:v>
      </x:c>
      <x:c r="P505" s="2" t="str"/>
    </x:row>
    <x:row r="506">
      <x:c r="A506" s="2" t="str">
        <x:f>'Source Data'!A506</x:f>
        <x:v>486110</x:v>
      </x:c>
      <x:c r="B506" s="2" t="str">
        <x:f>'Source Data'!B506</x:f>
        <x:v>Pipeline Transportation of Crude Oil</x:v>
      </x:c>
      <x:c r="C506" s="13" t="n">
        <x:f>LN('Source Data'!C506/'Source Data'!C$8)</x:f>
        <x:v>-9.9212270648605</x:v>
      </x:c>
      <x:c r="D506" s="13" t="n">
        <x:f>LN('Source Data'!D506/'Source Data'!D$8)</x:f>
        <x:v>-10.1399871289863</x:v>
      </x:c>
      <x:c r="E506" s="13" t="n">
        <x:f>LN('Source Data'!E506/'Source Data'!E$8)</x:f>
        <x:v>-10.31916207753009</x:v>
      </x:c>
      <x:c r="F506" s="13" t="n">
        <x:f>SLOPE(C506:E506,'Source Data'!C$7:E$7)</x:f>
        <x:v>-0.1989675063347951</x:v>
      </x:c>
      <x:c r="G506" s="14" t="n">
        <x:f>EXP(F506)-1</x:f>
        <x:v>-0.18042347605456088</x:v>
      </x:c>
      <x:c r="H506" s="8" t="n">
        <x:f>'Source Data'!F506</x:f>
        <x:v>217</x:v>
      </x:c>
      <x:c r="I506" s="8" t="n">
        <x:f>'Source Data'!H506</x:f>
        <x:v>298</x:v>
      </x:c>
      <x:c r="J506" s="14" t="n">
        <x:f>I506/H506-1</x:f>
        <x:v>0.3732718894009217</x:v>
      </x:c>
      <x:c r="K506" s="8" t="n">
        <x:f>H506*('Source Data'!H$8/'Source Data'!F$8)*EXP(F506*('Source Data'!H$7-'Source Data'!F$7))</x:f>
        <x:v>99.64514583205279</x:v>
      </x:c>
      <x:c r="L506" s="14" t="n">
        <x:f>I506/K506-1</x:f>
        <x:v>1.990612312437828</x:v>
      </x:c>
      <x:c r="M506" s="8" t="n">
        <x:f>'Source Data'!G506</x:f>
        <x:v>320</x:v>
      </x:c>
      <x:c r="N506" s="8" t="n">
        <x:f>M506*('Source Data'!H$8/'Source Data'!G$8)*EXP(F506*('Source Data'!H$7-'Source Data'!G$7))</x:f>
        <x:v>178.91947053900515</x:v>
      </x:c>
      <x:c r="O506" s="14" t="n">
        <x:f>I506/N506-1</x:f>
        <x:v>0.6655537773628435</x:v>
      </x:c>
      <x:c r="P506" s="2" t="str"/>
    </x:row>
    <x:row r="507">
      <x:c r="A507" s="2" t="str">
        <x:f>'Source Data'!A507</x:f>
        <x:v>486210</x:v>
      </x:c>
      <x:c r="B507" s="2" t="str">
        <x:f>'Source Data'!B507</x:f>
        <x:v>Pipeline Transportation of Natural Gas</x:v>
      </x:c>
      <x:c r="C507" s="13" t="n">
        <x:f>LN('Source Data'!C507/'Source Data'!C$8)</x:f>
        <x:v>-10.47374559092516</x:v>
      </x:c>
      <x:c r="D507" s="13" t="n">
        <x:f>LN('Source Data'!D507/'Source Data'!D$8)</x:f>
        <x:v>-10.436372476566381</x:v>
      </x:c>
      <x:c r="E507" s="13" t="n">
        <x:f>LN('Source Data'!E507/'Source Data'!E$8)</x:f>
        <x:v>-10.53419199407013</x:v>
      </x:c>
      <x:c r="F507" s="13" t="n">
        <x:f>SLOPE(C507:E507,'Source Data'!C$7:E$7)</x:f>
        <x:v>-0.03022320157248437</x:v>
      </x:c>
      <x:c r="G507" s="14" t="n">
        <x:f>EXP(F507)-1</x:f>
        <x:v>-0.029771047249103844</x:v>
      </x:c>
      <x:c r="H507" s="8" t="n">
        <x:f>'Source Data'!F507</x:f>
        <x:v>553</x:v>
      </x:c>
      <x:c r="I507" s="8" t="n">
        <x:f>'Source Data'!H507</x:f>
        <x:v>509</x:v>
      </x:c>
      <x:c r="J507" s="14" t="n">
        <x:f>I507/H507-1</x:f>
        <x:v>-0.07956600361663657</x:v>
      </x:c>
      <x:c r="K507" s="8" t="n">
        <x:f>H507*('Source Data'!H$8/'Source Data'!F$8)*EXP(F507*('Source Data'!H$7-'Source Data'!F$7))</x:f>
        <x:v>498.7241814417815</x:v>
      </x:c>
      <x:c r="L507" s="14" t="n">
        <x:f>I507/K507-1</x:f>
        <x:v>0.020604211587478494</x:v>
      </x:c>
      <x:c r="M507" s="8" t="n">
        <x:f>'Source Data'!G507</x:f>
        <x:v>558</x:v>
      </x:c>
      <x:c r="N507" s="8" t="n">
        <x:f>M507*('Source Data'!H$8/'Source Data'!G$8)*EXP(F507*('Source Data'!H$7-'Source Data'!G$7))</x:f>
        <x:v>517.6020481694296</x:v>
      </x:c>
      <x:c r="O507" s="14" t="n">
        <x:f>I507/N507-1</x:f>
        <x:v>-0.016619038119829566</x:v>
      </x:c>
      <x:c r="P507" s="2" t="str"/>
    </x:row>
    <x:row r="508">
      <x:c r="A508" s="2" t="str">
        <x:f>'Source Data'!A508</x:f>
        <x:v>487110</x:v>
      </x:c>
      <x:c r="B508" s="2" t="str">
        <x:f>'Source Data'!B508</x:f>
        <x:v>Scenic and Sightseeing Transportation, Land</x:v>
      </x:c>
      <x:c r="C508" s="13" t="n">
        <x:f>LN('Source Data'!C508/'Source Data'!C$8)</x:f>
        <x:v>-8.899575817328518</x:v>
      </x:c>
      <x:c r="D508" s="13" t="n">
        <x:f>LN('Source Data'!D508/'Source Data'!D$8)</x:f>
        <x:v>-8.91153308834168</x:v>
      </x:c>
      <x:c r="E508" s="13" t="n">
        <x:f>LN('Source Data'!E508/'Source Data'!E$8)</x:f>
        <x:v>-8.91170823680273</x:v>
      </x:c>
      <x:c r="F508" s="13" t="n">
        <x:f>SLOPE(C508:E508,'Source Data'!C$7:E$7)</x:f>
        <x:v>-0.006066209737105588</x:v>
      </x:c>
      <x:c r="G508" s="14" t="n">
        <x:f>EXP(F508)-1</x:f>
        <x:v>-0.006047847435438181</x:v>
      </x:c>
      <x:c r="H508" s="8" t="n">
        <x:f>'Source Data'!F508</x:f>
        <x:v>1285</x:v>
      </x:c>
      <x:c r="I508" s="8" t="n">
        <x:f>'Source Data'!H508</x:f>
        <x:v>1093</x:v>
      </x:c>
      <x:c r="J508" s="14" t="n">
        <x:f>I508/H508-1</x:f>
        <x:v>-0.1494163424124514</x:v>
      </x:c>
      <x:c r="K508" s="8" t="n">
        <x:f>H508*('Source Data'!H$8/'Source Data'!F$8)*EXP(F508*('Source Data'!H$7-'Source Data'!F$7))</x:f>
        <x:v>1276.4488475829996</x:v>
      </x:c>
      <x:c r="L508" s="14" t="n">
        <x:f>I508/K508-1</x:f>
        <x:v>-0.14371813483193352</x:v>
      </x:c>
      <x:c r="M508" s="8" t="n">
        <x:f>'Source Data'!G508</x:f>
        <x:v>1349</x:v>
      </x:c>
      <x:c r="N508" s="8" t="n">
        <x:f>M508*('Source Data'!H$8/'Source Data'!G$8)*EXP(F508*('Source Data'!H$7-'Source Data'!G$7))</x:f>
        <x:v>1345.387789165476</x:v>
      </x:c>
      <x:c r="O508" s="14" t="n">
        <x:f>I508/N508-1</x:f>
        <x:v>-0.18759482670942662</x:v>
      </x:c>
      <x:c r="P508" s="2" t="str"/>
    </x:row>
    <x:row r="509">
      <x:c r="A509" s="2" t="str">
        <x:f>'Source Data'!A509</x:f>
        <x:v>487210</x:v>
      </x:c>
      <x:c r="B509" s="2" t="str">
        <x:f>'Source Data'!B509</x:f>
        <x:v>Scenic and Sightseeing Transportation, Water</x:v>
      </x:c>
      <x:c r="C509" s="13" t="n">
        <x:f>LN('Source Data'!C509/'Source Data'!C$8)</x:f>
        <x:v>-8.843728804309405</x:v>
      </x:c>
      <x:c r="D509" s="13" t="n">
        <x:f>LN('Source Data'!D509/'Source Data'!D$8)</x:f>
        <x:v>-8.78047812330907</x:v>
      </x:c>
      <x:c r="E509" s="13" t="n">
        <x:f>LN('Source Data'!E509/'Source Data'!E$8)</x:f>
        <x:v>-8.845177683133917</x:v>
      </x:c>
      <x:c r="F509" s="13" t="n">
        <x:f>SLOPE(C509:E509,'Source Data'!C$7:E$7)</x:f>
        <x:v>-0.0007244394122558617</x:v>
      </x:c>
      <x:c r="G509" s="14" t="n">
        <x:f>EXP(F509)-1</x:f>
        <x:v>-0.0007241770693792171</x:v>
      </x:c>
      <x:c r="H509" s="8" t="n">
        <x:f>'Source Data'!F509</x:f>
        <x:v>1913</x:v>
      </x:c>
      <x:c r="I509" s="8" t="n">
        <x:f>'Source Data'!H509</x:f>
        <x:v>2198</x:v>
      </x:c>
      <x:c r="J509" s="14" t="n">
        <x:f>I509/H509-1</x:f>
        <x:v>0.14898065865133292</x:v>
      </x:c>
      <x:c r="K509" s="8" t="n">
        <x:f>H509*('Source Data'!H$8/'Source Data'!F$8)*EXP(F509*('Source Data'!H$7-'Source Data'!F$7))</x:f>
        <x:v>1941.3098737853302</x:v>
      </x:c>
      <x:c r="L509" s="14" t="n">
        <x:f>I509/K509-1</x:f>
        <x:v>0.13222522054871821</x:v>
      </x:c>
      <x:c r="M509" s="8" t="n">
        <x:f>'Source Data'!G509</x:f>
        <x:v>2026</x:v>
      </x:c>
      <x:c r="N509" s="8" t="n">
        <x:f>M509*('Source Data'!H$8/'Source Data'!G$8)*EXP(F509*('Source Data'!H$7-'Source Data'!G$7))</x:f>
        <x:v>2053.21617610012</x:v>
      </x:c>
      <x:c r="O509" s="14" t="n">
        <x:f>I509/N509-1</x:f>
        <x:v>0.070515625965349</x:v>
      </x:c>
      <x:c r="P509" s="2" t="str"/>
    </x:row>
    <x:row r="510">
      <x:c r="A510" s="2" t="str">
        <x:f>'Source Data'!A510</x:f>
        <x:v>487990</x:v>
      </x:c>
      <x:c r="B510" s="2" t="str">
        <x:f>'Source Data'!B510</x:f>
        <x:v>Scenic and Sightseeing Transportation, Other</x:v>
      </x:c>
      <x:c r="C510" s="13" t="n">
        <x:f>LN('Source Data'!C510/'Source Data'!C$8)</x:f>
        <x:v>-10.937826201867773</x:v>
      </x:c>
      <x:c r="D510" s="13" t="n">
        <x:f>LN('Source Data'!D510/'Source Data'!D$8)</x:f>
        <x:v>-11.055411684972606</x:v>
      </x:c>
      <x:c r="E510" s="13" t="n">
        <x:f>LN('Source Data'!E510/'Source Data'!E$8)</x:f>
        <x:v>-11.081884201770372</x:v>
      </x:c>
      <x:c r="F510" s="13" t="n">
        <x:f>SLOPE(C510:E510,'Source Data'!C$7:E$7)</x:f>
        <x:v>-0.07202899995129908</x:v>
      </x:c>
      <x:c r="G510" s="14" t="n">
        <x:f>EXP(F510)-1</x:f>
        <x:v>-0.06949608914817196</x:v>
      </x:c>
      <x:c r="H510" s="8" t="n">
        <x:f>'Source Data'!F510</x:f>
        <x:v>312</x:v>
      </x:c>
      <x:c r="I510" s="8" t="n">
        <x:f>'Source Data'!H510</x:f>
        <x:v>216</x:v>
      </x:c>
      <x:c r="J510" s="14" t="n">
        <x:f>I510/H510-1</x:f>
        <x:v>-0.3076923076923077</x:v>
      </x:c>
      <x:c r="K510" s="8" t="n">
        <x:f>H510*('Source Data'!H$8/'Source Data'!F$8)*EXP(F510*('Source Data'!H$7-'Source Data'!F$7))</x:f>
        <x:v>238.0486806026598</x:v>
      </x:c>
      <x:c r="L510" s="14" t="n">
        <x:f>I510/K510-1</x:f>
        <x:v>-0.0926225700845722</x:v>
      </x:c>
      <x:c r="M510" s="8" t="n">
        <x:f>'Source Data'!G510</x:f>
        <x:v>218</x:v>
      </x:c>
      <x:c r="N510" s="8" t="n">
        <x:f>M510*('Source Data'!H$8/'Source Data'!G$8)*EXP(F510*('Source Data'!H$7-'Source Data'!G$7))</x:f>
        <x:v>178.38165881021285</x:v>
      </x:c>
      <x:c r="O510" s="14" t="n">
        <x:f>I510/N510-1</x:f>
        <x:v>0.21088682233755174</x:v>
      </x:c>
      <x:c r="P510" s="2" t="str"/>
    </x:row>
    <x:row r="511">
      <x:c r="A511" s="2" t="str">
        <x:f>'Source Data'!A511</x:f>
        <x:v>488190</x:v>
      </x:c>
      <x:c r="B511" s="2" t="str">
        <x:f>'Source Data'!B511</x:f>
        <x:v>Other Support Activities for Air Transportation</x:v>
      </x:c>
      <x:c r="C511" s="13" t="n">
        <x:f>LN('Source Data'!C511/'Source Data'!C$8)</x:f>
        <x:v>-7.156593691839257</x:v>
      </x:c>
      <x:c r="D511" s="13" t="n">
        <x:f>LN('Source Data'!D511/'Source Data'!D$8)</x:f>
        <x:v>-7.059477340807146</x:v>
      </x:c>
      <x:c r="E511" s="13" t="n">
        <x:f>LN('Source Data'!E511/'Source Data'!E$8)</x:f>
        <x:v>-7.035238696135368</x:v>
      </x:c>
      <x:c r="F511" s="13" t="n">
        <x:f>SLOPE(C511:E511,'Source Data'!C$7:E$7)</x:f>
        <x:v>0.06067749785194465</x:v>
      </x:c>
      <x:c r="G511" s="14" t="n">
        <x:f>EXP(F511)-1</x:f>
        <x:v>0.06255618227306403</x:v>
      </x:c>
      <x:c r="H511" s="8" t="n">
        <x:f>'Source Data'!F511</x:f>
        <x:v>12469</x:v>
      </x:c>
      <x:c r="I511" s="8" t="n">
        <x:f>'Source Data'!H511</x:f>
        <x:v>11565</x:v>
      </x:c>
      <x:c r="J511" s="14" t="n">
        <x:f>I511/H511-1</x:f>
        <x:v>-0.07249979950276686</x:v>
      </x:c>
      <x:c r="K511" s="8" t="n">
        <x:f>H511*('Source Data'!H$8/'Source Data'!F$8)*EXP(F511*('Source Data'!H$7-'Source Data'!F$7))</x:f>
        <x:v>16176.240995775363</x:v>
      </x:c>
      <x:c r="L511" s="14" t="n">
        <x:f>I511/K511-1</x:f>
        <x:v>-0.28506258017419794</x:v>
      </x:c>
      <x:c r="M511" s="8" t="n">
        <x:f>'Source Data'!G511</x:f>
        <x:v>13101</x:v>
      </x:c>
      <x:c r="N511" s="8" t="n">
        <x:f>M511*('Source Data'!H$8/'Source Data'!G$8)*EXP(F511*('Source Data'!H$7-'Source Data'!G$7))</x:f>
        <x:v>15962.43899039428</x:v>
      </x:c>
      <x:c r="O511" s="14" t="n">
        <x:f>I511/N511-1</x:f>
        <x:v>-0.27548665921545745</x:v>
      </x:c>
      <x:c r="P511" s="2" t="str"/>
    </x:row>
    <x:row r="512">
      <x:c r="A512" s="2" t="str">
        <x:f>'Source Data'!A512</x:f>
        <x:v>488210</x:v>
      </x:c>
      <x:c r="B512" s="2" t="str">
        <x:f>'Source Data'!B512</x:f>
        <x:v>Support Activities for Rail Transportation</x:v>
      </x:c>
      <x:c r="C512" s="13" t="n">
        <x:f>LN('Source Data'!C512/'Source Data'!C$8)</x:f>
        <x:v>-8.514487860498193</x:v>
      </x:c>
      <x:c r="D512" s="13" t="n">
        <x:f>LN('Source Data'!D512/'Source Data'!D$8)</x:f>
        <x:v>-8.545918013640211</x:v>
      </x:c>
      <x:c r="E512" s="13" t="n">
        <x:f>LN('Source Data'!E512/'Source Data'!E$8)</x:f>
        <x:v>-8.5587790832345</x:v>
      </x:c>
      <x:c r="F512" s="13" t="n">
        <x:f>SLOPE(C512:E512,'Source Data'!C$7:E$7)</x:f>
        <x:v>-0.022145611368153517</x:v>
      </x:c>
      <x:c r="G512" s="14" t="n">
        <x:f>EXP(F512)-1</x:f>
        <x:v>-0.02190219747764921</x:v>
      </x:c>
      <x:c r="H512" s="8" t="n">
        <x:f>'Source Data'!F512</x:f>
        <x:v>2827</x:v>
      </x:c>
      <x:c r="I512" s="8" t="n">
        <x:f>'Source Data'!H512</x:f>
        <x:v>3212</x:v>
      </x:c>
      <x:c r="J512" s="14" t="n">
        <x:f>I512/H512-1</x:f>
        <x:v>0.13618677042801552</x:v>
      </x:c>
      <x:c r="K512" s="8" t="n">
        <x:f>H512*('Source Data'!H$8/'Source Data'!F$8)*EXP(F512*('Source Data'!H$7-'Source Data'!F$7))</x:f>
        <x:v>2633.2574089313093</x:v>
      </x:c>
      <x:c r="L512" s="14" t="n">
        <x:f>I512/K512-1</x:f>
        <x:v>0.21978200426048344</x:v>
      </x:c>
      <x:c r="M512" s="8" t="n">
        <x:f>'Source Data'!G512</x:f>
        <x:v>3141</x:v>
      </x:c>
      <x:c r="N512" s="8" t="n">
        <x:f>M512*('Source Data'!H$8/'Source Data'!G$8)*EXP(F512*('Source Data'!H$7-'Source Data'!G$7))</x:f>
        <x:v>2985.0656175080962</x:v>
      </x:c>
      <x:c r="O512" s="14" t="n">
        <x:f>I512/N512-1</x:f>
        <x:v>0.0760232475831959</x:v>
      </x:c>
      <x:c r="P512" s="2" t="str"/>
    </x:row>
    <x:row r="513">
      <x:c r="A513" s="2" t="str">
        <x:f>'Source Data'!A513</x:f>
        <x:v>488310</x:v>
      </x:c>
      <x:c r="B513" s="2" t="str">
        <x:f>'Source Data'!B513</x:f>
        <x:v>Port and Harbor Operations</x:v>
      </x:c>
      <x:c r="C513" s="13" t="n">
        <x:f>LN('Source Data'!C513/'Source Data'!C$8)</x:f>
        <x:v>-10.256560349194581</x:v>
      </x:c>
      <x:c r="D513" s="13" t="n">
        <x:f>LN('Source Data'!D513/'Source Data'!D$8)</x:f>
        <x:v>-10.560293190411972</x:v>
      </x:c>
      <x:c r="E513" s="13" t="n">
        <x:f>LN('Source Data'!E513/'Source Data'!E$8)</x:f>
        <x:v>-10.719548454559238</x:v>
      </x:c>
      <x:c r="F513" s="13" t="n">
        <x:f>SLOPE(C513:E513,'Source Data'!C$7:E$7)</x:f>
        <x:v>-0.23149405268232837</x:v>
      </x:c>
      <x:c r="G513" s="14" t="n">
        <x:f>EXP(F513)-1</x:f>
        <x:v>-0.2066525862218126</x:v>
      </x:c>
      <x:c r="H513" s="8" t="n">
        <x:f>'Source Data'!F513</x:f>
        <x:v>268</x:v>
      </x:c>
      <x:c r="I513" s="8" t="n">
        <x:f>'Source Data'!H513</x:f>
        <x:v>166</x:v>
      </x:c>
      <x:c r="J513" s="14" t="n">
        <x:f>I513/H513-1</x:f>
        <x:v>-0.3805970149253731</x:v>
      </x:c>
      <x:c r="K513" s="8" t="n">
        <x:f>H513*('Source Data'!H$8/'Source Data'!F$8)*EXP(F513*('Source Data'!H$7-'Source Data'!F$7))</x:f>
        <x:v>108.05050696396887</x:v>
      </x:c>
      <x:c r="L513" s="14" t="n">
        <x:f>I513/K513-1</x:f>
        <x:v>0.5363185667916883</x:v>
      </x:c>
      <x:c r="M513" s="8" t="n">
        <x:f>'Source Data'!G513</x:f>
        <x:v>256</x:v>
      </x:c>
      <x:c r="N513" s="8" t="n">
        <x:f>M513*('Source Data'!H$8/'Source Data'!G$8)*EXP(F513*('Source Data'!H$7-'Source Data'!G$7))</x:f>
        <x:v>129.8282767293027</x:v>
      </x:c>
      <x:c r="O513" s="14" t="n">
        <x:f>I513/N513-1</x:f>
        <x:v>0.2786120572648194</x:v>
      </x:c>
      <x:c r="P513" s="2" t="str"/>
    </x:row>
    <x:row r="514">
      <x:c r="A514" s="2" t="str">
        <x:f>'Source Data'!A514</x:f>
        <x:v>488320</x:v>
      </x:c>
      <x:c r="B514" s="2" t="str">
        <x:f>'Source Data'!B514</x:f>
        <x:v>Marine Cargo Handling</x:v>
      </x:c>
      <x:c r="C514" s="13" t="n">
        <x:f>LN('Source Data'!C514/'Source Data'!C$8)</x:f>
        <x:v>-6.791634036973093</x:v>
      </x:c>
      <x:c r="D514" s="13" t="n">
        <x:f>LN('Source Data'!D514/'Source Data'!D$8)</x:f>
        <x:v>-6.801489021187882</x:v>
      </x:c>
      <x:c r="E514" s="13" t="n">
        <x:f>LN('Source Data'!E514/'Source Data'!E$8)</x:f>
        <x:v>-6.794000306354052</x:v>
      </x:c>
      <x:c r="F514" s="13" t="n">
        <x:f>SLOPE(C514:E514,'Source Data'!C$7:E$7)</x:f>
        <x:v>-0.0011831346904793705</x:v>
      </x:c>
      <x:c r="G514" s="14" t="n">
        <x:f>EXP(F514)-1</x:f>
        <x:v>-0.0011824350625766478</x:v>
      </x:c>
      <x:c r="H514" s="8" t="n">
        <x:f>'Source Data'!F514</x:f>
        <x:v>17534</x:v>
      </x:c>
      <x:c r="I514" s="8" t="n">
        <x:f>'Source Data'!H514</x:f>
        <x:v>16348</x:v>
      </x:c>
      <x:c r="J514" s="14" t="n">
        <x:f>I514/H514-1</x:f>
        <x:v>-0.06764001368769246</x:v>
      </x:c>
      <x:c r="K514" s="8" t="n">
        <x:f>H514*('Source Data'!H$8/'Source Data'!F$8)*EXP(F514*('Source Data'!H$7-'Source Data'!F$7))</x:f>
        <x:v>17760.86283620317</x:v>
      </x:c>
      <x:c r="L514" s="14" t="n">
        <x:f>I514/K514-1</x:f>
        <x:v>-0.0795492228746475</x:v>
      </x:c>
      <x:c r="M514" s="8" t="n">
        <x:f>'Source Data'!G514</x:f>
        <x:v>15207</x:v>
      </x:c>
      <x:c r="N514" s="8" t="n">
        <x:f>M514*('Source Data'!H$8/'Source Data'!G$8)*EXP(F514*('Source Data'!H$7-'Source Data'!G$7))</x:f>
        <x:v>15390.089859421658</x:v>
      </x:c>
      <x:c r="O514" s="14" t="n">
        <x:f>I514/N514-1</x:f>
        <x:v>0.06224201088676029</x:v>
      </x:c>
      <x:c r="P514" s="2" t="str"/>
    </x:row>
    <x:row r="515">
      <x:c r="A515" s="2" t="str">
        <x:f>'Source Data'!A515</x:f>
        <x:v>488330</x:v>
      </x:c>
      <x:c r="B515" s="2" t="str">
        <x:f>'Source Data'!B515</x:f>
        <x:v>Navigational Services to Shipping</x:v>
      </x:c>
      <x:c r="C515" s="13" t="n">
        <x:f>LN('Source Data'!C515/'Source Data'!C$8)</x:f>
        <x:v>-9.92981080855189</x:v>
      </x:c>
      <x:c r="D515" s="13" t="n">
        <x:f>LN('Source Data'!D515/'Source Data'!D$8)</x:f>
        <x:v>-9.88713335077664</x:v>
      </x:c>
      <x:c r="E515" s="13" t="n">
        <x:f>LN('Source Data'!E515/'Source Data'!E$8)</x:f>
        <x:v>-9.997934932412335</x:v>
      </x:c>
      <x:c r="F515" s="13" t="n">
        <x:f>SLOPE(C515:E515,'Source Data'!C$7:E$7)</x:f>
        <x:v>-0.03406206193022232</x:v>
      </x:c>
      <x:c r="G515" s="14" t="n">
        <x:f>EXP(F515)-1</x:f>
        <x:v>-0.03348848079434397</x:v>
      </x:c>
      <x:c r="H515" s="8" t="n">
        <x:f>'Source Data'!F515</x:f>
        <x:v>679</x:v>
      </x:c>
      <x:c r="I515" s="8" t="n">
        <x:f>'Source Data'!H515</x:f>
        <x:v>742</x:v>
      </x:c>
      <x:c r="J515" s="14" t="n">
        <x:f>I515/H515-1</x:f>
        <x:v>0.09278350515463907</x:v>
      </x:c>
      <x:c r="K515" s="8" t="n">
        <x:f>H515*('Source Data'!H$8/'Source Data'!F$8)*EXP(F515*('Source Data'!H$7-'Source Data'!F$7))</x:f>
        <x:v>603.0263445658553</x:v>
      </x:c>
      <x:c r="L515" s="14" t="n">
        <x:f>I515/K515-1</x:f>
        <x:v>0.23046033840229296</x:v>
      </x:c>
      <x:c r="M515" s="8" t="n">
        <x:f>'Source Data'!G515</x:f>
        <x:v>681</x:v>
      </x:c>
      <x:c r="N515" s="8" t="n">
        <x:f>M515*('Source Data'!H$8/'Source Data'!G$8)*EXP(F515*('Source Data'!H$7-'Source Data'!G$7))</x:f>
        <x:v>624.4638633281924</x:v>
      </x:c>
      <x:c r="O515" s="14" t="n">
        <x:f>I515/N515-1</x:f>
        <x:v>0.1882192766854076</x:v>
      </x:c>
      <x:c r="P515" s="2" t="str"/>
    </x:row>
    <x:row r="516">
      <x:c r="A516" s="2" t="str">
        <x:f>'Source Data'!A516</x:f>
        <x:v>488390</x:v>
      </x:c>
      <x:c r="B516" s="2" t="str">
        <x:f>'Source Data'!B516</x:f>
        <x:v>Other Support Activities for Water Transportation</x:v>
      </x:c>
      <x:c r="C516" s="13" t="n">
        <x:f>LN('Source Data'!C516/'Source Data'!C$8)</x:f>
        <x:v>-10.37708618672007</x:v>
      </x:c>
      <x:c r="D516" s="13" t="n">
        <x:f>LN('Source Data'!D516/'Source Data'!D$8)</x:f>
        <x:v>-10.219307971328554</x:v>
      </x:c>
      <x:c r="E516" s="13" t="n">
        <x:f>LN('Source Data'!E516/'Source Data'!E$8)</x:f>
        <x:v>-10.386555995264064</x:v>
      </x:c>
      <x:c r="F516" s="13" t="n">
        <x:f>SLOPE(C516:E516,'Source Data'!C$7:E$7)</x:f>
        <x:v>-0.004734904271996854</x:v>
      </x:c>
      <x:c r="G516" s="14" t="n">
        <x:f>EXP(F516)-1</x:f>
        <x:v>-0.004723712284062542</x:v>
      </x:c>
      <x:c r="H516" s="8" t="n">
        <x:f>'Source Data'!F516</x:f>
        <x:v>419</x:v>
      </x:c>
      <x:c r="I516" s="8" t="n">
        <x:f>'Source Data'!H516</x:f>
        <x:v>442</x:v>
      </x:c>
      <x:c r="J516" s="14" t="n">
        <x:f>I516/H516-1</x:f>
        <x:v>0.054892601431980825</x:v>
      </x:c>
      <x:c r="K516" s="8" t="n">
        <x:f>H516*('Source Data'!H$8/'Source Data'!F$8)*EXP(F516*('Source Data'!H$7-'Source Data'!F$7))</x:f>
        <x:v>418.43405713034514</x:v>
      </x:c>
      <x:c r="L516" s="14" t="n">
        <x:f>I516/K516-1</x:f>
        <x:v>0.05631937092136341</x:v>
      </x:c>
      <x:c r="M516" s="8" t="n">
        <x:f>'Source Data'!G516</x:f>
        <x:v>457</x:v>
      </x:c>
      <x:c r="N516" s="8" t="n">
        <x:f>M516*('Source Data'!H$8/'Source Data'!G$8)*EXP(F516*('Source Data'!H$7-'Source Data'!G$7))</x:f>
        <x:v>457.6002656727097</x:v>
      </x:c>
      <x:c r="O516" s="14" t="n">
        <x:f>I516/N516-1</x:f>
        <x:v>-0.034091469876609604</x:v>
      </x:c>
      <x:c r="P516" s="2" t="str"/>
    </x:row>
    <x:row r="517">
      <x:c r="A517" s="2" t="str">
        <x:f>'Source Data'!A517</x:f>
        <x:v>488410</x:v>
      </x:c>
      <x:c r="B517" s="2" t="str">
        <x:f>'Source Data'!B517</x:f>
        <x:v>Motor Vehicle Towing</x:v>
      </x:c>
      <x:c r="C517" s="13" t="n">
        <x:f>LN('Source Data'!C517/'Source Data'!C$8)</x:f>
        <x:v>-7.127408741087168</x:v>
      </x:c>
      <x:c r="D517" s="13" t="n">
        <x:f>LN('Source Data'!D517/'Source Data'!D$8)</x:f>
        <x:v>-7.121381540587289</x:v>
      </x:c>
      <x:c r="E517" s="13" t="n">
        <x:f>LN('Source Data'!E517/'Source Data'!E$8)</x:f>
        <x:v>-7.103713708277694</x:v>
      </x:c>
      <x:c r="F517" s="13" t="n">
        <x:f>SLOPE(C517:E517,'Source Data'!C$7:E$7)</x:f>
        <x:v>0.011847516404736691</x:v>
      </x:c>
      <x:c r="G517" s="14" t="n">
        <x:f>EXP(F517)-1</x:f>
        <x:v>0.011917976210178427</x:v>
      </x:c>
      <x:c r="H517" s="8" t="n">
        <x:f>'Source Data'!F517</x:f>
        <x:v>12413</x:v>
      </x:c>
      <x:c r="I517" s="8" t="n">
        <x:f>'Source Data'!H517</x:f>
        <x:v>11451</x:v>
      </x:c>
      <x:c r="J517" s="14" t="n">
        <x:f>I517/H517-1</x:f>
        <x:v>-0.07749939579473131</x:v>
      </x:c>
      <x:c r="K517" s="8" t="n">
        <x:f>H517*('Source Data'!H$8/'Source Data'!F$8)*EXP(F517*('Source Data'!H$7-'Source Data'!F$7))</x:f>
        <x:v>13246.354483451925</x:v>
      </x:c>
      <x:c r="L517" s="14" t="n">
        <x:f>I517/K517-1</x:f>
        <x:v>-0.1355357419805412</x:v>
      </x:c>
      <x:c r="M517" s="8" t="n">
        <x:f>'Source Data'!G517</x:f>
        <x:v>12270</x:v>
      </x:c>
      <x:c r="N517" s="8" t="n">
        <x:f>M517*('Source Data'!H$8/'Source Data'!G$8)*EXP(F517*('Source Data'!H$7-'Source Data'!G$7))</x:f>
        <x:v>12912.775246518975</x:v>
      </x:c>
      <x:c r="O517" s="14" t="n">
        <x:f>I517/N517-1</x:f>
        <x:v>-0.11320380155404941</x:v>
      </x:c>
      <x:c r="P517" s="2" t="str"/>
    </x:row>
    <x:row r="518">
      <x:c r="A518" s="2" t="str">
        <x:f>'Source Data'!A518</x:f>
        <x:v>488490</x:v>
      </x:c>
      <x:c r="B518" s="2" t="str">
        <x:f>'Source Data'!B518</x:f>
        <x:v>Other Support Activities for Road Transportation</x:v>
      </x:c>
      <x:c r="C518" s="13" t="n">
        <x:f>LN('Source Data'!C518/'Source Data'!C$8)</x:f>
        <x:v>-8.252606830489352</x:v>
      </x:c>
      <x:c r="D518" s="13" t="n">
        <x:f>LN('Source Data'!D518/'Source Data'!D$8)</x:f>
        <x:v>-8.342467275166264</x:v>
      </x:c>
      <x:c r="E518" s="13" t="n">
        <x:f>LN('Source Data'!E518/'Source Data'!E$8)</x:f>
        <x:v>-8.349105886169557</x:v>
      </x:c>
      <x:c r="F518" s="13" t="n">
        <x:f>SLOPE(C518:E518,'Source Data'!C$7:E$7)</x:f>
        <x:v>-0.0482495278401025</x:v>
      </x:c>
      <x:c r="G518" s="14" t="n">
        <x:f>EXP(F518)-1</x:f>
        <x:v>-0.04710401666715214</x:v>
      </x:c>
      <x:c r="H518" s="8" t="n">
        <x:f>'Source Data'!F518</x:f>
        <x:v>5516</x:v>
      </x:c>
      <x:c r="I518" s="8" t="n">
        <x:f>'Source Data'!H518</x:f>
        <x:v>4731</x:v>
      </x:c>
      <x:c r="J518" s="14" t="n">
        <x:f>I518/H518-1</x:f>
        <x:v>-0.1423132704858593</x:v>
      </x:c>
      <x:c r="K518" s="8" t="n">
        <x:f>H518*('Source Data'!H$8/'Source Data'!F$8)*EXP(F518*('Source Data'!H$7-'Source Data'!F$7))</x:f>
        <x:v>4628.546341442761</x:v>
      </x:c>
      <x:c r="L518" s="14" t="n">
        <x:f>I518/K518-1</x:f>
        <x:v>0.022135169662210297</x:v>
      </x:c>
      <x:c r="M518" s="8" t="n">
        <x:f>'Source Data'!G518</x:f>
        <x:v>5266</x:v>
      </x:c>
      <x:c r="N518" s="8" t="n">
        <x:f>M518*('Source Data'!H$8/'Source Data'!G$8)*EXP(F518*('Source Data'!H$7-'Source Data'!G$7))</x:f>
        <x:v>4627.606686641071</x:v>
      </x:c>
      <x:c r="O518" s="14" t="n">
        <x:f>I518/N518-1</x:f>
        <x:v>0.02234271846339131</x:v>
      </x:c>
      <x:c r="P518" s="2" t="str"/>
    </x:row>
    <x:row r="519">
      <x:c r="A519" s="2" t="str">
        <x:f>'Source Data'!A519</x:f>
        <x:v>488510</x:v>
      </x:c>
      <x:c r="B519" s="2" t="str">
        <x:f>'Source Data'!B519</x:f>
        <x:v>Freight Transportation Arrangement</x:v>
      </x:c>
      <x:c r="C519" s="13" t="n">
        <x:f>LN('Source Data'!C519/'Source Data'!C$8)</x:f>
        <x:v>-6.087088603789419</x:v>
      </x:c>
      <x:c r="D519" s="13" t="n">
        <x:f>LN('Source Data'!D519/'Source Data'!D$8)</x:f>
        <x:v>-6.125244874605333</x:v>
      </x:c>
      <x:c r="E519" s="13" t="n">
        <x:f>LN('Source Data'!E519/'Source Data'!E$8)</x:f>
        <x:v>-6.088366932136358</x:v>
      </x:c>
      <x:c r="F519" s="13" t="n">
        <x:f>SLOPE(C519:E519,'Source Data'!C$7:E$7)</x:f>
        <x:v>-0.0006391641734695419</x:v>
      </x:c>
      <x:c r="G519" s="14" t="n">
        <x:f>EXP(F519)-1</x:f>
        <x:v>-0.0006389599515619349</x:v>
      </x:c>
      <x:c r="H519" s="8" t="n">
        <x:f>'Source Data'!F519</x:f>
        <x:v>37230</x:v>
      </x:c>
      <x:c r="I519" s="8" t="n">
        <x:f>'Source Data'!H519</x:f>
        <x:v>31659</x:v>
      </x:c>
      <x:c r="J519" s="14" t="n">
        <x:f>I519/H519-1</x:f>
        <x:v>-0.14963738920225622</x:v>
      </x:c>
      <x:c r="K519" s="8" t="n">
        <x:f>H519*('Source Data'!H$8/'Source Data'!F$8)*EXP(F519*('Source Data'!H$7-'Source Data'!F$7))</x:f>
        <x:v>37793.844153809645</x:v>
      </x:c>
      <x:c r="L519" s="14" t="n">
        <x:f>I519/K519-1</x:f>
        <x:v>-0.16232389933245905</x:v>
      </x:c>
      <x:c r="M519" s="8" t="n">
        <x:f>'Source Data'!G519</x:f>
        <x:v>36981</x:v>
      </x:c>
      <x:c r="N519" s="8" t="n">
        <x:f>M519*('Source Data'!H$8/'Source Data'!G$8)*EXP(F519*('Source Data'!H$7-'Source Data'!G$7))</x:f>
        <x:v>37487.37153834134</x:v>
      </x:c>
      <x:c r="O519" s="14" t="n">
        <x:f>I519/N519-1</x:f>
        <x:v>-0.1554755988261325</x:v>
      </x:c>
      <x:c r="P519" s="2" t="str"/>
    </x:row>
    <x:row r="520">
      <x:c r="A520" s="2" t="str">
        <x:f>'Source Data'!A520</x:f>
        <x:v>488991</x:v>
      </x:c>
      <x:c r="B520" s="2" t="str">
        <x:f>'Source Data'!B520</x:f>
        <x:v>Packing and Crating</x:v>
      </x:c>
      <x:c r="C520" s="13" t="n">
        <x:f>LN('Source Data'!C520/'Source Data'!C$8)</x:f>
        <x:v>-8.43923409899452</x:v>
      </x:c>
      <x:c r="D520" s="13" t="n">
        <x:f>LN('Source Data'!D520/'Source Data'!D$8)</x:f>
        <x:v>-8.345343319714159</x:v>
      </x:c>
      <x:c r="E520" s="13" t="n">
        <x:f>LN('Source Data'!E520/'Source Data'!E$8)</x:f>
        <x:v>-8.511240640345036</x:v>
      </x:c>
      <x:c r="F520" s="13" t="n">
        <x:f>SLOPE(C520:E520,'Source Data'!C$7:E$7)</x:f>
        <x:v>-0.036003270675258214</x:v>
      </x:c>
      <x:c r="G520" s="14" t="n">
        <x:f>EXP(F520)-1</x:f>
        <x:v>-0.035362861536858414</x:v>
      </x:c>
      <x:c r="H520" s="8" t="n">
        <x:f>'Source Data'!F520</x:f>
        <x:v>3228</x:v>
      </x:c>
      <x:c r="I520" s="8" t="n">
        <x:f>'Source Data'!H520</x:f>
        <x:v>2801</x:v>
      </x:c>
      <x:c r="J520" s="14" t="n">
        <x:f>I520/H520-1</x:f>
        <x:v>-0.1322800495662949</x:v>
      </x:c>
      <x:c r="K520" s="8" t="n">
        <x:f>H520*('Source Data'!H$8/'Source Data'!F$8)*EXP(F520*('Source Data'!H$7-'Source Data'!F$7))</x:f>
        <x:v>2844.643274238049</x:v>
      </x:c>
      <x:c r="L520" s="14" t="n">
        <x:f>I520/K520-1</x:f>
        <x:v>-0.015342266158043683</x:v>
      </x:c>
      <x:c r="M520" s="8" t="n">
        <x:f>'Source Data'!G520</x:f>
        <x:v>3191</x:v>
      </x:c>
      <x:c r="N520" s="8" t="n">
        <x:f>M520*('Source Data'!H$8/'Source Data'!G$8)*EXP(F520*('Source Data'!H$7-'Source Data'!G$7))</x:f>
        <x:v>2909.094539157625</x:v>
      </x:c>
      <x:c r="O520" s="14" t="n">
        <x:f>I520/N520-1</x:f>
        <x:v>-0.03715745146904903</x:v>
      </x:c>
      <x:c r="P520" s="2" t="str"/>
    </x:row>
    <x:row r="521">
      <x:c r="A521" s="2" t="str">
        <x:f>'Source Data'!A521</x:f>
        <x:v>488999</x:v>
      </x:c>
      <x:c r="B521" s="2" t="str">
        <x:f>'Source Data'!B521</x:f>
        <x:v>All Other Support Activities for Transportation</x:v>
      </x:c>
      <x:c r="C521" s="13" t="n">
        <x:f>LN('Source Data'!C521/'Source Data'!C$8)</x:f>
        <x:v>-8.758699668709955</x:v>
      </x:c>
      <x:c r="D521" s="13" t="n">
        <x:f>LN('Source Data'!D521/'Source Data'!D$8)</x:f>
        <x:v>-8.597192782476395</x:v>
      </x:c>
      <x:c r="E521" s="13" t="n">
        <x:f>LN('Source Data'!E521/'Source Data'!E$8)</x:f>
        <x:v>-8.643151055260631</x:v>
      </x:c>
      <x:c r="F521" s="13" t="n">
        <x:f>SLOPE(C521:E521,'Source Data'!C$7:E$7)</x:f>
        <x:v>0.057774306724661884</x:v>
      </x:c>
      <x:c r="G521" s="14" t="n">
        <x:f>EXP(F521)-1</x:f>
        <x:v>0.05947585214954265</x:v>
      </x:c>
      <x:c r="H521" s="8" t="n">
        <x:f>'Source Data'!F521</x:f>
        <x:v>2091</x:v>
      </x:c>
      <x:c r="I521" s="8" t="n">
        <x:f>'Source Data'!H521</x:f>
        <x:v>1843</x:v>
      </x:c>
      <x:c r="J521" s="14" t="n">
        <x:f>I521/H521-1</x:f>
        <x:v>-0.11860353897656628</x:v>
      </x:c>
      <x:c r="K521" s="8" t="n">
        <x:f>H521*('Source Data'!H$8/'Source Data'!F$8)*EXP(F521*('Source Data'!H$7-'Source Data'!F$7))</x:f>
        <x:v>2681.369448996376</x:v>
      </x:c>
      <x:c r="L521" s="14" t="n">
        <x:f>I521/K521-1</x:f>
        <x:v>-0.3126646532465617</x:v>
      </x:c>
      <x:c r="M521" s="8" t="n">
        <x:f>'Source Data'!G521</x:f>
        <x:v>2005</x:v>
      </x:c>
      <x:c r="N521" s="8" t="n">
        <x:f>M521*('Source Data'!H$8/'Source Data'!G$8)*EXP(F521*('Source Data'!H$7-'Source Data'!G$7))</x:f>
        <x:v>2421.7352374779925</x:v>
      </x:c>
      <x:c r="O521" s="14" t="n">
        <x:f>I521/N521-1</x:f>
        <x:v>-0.23897543733174165</x:v>
      </x:c>
      <x:c r="P521" s="2" t="str"/>
    </x:row>
    <x:row r="522">
      <x:c r="A522" s="2" t="str">
        <x:f>'Source Data'!A522</x:f>
        <x:v>492110</x:v>
      </x:c>
      <x:c r="B522" s="2" t="str">
        <x:f>'Source Data'!B522</x:f>
        <x:v>Couriers and Express Delivery Services</x:v>
      </x:c>
      <x:c r="C522" s="13" t="n">
        <x:f>LN('Source Data'!C522/'Source Data'!C$8)</x:f>
        <x:v>-5.346178375009008</x:v>
      </x:c>
      <x:c r="D522" s="13" t="n">
        <x:f>LN('Source Data'!D522/'Source Data'!D$8)</x:f>
        <x:v>-5.302248277237208</x:v>
      </x:c>
      <x:c r="E522" s="13" t="n">
        <x:f>LN('Source Data'!E522/'Source Data'!E$8)</x:f>
        <x:v>-5.242017191875881</x:v>
      </x:c>
      <x:c r="F522" s="13" t="n">
        <x:f>SLOPE(C522:E522,'Source Data'!C$7:E$7)</x:f>
        <x:v>0.05208059156656342</x:v>
      </x:c>
      <x:c r="G522" s="14" t="n">
        <x:f>EXP(F522)-1</x:f>
        <x:v>0.05346063913556387</x:v>
      </x:c>
      <x:c r="H522" s="8" t="n">
        <x:f>'Source Data'!F522</x:f>
        <x:v>115554</x:v>
      </x:c>
      <x:c r="I522" s="8" t="n">
        <x:f>'Source Data'!H522</x:f>
        <x:v>118221</x:v>
      </x:c>
      <x:c r="J522" s="14" t="n">
        <x:f>I522/H522-1</x:f>
        <x:v>0.023080118386209048</x:v>
      </x:c>
      <x:c r="K522" s="8" t="n">
        <x:f>H522*('Source Data'!H$8/'Source Data'!F$8)*EXP(F522*('Source Data'!H$7-'Source Data'!F$7))</x:f>
        <x:v>144842.6997903174</x:v>
      </x:c>
      <x:c r="L522" s="14" t="n">
        <x:f>I522/K522-1</x:f>
        <x:v>-0.18379731825529688</x:v>
      </x:c>
      <x:c r="M522" s="8" t="n">
        <x:f>'Source Data'!G522</x:f>
        <x:v>103084</x:v>
      </x:c>
      <x:c r="N522" s="8" t="n">
        <x:f>M522*('Source Data'!H$8/'Source Data'!G$8)*EXP(F522*('Source Data'!H$7-'Source Data'!G$7))</x:f>
        <x:v>122401.09389738673</x:v>
      </x:c>
      <x:c r="O522" s="14" t="n">
        <x:f>I522/N522-1</x:f>
        <x:v>-0.034150788724903514</x:v>
      </x:c>
      <x:c r="P522" s="2" t="str"/>
    </x:row>
    <x:row r="523">
      <x:c r="A523" s="2" t="str">
        <x:f>'Source Data'!A523</x:f>
        <x:v>492210</x:v>
      </x:c>
      <x:c r="B523" s="2" t="str">
        <x:f>'Source Data'!B523</x:f>
        <x:v>Local Messengers and Local Delivery</x:v>
      </x:c>
      <x:c r="C523" s="13" t="n">
        <x:f>LN('Source Data'!C523/'Source Data'!C$8)</x:f>
        <x:v>-7.014606274073254</x:v>
      </x:c>
      <x:c r="D523" s="13" t="n">
        <x:f>LN('Source Data'!D523/'Source Data'!D$8)</x:f>
        <x:v>-6.928556629538269</x:v>
      </x:c>
      <x:c r="E523" s="13" t="n">
        <x:f>LN('Source Data'!E523/'Source Data'!E$8)</x:f>
        <x:v>-6.90153556253398</x:v>
      </x:c>
      <x:c r="F523" s="13" t="n">
        <x:f>SLOPE(C523:E523,'Source Data'!C$7:E$7)</x:f>
        <x:v>0.056535355769637086</x:v>
      </x:c>
      <x:c r="G523" s="14" t="n">
        <x:f>EXP(F523)-1</x:f>
        <x:v>0.058164026342418795</x:v>
      </x:c>
      <x:c r="H523" s="8" t="n">
        <x:f>'Source Data'!F523</x:f>
        <x:v>30836</x:v>
      </x:c>
      <x:c r="I523" s="8" t="n">
        <x:f>'Source Data'!H523</x:f>
        <x:v>23709</x:v>
      </x:c>
      <x:c r="J523" s="14" t="n">
        <x:f>I523/H523-1</x:f>
        <x:v>-0.23112595667401736</x:v>
      </x:c>
      <x:c r="K523" s="8" t="n">
        <x:f>H523*('Source Data'!H$8/'Source Data'!F$8)*EXP(F523*('Source Data'!H$7-'Source Data'!F$7))</x:f>
        <x:v>39346.70622456254</x:v>
      </x:c>
      <x:c r="L523" s="14" t="n">
        <x:f>I523/K523-1</x:f>
        <x:v>-0.3974336793355414</x:v>
      </x:c>
      <x:c r="M523" s="8" t="n">
        <x:f>'Source Data'!G523</x:f>
        <x:v>28633</x:v>
      </x:c>
      <x:c r="N523" s="8" t="n">
        <x:f>M523*('Source Data'!H$8/'Source Data'!G$8)*EXP(F523*('Source Data'!H$7-'Source Data'!G$7))</x:f>
        <x:v>34456.005545127875</x:v>
      </x:c>
      <x:c r="O523" s="14" t="n">
        <x:f>I523/N523-1</x:f>
        <x:v>-0.31190514904730493</x:v>
      </x:c>
      <x:c r="P523" s="2" t="str"/>
    </x:row>
    <x:row r="524">
      <x:c r="A524" s="2" t="str">
        <x:f>'Source Data'!A524</x:f>
        <x:v>493110</x:v>
      </x:c>
      <x:c r="B524" s="2" t="str">
        <x:f>'Source Data'!B524</x:f>
        <x:v>General Warehousing and Storage</x:v>
      </x:c>
      <x:c r="C524" s="13" t="n">
        <x:f>LN('Source Data'!C524/'Source Data'!C$8)</x:f>
        <x:v>-4.91362580850146</x:v>
      </x:c>
      <x:c r="D524" s="13" t="n">
        <x:f>LN('Source Data'!D524/'Source Data'!D$8)</x:f>
        <x:v>-4.753919201750935</x:v>
      </x:c>
      <x:c r="E524" s="13" t="n">
        <x:f>LN('Source Data'!E524/'Source Data'!E$8)</x:f>
        <x:v>-4.701931911024749</x:v>
      </x:c>
      <x:c r="F524" s="13" t="n">
        <x:f>SLOPE(C524:E524,'Source Data'!C$7:E$7)</x:f>
        <x:v>0.10584694873835554</x:v>
      </x:c>
      <x:c r="G524" s="14" t="n">
        <x:f>EXP(F524)-1</x:f>
        <x:v>0.11165172378698385</x:v>
      </x:c>
      <x:c r="H524" s="8" t="n">
        <x:f>'Source Data'!F524</x:f>
        <x:v>247170</x:v>
      </x:c>
      <x:c r="I524" s="8" t="n">
        <x:f>'Source Data'!H524</x:f>
        <x:v>200449</x:v>
      </x:c>
      <x:c r="J524" s="14" t="n">
        <x:f>I524/H524-1</x:f>
        <x:v>-0.18902374883683293</x:v>
      </x:c>
      <x:c r="K524" s="8" t="n">
        <x:f>H524*('Source Data'!H$8/'Source Data'!F$8)*EXP(F524*('Source Data'!H$7-'Source Data'!F$7))</x:f>
        <x:v>384157.3210984161</x:v>
      </x:c>
      <x:c r="L524" s="14" t="n">
        <x:f>I524/K524-1</x:f>
        <x:v>-0.47821116768812644</x:v>
      </x:c>
      <x:c r="M524" s="8" t="n">
        <x:f>'Source Data'!G524</x:f>
        <x:v>228725</x:v>
      </x:c>
      <x:c r="N524" s="8" t="n">
        <x:f>M524*('Source Data'!H$8/'Source Data'!G$8)*EXP(F524*('Source Data'!H$7-'Source Data'!G$7))</x:f>
        <x:v>319123.63471746194</x:v>
      </x:c>
      <x:c r="O524" s="14" t="n">
        <x:f>I524/N524-1</x:f>
        <x:v>-0.37187667037739547</x:v>
      </x:c>
      <x:c r="P524" s="2" t="str"/>
    </x:row>
    <x:row r="525">
      <x:c r="A525" s="2" t="str">
        <x:f>'Source Data'!A525</x:f>
        <x:v>493120</x:v>
      </x:c>
      <x:c r="B525" s="2" t="str">
        <x:f>'Source Data'!B525</x:f>
        <x:v>Refrigerated Warehousing and Storage</x:v>
      </x:c>
      <x:c r="C525" s="13" t="n">
        <x:f>LN('Source Data'!C525/'Source Data'!C$8)</x:f>
        <x:v>-7.464491292039195</x:v>
      </x:c>
      <x:c r="D525" s="13" t="n">
        <x:f>LN('Source Data'!D525/'Source Data'!D$8)</x:f>
        <x:v>-7.405597111998546</x:v>
      </x:c>
      <x:c r="E525" s="13" t="n">
        <x:f>LN('Source Data'!E525/'Source Data'!E$8)</x:f>
        <x:v>-7.360778543278687</x:v>
      </x:c>
      <x:c r="F525" s="13" t="n">
        <x:f>SLOPE(C525:E525,'Source Data'!C$7:E$7)</x:f>
        <x:v>0.051856374380254255</x:v>
      </x:c>
      <x:c r="G525" s="14" t="n">
        <x:f>EXP(F525)-1</x:f>
        <x:v>0.053224461633686326</x:v>
      </x:c>
      <x:c r="H525" s="8" t="n">
        <x:f>'Source Data'!F525</x:f>
        <x:v>9860</x:v>
      </x:c>
      <x:c r="I525" s="8" t="n">
        <x:f>'Source Data'!H525</x:f>
        <x:v>8754</x:v>
      </x:c>
      <x:c r="J525" s="14" t="n">
        <x:f>I525/H525-1</x:f>
        <x:v>-0.11217038539553748</x:v>
      </x:c>
      <x:c r="K525" s="8" t="n">
        <x:f>H525*('Source Data'!H$8/'Source Data'!F$8)*EXP(F525*('Source Data'!H$7-'Source Data'!F$7))</x:f>
        <x:v>12348.06871180557</x:v>
      </x:c>
      <x:c r="L525" s="14" t="n">
        <x:f>I525/K525-1</x:f>
        <x:v>-0.29106322581193633</x:v>
      </x:c>
      <x:c r="M525" s="8" t="n">
        <x:f>'Source Data'!G525</x:f>
        <x:v>10301</x:v>
      </x:c>
      <x:c r="N525" s="8" t="n">
        <x:f>M525*('Source Data'!H$8/'Source Data'!G$8)*EXP(F525*('Source Data'!H$7-'Source Data'!G$7))</x:f>
        <x:v>12223.09803878892</x:v>
      </x:c>
      <x:c r="O525" s="14" t="n">
        <x:f>I525/N525-1</x:f>
        <x:v>-0.28381495655029876</x:v>
      </x:c>
      <x:c r="P525" s="2" t="str"/>
    </x:row>
    <x:row r="526">
      <x:c r="A526" s="2" t="str">
        <x:f>'Source Data'!A526</x:f>
        <x:v>493130</x:v>
      </x:c>
      <x:c r="B526" s="2" t="str">
        <x:f>'Source Data'!B526</x:f>
        <x:v>Farm Product Warehousing and Storage</x:v>
      </x:c>
      <x:c r="C526" s="13" t="n">
        <x:f>LN('Source Data'!C526/'Source Data'!C$8)</x:f>
        <x:v>-10.498809559588377</x:v>
      </x:c>
      <x:c r="D526" s="13" t="n">
        <x:f>LN('Source Data'!D526/'Source Data'!D$8)</x:f>
        <x:v>-10.541992026029568</x:v>
      </x:c>
      <x:c r="E526" s="13" t="n">
        <x:f>LN('Source Data'!E526/'Source Data'!E$8)</x:f>
        <x:v>-10.887985091633974</x:v>
      </x:c>
      <x:c r="F526" s="13" t="n">
        <x:f>SLOPE(C526:E526,'Source Data'!C$7:E$7)</x:f>
        <x:v>-0.19458776602279837</x:v>
      </x:c>
      <x:c r="G526" s="14" t="n">
        <x:f>EXP(F526)-1</x:f>
        <x:v>-0.17682607161573805</x:v>
      </x:c>
      <x:c r="H526" s="8" t="n">
        <x:f>'Source Data'!F526</x:f>
        <x:v>257</x:v>
      </x:c>
      <x:c r="I526" s="8" t="n">
        <x:f>'Source Data'!H526</x:f>
        <x:v>277</x:v>
      </x:c>
      <x:c r="J526" s="14" t="n">
        <x:f>I526/H526-1</x:f>
        <x:v>0.0778210116731517</x:v>
      </x:c>
      <x:c r="K526" s="8" t="n">
        <x:f>H526*('Source Data'!H$8/'Source Data'!F$8)*EXP(F526*('Source Data'!H$7-'Source Data'!F$7))</x:f>
        <x:v>120.09859445595387</x:v>
      </x:c>
      <x:c r="L526" s="14" t="n">
        <x:f>I526/K526-1</x:f>
        <x:v>1.3064383164083546</x:v>
      </x:c>
      <x:c r="M526" s="8" t="n">
        <x:f>'Source Data'!G526</x:f>
        <x:v>238</x:v>
      </x:c>
      <x:c r="N526" s="8" t="n">
        <x:f>M526*('Source Data'!H$8/'Source Data'!G$8)*EXP(F526*('Source Data'!H$7-'Source Data'!G$7))</x:f>
        <x:v>134.8313472985773</x:v>
      </x:c>
      <x:c r="O526" s="14" t="n">
        <x:f>I526/N526-1</x:f>
        <x:v>1.054418394163171</x:v>
      </x:c>
      <x:c r="P526" s="2" t="str"/>
    </x:row>
    <x:row r="527">
      <x:c r="A527" s="2" t="str">
        <x:f>'Source Data'!A527</x:f>
        <x:v>493190</x:v>
      </x:c>
      <x:c r="B527" s="2" t="str">
        <x:f>'Source Data'!B527</x:f>
        <x:v>Other Warehousing and Storage</x:v>
      </x:c>
      <x:c r="C527" s="13" t="n">
        <x:f>LN('Source Data'!C527/'Source Data'!C$8)</x:f>
        <x:v>-8.158860219849464</x:v>
      </x:c>
      <x:c r="D527" s="13" t="n">
        <x:f>LN('Source Data'!D527/'Source Data'!D$8)</x:f>
        <x:v>-8.130064717570091</x:v>
      </x:c>
      <x:c r="E527" s="13" t="n">
        <x:f>LN('Source Data'!E527/'Source Data'!E$8)</x:f>
        <x:v>-8.146913022226817</x:v>
      </x:c>
      <x:c r="F527" s="13" t="n">
        <x:f>SLOPE(C527:E527,'Source Data'!C$7:E$7)</x:f>
        <x:v>0.0059735988113232</x:v>
      </x:c>
      <x:c r="G527" s="14" t="n">
        <x:f>EXP(F527)-1</x:f>
        <x:v>0.0059914763326884835</x:v>
      </x:c>
      <x:c r="H527" s="8" t="n">
        <x:f>'Source Data'!F527</x:f>
        <x:v>4791</x:v>
      </x:c>
      <x:c r="I527" s="8" t="n">
        <x:f>'Source Data'!H527</x:f>
        <x:v>4171</x:v>
      </x:c>
      <x:c r="J527" s="14" t="n">
        <x:f>I527/H527-1</x:f>
        <x:v>-0.12940930912126902</x:v>
      </x:c>
      <x:c r="K527" s="8" t="n">
        <x:f>H527*('Source Data'!H$8/'Source Data'!F$8)*EXP(F527*('Source Data'!H$7-'Source Data'!F$7))</x:f>
        <x:v>4993.921926350314</x:v>
      </x:c>
      <x:c r="L527" s="14" t="n">
        <x:f>I527/K527-1</x:f>
        <x:v>-0.164784699978625</x:v>
      </x:c>
      <x:c r="M527" s="8" t="n">
        <x:f>'Source Data'!G527</x:f>
        <x:v>4764</x:v>
      </x:c>
      <x:c r="N527" s="8" t="n">
        <x:f>M527*('Source Data'!H$8/'Source Data'!G$8)*EXP(F527*('Source Data'!H$7-'Source Data'!G$7))</x:f>
        <x:v>4925.99256565861</x:v>
      </x:c>
      <x:c r="O527" s="14" t="n">
        <x:f>I527/N527-1</x:f>
        <x:v>-0.15326709401106597</x:v>
      </x:c>
      <x:c r="P527" s="2" t="str"/>
    </x:row>
    <x:row r="528">
      <x:c r="A528" s="2" t="str">
        <x:f>'Source Data'!A528</x:f>
        <x:v>512110</x:v>
      </x:c>
      <x:c r="B528" s="2" t="str">
        <x:f>'Source Data'!B528</x:f>
        <x:v>Motion Picture and Video Production</x:v>
      </x:c>
      <x:c r="C528" s="13" t="n">
        <x:f>LN('Source Data'!C528/'Source Data'!C$8)</x:f>
        <x:v>-4.904192536522213</x:v>
      </x:c>
      <x:c r="D528" s="13" t="n">
        <x:f>LN('Source Data'!D528/'Source Data'!D$8)</x:f>
        <x:v>-4.855710684063497</x:v>
      </x:c>
      <x:c r="E528" s="13" t="n">
        <x:f>LN('Source Data'!E528/'Source Data'!E$8)</x:f>
        <x:v>-4.874744974087019</x:v>
      </x:c>
      <x:c r="F528" s="13" t="n">
        <x:f>SLOPE(C528:E528,'Source Data'!C$7:E$7)</x:f>
        <x:v>0.01472378121759732</x:v>
      </x:c>
      <x:c r="G528" s="14" t="n">
        <x:f>EXP(F528)-1</x:f>
        <x:v>0.014832710042391728</x:v>
      </x:c>
      <x:c r="H528" s="8" t="n">
        <x:f>'Source Data'!F528</x:f>
        <x:v>140936</x:v>
      </x:c>
      <x:c r="I528" s="8" t="n">
        <x:f>'Source Data'!H528</x:f>
        <x:v>103185</x:v>
      </x:c>
      <x:c r="J528" s="14" t="n">
        <x:f>I528/H528-1</x:f>
        <x:v>-0.2678591701197707</x:v>
      </x:c>
      <x:c r="K528" s="8" t="n">
        <x:f>H528*('Source Data'!H$8/'Source Data'!F$8)*EXP(F528*('Source Data'!H$7-'Source Data'!F$7))</x:f>
        <x:v>152138.1541003888</x:v>
      </x:c>
      <x:c r="L528" s="14" t="n">
        <x:f>I528/K528-1</x:f>
        <x:v>-0.3217677668685721</x:v>
      </x:c>
      <x:c r="M528" s="8" t="n">
        <x:f>'Source Data'!G528</x:f>
        <x:v>115185</x:v>
      </x:c>
      <x:c r="N528" s="8" t="n">
        <x:f>M528*('Source Data'!H$8/'Source Data'!G$8)*EXP(F528*('Source Data'!H$7-'Source Data'!G$7))</x:f>
        <x:v>122269.57248528059</x:v>
      </x:c>
      <x:c r="O528" s="14" t="n">
        <x:f>I528/N528-1</x:f>
        <x:v>-0.15608603266833276</x:v>
      </x:c>
      <x:c r="P528" s="2" t="str"/>
    </x:row>
    <x:row r="529">
      <x:c r="A529" s="2" t="str">
        <x:f>'Source Data'!A529</x:f>
        <x:v>512120</x:v>
      </x:c>
      <x:c r="B529" s="2" t="str">
        <x:f>'Source Data'!B529</x:f>
        <x:v>Motion Picture and Video Distribution</x:v>
      </x:c>
      <x:c r="C529" s="13" t="n">
        <x:f>LN('Source Data'!C529/'Source Data'!C$8)</x:f>
        <x:v>-8.581961599341701</x:v>
      </x:c>
      <x:c r="D529" s="13" t="n">
        <x:f>LN('Source Data'!D529/'Source Data'!D$8)</x:f>
        <x:v>-8.605377351974047</x:v>
      </x:c>
      <x:c r="E529" s="13" t="n">
        <x:f>LN('Source Data'!E529/'Source Data'!E$8)</x:f>
        <x:v>-8.559129407287829</x:v>
      </x:c>
      <x:c r="F529" s="13" t="n">
        <x:f>SLOPE(C529:E529,'Source Data'!C$7:E$7)</x:f>
        <x:v>0.011416096026936273</x:v>
      </x:c>
      <x:c r="G529" s="14" t="n">
        <x:f>EXP(F529)-1</x:f>
        <x:v>0.011481508331916856</x:v>
      </x:c>
      <x:c r="H529" s="8" t="n">
        <x:f>'Source Data'!F529</x:f>
        <x:v>2976</x:v>
      </x:c>
      <x:c r="I529" s="8" t="n">
        <x:f>'Source Data'!H529</x:f>
        <x:v>2408</x:v>
      </x:c>
      <x:c r="J529" s="14" t="n">
        <x:f>I529/H529-1</x:f>
        <x:v>-0.1908602150537635</x:v>
      </x:c>
      <x:c r="K529" s="8" t="n">
        <x:f>H529*('Source Data'!H$8/'Source Data'!F$8)*EXP(F529*('Source Data'!H$7-'Source Data'!F$7))</x:f>
        <x:v>3170.319927117126</x:v>
      </x:c>
      <x:c r="L529" s="14" t="n">
        <x:f>I529/K529-1</x:f>
        <x:v>-0.24045520472450488</x:v>
      </x:c>
      <x:c r="M529" s="8" t="n">
        <x:f>'Source Data'!G529</x:f>
        <x:v>3188</x:v>
      </x:c>
      <x:c r="N529" s="8" t="n">
        <x:f>M529*('Source Data'!H$8/'Source Data'!G$8)*EXP(F529*('Source Data'!H$7-'Source Data'!G$7))</x:f>
        <x:v>3350.6668695871367</x:v>
      </x:c>
      <x:c r="O529" s="14" t="n">
        <x:f>I529/N529-1</x:f>
        <x:v>-0.28133709087686487</x:v>
      </x:c>
      <x:c r="P529" s="2" t="str"/>
    </x:row>
    <x:row r="530">
      <x:c r="A530" s="2" t="str">
        <x:f>'Source Data'!A530</x:f>
        <x:v>512131</x:v>
      </x:c>
      <x:c r="B530" s="2" t="str">
        <x:f>'Source Data'!B530</x:f>
        <x:v>Motion Picture Theaters (except Drive-Ins)</x:v>
      </x:c>
      <x:c r="C530" s="13" t="n">
        <x:f>LN('Source Data'!C530/'Source Data'!C$8)</x:f>
        <x:v>-6.625654030216696</x:v>
      </x:c>
      <x:c r="D530" s="13" t="n">
        <x:f>LN('Source Data'!D530/'Source Data'!D$8)</x:f>
        <x:v>-6.62691668889045</x:v>
      </x:c>
      <x:c r="E530" s="13" t="n">
        <x:f>LN('Source Data'!E530/'Source Data'!E$8)</x:f>
        <x:v>-6.579748272758032</x:v>
      </x:c>
      <x:c r="F530" s="13" t="n">
        <x:f>SLOPE(C530:E530,'Source Data'!C$7:E$7)</x:f>
        <x:v>0.02295287872933205</x:v>
      </x:c>
      <x:c r="G530" s="14" t="n">
        <x:f>EXP(F530)-1</x:f>
        <x:v>0.023218323063662005</x:v>
      </x:c>
      <x:c r="H530" s="8" t="n">
        <x:f>'Source Data'!F530</x:f>
        <x:v>15351</x:v>
      </x:c>
      <x:c r="I530" s="8" t="n">
        <x:f>'Source Data'!H530</x:f>
        <x:v>15375</x:v>
      </x:c>
      <x:c r="J530" s="14" t="n">
        <x:f>I530/H530-1</x:f>
        <x:v>0.0015634160641000427</x:v>
      </x:c>
      <x:c r="K530" s="8" t="n">
        <x:f>H530*('Source Data'!H$8/'Source Data'!F$8)*EXP(F530*('Source Data'!H$7-'Source Data'!F$7))</x:f>
        <x:v>17125.697932621006</x:v>
      </x:c>
      <x:c r="L530" s="14" t="n">
        <x:f>I530/K530-1</x:f>
        <x:v>-0.10222636995636125</x:v>
      </x:c>
      <x:c r="M530" s="8" t="n">
        <x:f>'Source Data'!G530</x:f>
        <x:v>16342</x:v>
      </x:c>
      <x:c r="N530" s="8" t="n">
        <x:f>M530*('Source Data'!H$8/'Source Data'!G$8)*EXP(F530*('Source Data'!H$7-'Source Data'!G$7))</x:f>
        <x:v>17780.71529721707</x:v>
      </x:c>
      <x:c r="O530" s="14" t="n">
        <x:f>I530/N530-1</x:f>
        <x:v>-0.13529912925345577</x:v>
      </x:c>
      <x:c r="P530" s="2" t="str"/>
    </x:row>
    <x:row r="531">
      <x:c r="A531" s="2" t="str">
        <x:f>'Source Data'!A531</x:f>
        <x:v>512132</x:v>
      </x:c>
      <x:c r="B531" s="2" t="str">
        <x:f>'Source Data'!B531</x:f>
        <x:v>Drive-In Motion Picture Theaters</x:v>
      </x:c>
      <x:c r="C531" s="13" t="n">
        <x:f>LN('Source Data'!C531/'Source Data'!C$8)</x:f>
        <x:v>-10.498809559588377</x:v>
      </x:c>
      <x:c r="D531" s="13" t="n">
        <x:f>LN('Source Data'!D531/'Source Data'!D$8)</x:f>
        <x:v>-10.436372476566381</x:v>
      </x:c>
      <x:c r="E531" s="13" t="n">
        <x:f>LN('Source Data'!E531/'Source Data'!E$8)</x:f>
        <x:v>-10.489740231499296</x:v>
      </x:c>
      <x:c r="F531" s="13" t="n">
        <x:f>SLOPE(C531:E531,'Source Data'!C$7:E$7)</x:f>
        <x:v>0.004534664044540726</x:v>
      </x:c>
      <x:c r="G531" s="14" t="n">
        <x:f>EXP(F531)-1</x:f>
        <x:v>0.004544961192357588</x:v>
      </x:c>
      <x:c r="H531" s="8" t="n">
        <x:f>'Source Data'!F531</x:f>
        <x:v>300</x:v>
      </x:c>
      <x:c r="I531" s="8" t="n">
        <x:f>'Source Data'!H531</x:f>
        <x:v>311</x:v>
      </x:c>
      <x:c r="J531" s="14" t="n">
        <x:f>I531/H531-1</x:f>
        <x:v>0.036666666666666625</x:v>
      </x:c>
      <x:c r="K531" s="8" t="n">
        <x:f>H531*('Source Data'!H$8/'Source Data'!F$8)*EXP(F531*('Source Data'!H$7-'Source Data'!F$7))</x:f>
        <x:v>310.91175810859477</x:v>
      </x:c>
      <x:c r="L531" s="14" t="n">
        <x:f>I531/K531-1</x:f>
        <x:v>0.0002838165141840765</x:v>
      </x:c>
      <x:c r="M531" s="8" t="n">
        <x:f>'Source Data'!G531</x:f>
        <x:v>302</x:v>
      </x:c>
      <x:c r="N531" s="8" t="n">
        <x:f>M531*('Source Data'!H$8/'Source Data'!G$8)*EXP(F531*('Source Data'!H$7-'Source Data'!G$7))</x:f>
        <x:v>310.9239511069671</x:v>
      </x:c>
      <x:c r="O531" s="14" t="n">
        <x:f>I531/N531-1</x:f>
        <x:v>0.0002445900123235756</x:v>
      </x:c>
      <x:c r="P531" s="2" t="str"/>
    </x:row>
    <x:row r="532">
      <x:c r="A532" s="2" t="str">
        <x:f>'Source Data'!A532</x:f>
        <x:v>512191</x:v>
      </x:c>
      <x:c r="B532" s="2" t="str">
        <x:f>'Source Data'!B532</x:f>
        <x:v>Teleproduction and Other Postproduction Services</x:v>
      </x:c>
      <x:c r="C532" s="13" t="n">
        <x:f>LN('Source Data'!C532/'Source Data'!C$8)</x:f>
        <x:v>-7.353432755266732</x:v>
      </x:c>
      <x:c r="D532" s="13" t="n">
        <x:f>LN('Source Data'!D532/'Source Data'!D$8)</x:f>
        <x:v>-7.336049214133594</x:v>
      </x:c>
      <x:c r="E532" s="13" t="n">
        <x:f>LN('Source Data'!E532/'Source Data'!E$8)</x:f>
        <x:v>-7.368418648353696</x:v>
      </x:c>
      <x:c r="F532" s="13" t="n">
        <x:f>SLOPE(C532:E532,'Source Data'!C$7:E$7)</x:f>
        <x:v>-0.007492946543482315</x:v>
      </x:c>
      <x:c r="G532" s="14" t="n">
        <x:f>EXP(F532)-1</x:f>
        <x:v>-0.007464944402694518</x:v>
      </x:c>
      <x:c r="H532" s="8" t="n">
        <x:f>'Source Data'!F532</x:f>
        <x:v>10701</x:v>
      </x:c>
      <x:c r="I532" s="8" t="n">
        <x:f>'Source Data'!H532</x:f>
        <x:v>7801</x:v>
      </x:c>
      <x:c r="J532" s="14" t="n">
        <x:f>I532/H532-1</x:f>
        <x:v>-0.2710027100271003</x:v>
      </x:c>
      <x:c r="K532" s="8" t="n">
        <x:f>H532*('Source Data'!H$8/'Source Data'!F$8)*EXP(F532*('Source Data'!H$7-'Source Data'!F$7))</x:f>
        <x:v>10569.298324198602</x:v>
      </x:c>
      <x:c r="L532" s="14" t="n">
        <x:f>I532/K532-1</x:f>
        <x:v>-0.2619188369260552</x:v>
      </x:c>
      <x:c r="M532" s="8" t="n">
        <x:f>'Source Data'!G532</x:f>
        <x:v>10192</x:v>
      </x:c>
      <x:c r="N532" s="8" t="n">
        <x:f>M532*('Source Data'!H$8/'Source Data'!G$8)*EXP(F532*('Source Data'!H$7-'Source Data'!G$7))</x:f>
        <x:v>10121.294814432049</x:v>
      </x:c>
      <x:c r="O532" s="14" t="n">
        <x:f>I532/N532-1</x:f>
        <x:v>-0.22924881222939175</x:v>
      </x:c>
      <x:c r="P532" s="2" t="str"/>
    </x:row>
    <x:row r="533">
      <x:c r="A533" s="2" t="str">
        <x:f>'Source Data'!A533</x:f>
        <x:v>512199</x:v>
      </x:c>
      <x:c r="B533" s="2" t="str">
        <x:f>'Source Data'!B533</x:f>
        <x:v>Other Motion Picture and Video Industries</x:v>
      </x:c>
      <x:c r="C533" s="13" t="n">
        <x:f>LN('Source Data'!C533/'Source Data'!C$8)</x:f>
        <x:v>-9.696375571201134</x:v>
      </x:c>
      <x:c r="D533" s="13" t="n">
        <x:f>LN('Source Data'!D533/'Source Data'!D$8)</x:f>
        <x:v>-9.717907488022147</x:v>
      </x:c>
      <x:c r="E533" s="13" t="n">
        <x:f>LN('Source Data'!E533/'Source Data'!E$8)</x:f>
        <x:v>-9.69668214004909</x:v>
      </x:c>
      <x:c r="F533" s="13" t="n">
        <x:f>SLOPE(C533:E533,'Source Data'!C$7:E$7)</x:f>
        <x:v>-0.0001532844239777731</x:v>
      </x:c>
      <x:c r="G533" s="14" t="n">
        <x:f>EXP(F533)-1</x:f>
        <x:v>-0.0001532726765206549</x:v>
      </x:c>
      <x:c r="H533" s="8" t="n">
        <x:f>'Source Data'!F533</x:f>
        <x:v>759</x:v>
      </x:c>
      <x:c r="I533" s="8" t="n">
        <x:f>'Source Data'!H533</x:f>
        <x:v>744</x:v>
      </x:c>
      <x:c r="J533" s="14" t="n">
        <x:f>I533/H533-1</x:f>
        <x:v>-0.01976284584980237</x:v>
      </x:c>
      <x:c r="K533" s="8" t="n">
        <x:f>H533*('Source Data'!H$8/'Source Data'!F$8)*EXP(F533*('Source Data'!H$7-'Source Data'!F$7))</x:f>
        <x:v>771.9938971895857</x:v>
      </x:c>
      <x:c r="L533" s="14" t="n">
        <x:f>I533/K533-1</x:f>
        <x:v>-0.03626181151366148</x:v>
      </x:c>
      <x:c r="M533" s="8" t="n">
        <x:f>'Source Data'!G533</x:f>
        <x:v>714</x:v>
      </x:c>
      <x:c r="N533" s="8" t="n">
        <x:f>M533*('Source Data'!H$8/'Source Data'!G$8)*EXP(F533*('Source Data'!H$7-'Source Data'!G$7))</x:f>
        <x:v>724.8323970404441</x:v>
      </x:c>
      <x:c r="O533" s="14" t="n">
        <x:f>I533/N533-1</x:f>
        <x:v>0.026444186321995078</x:v>
      </x:c>
      <x:c r="P533" s="2" t="str"/>
    </x:row>
    <x:row r="534">
      <x:c r="A534" s="2" t="str">
        <x:f>'Source Data'!A534</x:f>
        <x:v>512230</x:v>
      </x:c>
      <x:c r="B534" s="2" t="str">
        <x:f>'Source Data'!B534</x:f>
        <x:v>Music Publishers</x:v>
      </x:c>
      <x:c r="C534" s="13" t="n">
        <x:f>LN('Source Data'!C534/'Source Data'!C$8)</x:f>
        <x:v>-9.919803577075646</x:v>
      </x:c>
      <x:c r="D534" s="13" t="n">
        <x:f>LN('Source Data'!D534/'Source Data'!D$8)</x:f>
        <x:v>-9.551815404395171</x:v>
      </x:c>
      <x:c r="E534" s="13" t="n">
        <x:f>LN('Source Data'!E534/'Source Data'!E$8)</x:f>
        <x:v>-9.417230566733824</x:v>
      </x:c>
      <x:c r="F534" s="13" t="n">
        <x:f>SLOPE(C534:E534,'Source Data'!C$7:E$7)</x:f>
        <x:v>0.2512865051709108</x:v>
      </x:c>
      <x:c r="G534" s="14" t="n">
        <x:f>EXP(F534)-1</x:f>
        <x:v>0.28567838507409427</x:v>
      </x:c>
      <x:c r="H534" s="8" t="n">
        <x:f>'Source Data'!F534</x:f>
        <x:v>1582</x:v>
      </x:c>
      <x:c r="I534" s="8" t="n">
        <x:f>'Source Data'!H534</x:f>
        <x:v>1612</x:v>
      </x:c>
      <x:c r="J534" s="14" t="n">
        <x:f>I534/H534-1</x:f>
        <x:v>0.01896333754740831</x:v>
      </x:c>
      <x:c r="K534" s="8" t="n">
        <x:f>H534*('Source Data'!H$8/'Source Data'!F$8)*EXP(F534*('Source Data'!H$7-'Source Data'!F$7))</x:f>
        <x:v>4399.205230285065</x:v>
      </x:c>
      <x:c r="L534" s="14" t="n">
        <x:f>I534/K534-1</x:f>
        <x:v>-0.6335701756074827</x:v>
      </x:c>
      <x:c r="M534" s="8" t="n">
        <x:f>'Source Data'!G534</x:f>
        <x:v>1645</x:v>
      </x:c>
      <x:c r="N534" s="8" t="n">
        <x:f>M534*('Source Data'!H$8/'Source Data'!G$8)*EXP(F534*('Source Data'!H$7-'Source Data'!G$7))</x:f>
        <x:v>3550.602268852541</x:v>
      </x:c>
      <x:c r="O534" s="14" t="n">
        <x:f>I534/N534-1</x:f>
        <x:v>-0.5459925167791448</x:v>
      </x:c>
      <x:c r="P534" s="2" t="str"/>
    </x:row>
    <x:row r="535">
      <x:c r="A535" s="2" t="str">
        <x:f>'Source Data'!A535</x:f>
        <x:v>512240</x:v>
      </x:c>
      <x:c r="B535" s="2" t="str">
        <x:f>'Source Data'!B535</x:f>
        <x:v>Sound Recording Studios</x:v>
      </x:c>
      <x:c r="C535" s="13" t="n">
        <x:f>LN('Source Data'!C535/'Source Data'!C$8)</x:f>
        <x:v>-9.461244994075782</x:v>
      </x:c>
      <x:c r="D535" s="13" t="n">
        <x:f>LN('Source Data'!D535/'Source Data'!D$8)</x:f>
        <x:v>-9.435637763207843</x:v>
      </x:c>
      <x:c r="E535" s="13" t="n">
        <x:f>LN('Source Data'!E535/'Source Data'!E$8)</x:f>
        <x:v>-9.388715396425802</x:v>
      </x:c>
      <x:c r="F535" s="13" t="n">
        <x:f>SLOPE(C535:E535,'Source Data'!C$7:E$7)</x:f>
        <x:v>0.03626479882499023</x:v>
      </x:c>
      <x:c r="G535" s="14" t="n">
        <x:f>EXP(F535)-1</x:f>
        <x:v>0.03693038808853588</x:v>
      </x:c>
      <x:c r="H535" s="8" t="n">
        <x:f>'Source Data'!F535</x:f>
        <x:v>1464</x:v>
      </x:c>
      <x:c r="I535" s="8" t="n">
        <x:f>'Source Data'!H535</x:f>
        <x:v>1303</x:v>
      </x:c>
      <x:c r="J535" s="14" t="n">
        <x:f>I535/H535-1</x:f>
        <x:v>-0.10997267759562845</x:v>
      </x:c>
      <x:c r="K535" s="8" t="n">
        <x:f>H535*('Source Data'!H$8/'Source Data'!F$8)*EXP(F535*('Source Data'!H$7-'Source Data'!F$7))</x:f>
        <x:v>1722.5738831102583</x:v>
      </x:c>
      <x:c r="L535" s="14" t="n">
        <x:f>I535/K535-1</x:f>
        <x:v>-0.24357380964854802</x:v>
      </x:c>
      <x:c r="M535" s="8" t="n">
        <x:f>'Source Data'!G535</x:f>
        <x:v>1514</x:v>
      </x:c>
      <x:c r="N535" s="8" t="n">
        <x:f>M535*('Source Data'!H$8/'Source Data'!G$8)*EXP(F535*('Source Data'!H$7-'Source Data'!G$7))</x:f>
        <x:v>1714.4063928015225</x:v>
      </x:c>
      <x:c r="O535" s="14" t="n">
        <x:f>I535/N535-1</x:f>
        <x:v>-0.23997016957527828</x:v>
      </x:c>
      <x:c r="P535" s="2" t="str"/>
    </x:row>
    <x:row r="536">
      <x:c r="A536" s="2" t="str">
        <x:f>'Source Data'!A536</x:f>
        <x:v>512250</x:v>
      </x:c>
      <x:c r="B536" s="2" t="str">
        <x:f>'Source Data'!B536</x:f>
        <x:v>Record Production and Distribution</x:v>
      </x:c>
      <x:c r="C536" s="13" t="n">
        <x:f>LN('Source Data'!C536/'Source Data'!C$8)</x:f>
        <x:v>-9.301968726399712</x:v>
      </x:c>
      <x:c r="D536" s="13" t="n">
        <x:f>LN('Source Data'!D536/'Source Data'!D$8)</x:f>
        <x:v>-9.24861433838001</x:v>
      </x:c>
      <x:c r="E536" s="13" t="n">
        <x:f>LN('Source Data'!E536/'Source Data'!E$8)</x:f>
        <x:v>-9.202385818234308</x:v>
      </x:c>
      <x:c r="F536" s="13" t="n">
        <x:f>SLOPE(C536:E536,'Source Data'!C$7:E$7)</x:f>
        <x:v>0.049791454082702025</x:v>
      </x:c>
      <x:c r="G536" s="14" t="n">
        <x:f>EXP(F536)-1</x:f>
        <x:v>0.051051880939938066</x:v>
      </x:c>
      <x:c r="H536" s="8" t="n">
        <x:f>'Source Data'!F536</x:f>
        <x:v>1822</x:v>
      </x:c>
      <x:c r="I536" s="8" t="n">
        <x:f>'Source Data'!H536</x:f>
        <x:v>1875</x:v>
      </x:c>
      <x:c r="J536" s="14" t="n">
        <x:f>I536/H536-1</x:f>
        <x:v>0.029088913282107498</x:v>
      </x:c>
      <x:c r="K536" s="8" t="n">
        <x:f>H536*('Source Data'!H$8/'Source Data'!F$8)*EXP(F536*('Source Data'!H$7-'Source Data'!F$7))</x:f>
        <x:v>2262.993784941878</x:v>
      </x:c>
      <x:c r="L536" s="14" t="n">
        <x:f>I536/K536-1</x:f>
        <x:v>-0.17145154685073205</x:v>
      </x:c>
      <x:c r="M536" s="8" t="n">
        <x:f>'Source Data'!G536</x:f>
        <x:v>1863</x:v>
      </x:c>
      <x:c r="N536" s="8" t="n">
        <x:f>M536*('Source Data'!H$8/'Source Data'!G$8)*EXP(F536*('Source Data'!H$7-'Source Data'!G$7))</x:f>
        <x:v>2196.9714458441467</x:v>
      </x:c>
      <x:c r="O536" s="14" t="n">
        <x:f>I536/N536-1</x:f>
        <x:v>-0.14655240351584775</x:v>
      </x:c>
      <x:c r="P536" s="2" t="str"/>
    </x:row>
    <x:row r="537">
      <x:c r="A537" s="2" t="str">
        <x:f>'Source Data'!A537</x:f>
        <x:v>512290</x:v>
      </x:c>
      <x:c r="B537" s="2" t="str">
        <x:f>'Source Data'!B537</x:f>
        <x:v>Other Sound Recording Industries</x:v>
      </x:c>
      <x:c r="C537" s="13" t="n">
        <x:f>LN('Source Data'!C537/'Source Data'!C$8)</x:f>
        <x:v>-10.381590698841174</x:v>
      </x:c>
      <x:c r="D537" s="13" t="n">
        <x:f>LN('Source Data'!D537/'Source Data'!D$8)</x:f>
        <x:v>-10.311620771593905</x:v>
      </x:c>
      <x:c r="E537" s="13" t="n">
        <x:f>LN('Source Data'!E537/'Source Data'!E$8)</x:f>
        <x:v>-10.692560309841591</x:v>
      </x:c>
      <x:c r="F537" s="13" t="n">
        <x:f>SLOPE(C537:E537,'Source Data'!C$7:E$7)</x:f>
        <x:v>-0.15548480550020827</x:v>
      </x:c>
      <x:c r="G537" s="14" t="n">
        <x:f>EXP(F537)-1</x:f>
        <x:v>-0.14399991667679612</x:v>
      </x:c>
      <x:c r="H537" s="8" t="n">
        <x:f>'Source Data'!F537</x:f>
        <x:v>430</x:v>
      </x:c>
      <x:c r="I537" s="8" t="n">
        <x:f>'Source Data'!H537</x:f>
        <x:v>399</x:v>
      </x:c>
      <x:c r="J537" s="14" t="n">
        <x:f>I537/H537-1</x:f>
        <x:v>-0.0720930232558139</x:v>
      </x:c>
      <x:c r="K537" s="8" t="n">
        <x:f>H537*('Source Data'!H$8/'Source Data'!F$8)*EXP(F537*('Source Data'!H$7-'Source Data'!F$7))</x:f>
        <x:v>234.96439494332284</x:v>
      </x:c>
      <x:c r="L537" s="14" t="n">
        <x:f>I537/K537-1</x:f>
        <x:v>0.6981296255385636</x:v>
      </x:c>
      <x:c r="M537" s="8" t="n">
        <x:f>'Source Data'!G537</x:f>
        <x:v>487</x:v>
      </x:c>
      <x:c r="N537" s="8" t="n">
        <x:f>M537*('Source Data'!H$8/'Source Data'!G$8)*EXP(F537*('Source Data'!H$7-'Source Data'!G$7))</x:f>
        <x:v>310.2340613352008</x:v>
      </x:c>
      <x:c r="O537" s="14" t="n">
        <x:f>I537/N537-1</x:f>
        <x:v>0.28612570226094425</x:v>
      </x:c>
      <x:c r="P537" s="2" t="str"/>
    </x:row>
    <x:row r="538">
      <x:c r="A538" s="2" t="str">
        <x:f>'Source Data'!A538</x:f>
        <x:v>513210</x:v>
      </x:c>
      <x:c r="B538" s="2" t="str">
        <x:f>'Source Data'!B538</x:f>
        <x:v>Software Publishers</x:v>
      </x:c>
      <x:c r="C538" s="13" t="n">
        <x:f>LN('Source Data'!C538/'Source Data'!C$8)</x:f>
        <x:v>-5.307659189939124</x:v>
      </x:c>
      <x:c r="D538" s="13" t="n">
        <x:f>LN('Source Data'!D538/'Source Data'!D$8)</x:f>
        <x:v>-5.210700999303944</x:v>
      </x:c>
      <x:c r="E538" s="13" t="n">
        <x:f>LN('Source Data'!E538/'Source Data'!E$8)</x:f>
        <x:v>-5.058975997409588</x:v>
      </x:c>
      <x:c r="F538" s="13" t="n">
        <x:f>SLOPE(C538:E538,'Source Data'!C$7:E$7)</x:f>
        <x:v>0.12434159626476804</x:v>
      </x:c>
      <x:c r="G538" s="14" t="n">
        <x:f>EXP(F538)-1</x:f>
        <x:v>0.13240262944622616</x:v>
      </x:c>
      <x:c r="H538" s="8" t="n">
        <x:f>'Source Data'!F538</x:f>
        <x:v>114569</x:v>
      </x:c>
      <x:c r="I538" s="8" t="n">
        <x:f>'Source Data'!H538</x:f>
        <x:v>113017</x:v>
      </x:c>
      <x:c r="J538" s="14" t="n">
        <x:f>I538/H538-1</x:f>
        <x:v>-0.013546421806945985</x:v>
      </x:c>
      <x:c r="K538" s="8" t="n">
        <x:f>H538*('Source Data'!H$8/'Source Data'!F$8)*EXP(F538*('Source Data'!H$7-'Source Data'!F$7))</x:f>
        <x:v>191738.344157432</x:v>
      </x:c>
      <x:c r="L538" s="14" t="n">
        <x:f>I538/K538-1</x:f>
        <x:v>-0.41056651711144276</x:v>
      </x:c>
      <x:c r="M538" s="8" t="n">
        <x:f>'Source Data'!G538</x:f>
        <x:v>117017</x:v>
      </x:c>
      <x:c r="N538" s="8" t="n">
        <x:f>M538*('Source Data'!H$8/'Source Data'!G$8)*EXP(F538*('Source Data'!H$7-'Source Data'!G$7))</x:f>
        <x:v>172580.07898435785</x:v>
      </x:c>
      <x:c r="O538" s="14" t="n">
        <x:f>I538/N538-1</x:f>
        <x:v>-0.3451329917965589</x:v>
      </x:c>
      <x:c r="P538" s="2" t="str">
        <x:v>Selected</x:v>
      </x:c>
    </x:row>
    <x:row r="539">
      <x:c r="A539" s="2" t="str">
        <x:f>'Source Data'!A539</x:f>
        <x:v>516110</x:v>
      </x:c>
      <x:c r="B539" s="2" t="str">
        <x:f>'Source Data'!B539</x:f>
        <x:v>Radio Broadcasting Stations</x:v>
      </x:c>
      <x:c r="C539" s="13" t="n">
        <x:f>LN('Source Data'!C539/'Source Data'!C$8)</x:f>
        <x:v>-7.773814065847149</x:v>
      </x:c>
      <x:c r="D539" s="13" t="n">
        <x:f>LN('Source Data'!D539/'Source Data'!D$8)</x:f>
        <x:v>-7.8028248027620934</x:v>
      </x:c>
      <x:c r="E539" s="13" t="n">
        <x:f>LN('Source Data'!E539/'Source Data'!E$8)</x:f>
        <x:v>-7.846378858052875</x:v>
      </x:c>
      <x:c r="F539" s="13" t="n">
        <x:f>SLOPE(C539:E539,'Source Data'!C$7:E$7)</x:f>
        <x:v>-0.03628239610286288</x:v>
      </x:c>
      <x:c r="G539" s="14" t="n">
        <x:f>EXP(F539)-1</x:f>
        <x:v>-0.03563207871618723</x:v>
      </x:c>
      <x:c r="H539" s="8" t="n">
        <x:f>'Source Data'!F539</x:f>
        <x:v>5028</x:v>
      </x:c>
      <x:c r="I539" s="8" t="n">
        <x:f>'Source Data'!H539</x:f>
        <x:v>3707</x:v>
      </x:c>
      <x:c r="J539" s="14" t="n">
        <x:f>I539/H539-1</x:f>
        <x:v>-0.2627287191726333</x:v>
      </x:c>
      <x:c r="K539" s="8" t="n">
        <x:f>H539*('Source Data'!H$8/'Source Data'!F$8)*EXP(F539*('Source Data'!H$7-'Source Data'!F$7))</x:f>
        <x:v>4425.931263809526</x:v>
      </x:c>
      <x:c r="L539" s="14" t="n">
        <x:f>I539/K539-1</x:f>
        <x:v>-0.1624361565865624</x:v>
      </x:c>
      <x:c r="M539" s="8" t="n">
        <x:f>'Source Data'!G539</x:f>
        <x:v>5059</x:v>
      </x:c>
      <x:c r="N539" s="8" t="n">
        <x:f>M539*('Source Data'!H$8/'Source Data'!G$8)*EXP(F539*('Source Data'!H$7-'Source Data'!G$7))</x:f>
        <x:v>4608.207669605967</x:v>
      </x:c>
      <x:c r="O539" s="14" t="n">
        <x:f>I539/N539-1</x:f>
        <x:v>-0.195565767478319</x:v>
      </x:c>
      <x:c r="P539" s="2" t="str"/>
    </x:row>
    <x:row r="540">
      <x:c r="A540" s="2" t="str">
        <x:f>'Source Data'!A540</x:f>
        <x:v>517111</x:v>
      </x:c>
      <x:c r="B540" s="2" t="str">
        <x:f>'Source Data'!B540</x:f>
        <x:v>Wired Telecommunications Carriers</x:v>
      </x:c>
      <x:c r="C540" s="13" t="n">
        <x:f>LN('Source Data'!C540/'Source Data'!C$8)</x:f>
        <x:v>-5.56861750458029</x:v>
      </x:c>
      <x:c r="D540" s="13" t="n">
        <x:f>LN('Source Data'!D540/'Source Data'!D$8)</x:f>
        <x:v>-5.668378046388429</x:v>
      </x:c>
      <x:c r="E540" s="13" t="n">
        <x:f>LN('Source Data'!E540/'Source Data'!E$8)</x:f>
        <x:v>-5.745060182794552</x:v>
      </x:c>
      <x:c r="F540" s="13" t="n">
        <x:f>SLOPE(C540:E540,'Source Data'!C$7:E$7)</x:f>
        <x:v>-0.08822133910713115</x:v>
      </x:c>
      <x:c r="G540" s="14" t="n">
        <x:f>EXP(F540)-1</x:f>
        <x:v>-0.08444179454110823</x:v>
      </x:c>
      <x:c r="H540" s="8" t="n">
        <x:f>'Source Data'!F540</x:f>
        <x:v>38646</x:v>
      </x:c>
      <x:c r="I540" s="8" t="n">
        <x:f>'Source Data'!H540</x:f>
        <x:v>29358</x:v>
      </x:c>
      <x:c r="J540" s="14" t="n">
        <x:f>I540/H540-1</x:f>
        <x:v>-0.24033535165346998</x:v>
      </x:c>
      <x:c r="K540" s="8" t="n">
        <x:f>H540*('Source Data'!H$8/'Source Data'!F$8)*EXP(F540*('Source Data'!H$7-'Source Data'!F$7))</x:f>
        <x:v>27636.736642884807</x:v>
      </x:c>
      <x:c r="L540" s="14" t="n">
        <x:f>I540/K540-1</x:f>
        <x:v>0.06228171507211355</x:v>
      </x:c>
      <x:c r="M540" s="8" t="n">
        <x:f>'Source Data'!G540</x:f>
        <x:v>37707</x:v>
      </x:c>
      <x:c r="N540" s="8" t="n">
        <x:f>M540*('Source Data'!H$8/'Source Data'!G$8)*EXP(F540*('Source Data'!H$7-'Source Data'!G$7))</x:f>
        <x:v>29391.31077691837</x:v>
      </x:c>
      <x:c r="O540" s="14" t="n">
        <x:f>I540/N540-1</x:f>
        <x:v>-0.0011333545880686247</x:v>
      </x:c>
      <x:c r="P540" s="2" t="str"/>
    </x:row>
    <x:row r="541">
      <x:c r="A541" s="2" t="str">
        <x:f>'Source Data'!A541</x:f>
        <x:v>517410</x:v>
      </x:c>
      <x:c r="B541" s="2" t="str">
        <x:f>'Source Data'!B541</x:f>
        <x:v>Satellite Telecommunications</x:v>
      </x:c>
      <x:c r="C541" s="13" t="n">
        <x:f>LN('Source Data'!C541/'Source Data'!C$8)</x:f>
        <x:v>-9.486747286886718</x:v>
      </x:c>
      <x:c r="D541" s="13" t="n">
        <x:f>LN('Source Data'!D541/'Source Data'!D$8)</x:f>
        <x:v>-9.543190530613412</x:v>
      </x:c>
      <x:c r="E541" s="13" t="n">
        <x:f>LN('Source Data'!E541/'Source Data'!E$8)</x:f>
        <x:v>-9.602863384831434</x:v>
      </x:c>
      <x:c r="F541" s="13" t="n">
        <x:f>SLOPE(C541:E541,'Source Data'!C$7:E$7)</x:f>
        <x:v>-0.05805804897235767</x:v>
      </x:c>
      <x:c r="G541" s="14" t="n">
        <x:f>EXP(F541)-1</x:f>
        <x:v>-0.056404828883045655</x:v>
      </x:c>
      <x:c r="H541" s="8" t="n">
        <x:f>'Source Data'!F541</x:f>
        <x:v>1217</x:v>
      </x:c>
      <x:c r="I541" s="8" t="n">
        <x:f>'Source Data'!H541</x:f>
        <x:v>1683</x:v>
      </x:c>
      <x:c r="J541" s="14" t="n">
        <x:f>I541/H541-1</x:f>
        <x:v>0.3829087921117502</x:v>
      </x:c>
      <x:c r="K541" s="8" t="n">
        <x:f>H541*('Source Data'!H$8/'Source Data'!F$8)*EXP(F541*('Source Data'!H$7-'Source Data'!F$7))</x:f>
        <x:v>981.9102432556596</x:v>
      </x:c>
      <x:c r="L541" s="14" t="n">
        <x:f>I541/K541-1</x:f>
        <x:v>0.714005950706635</x:v>
      </x:c>
      <x:c r="M541" s="8" t="n">
        <x:f>'Source Data'!G541</x:f>
        <x:v>1515</x:v>
      </x:c>
      <x:c r="N541" s="8" t="n">
        <x:f>M541*('Source Data'!H$8/'Source Data'!G$8)*EXP(F541*('Source Data'!H$7-'Source Data'!G$7))</x:f>
        <x:v>1292.733068079564</x:v>
      </x:c>
      <x:c r="O541" s="14" t="n">
        <x:f>I541/N541-1</x:f>
        <x:v>0.3018928977350306</x:v>
      </x:c>
      <x:c r="P541" s="2" t="str"/>
    </x:row>
    <x:row r="542">
      <x:c r="A542" s="2" t="str">
        <x:f>'Source Data'!A542</x:f>
        <x:v>517810</x:v>
      </x:c>
      <x:c r="B542" s="2" t="str">
        <x:f>'Source Data'!B542</x:f>
        <x:v>All Other Telecommunications</x:v>
      </x:c>
      <x:c r="C542" s="13" t="n">
        <x:f>LN('Source Data'!C542/'Source Data'!C$8)</x:f>
        <x:v>-8.092871039934874</x:v>
      </x:c>
      <x:c r="D542" s="13" t="n">
        <x:f>LN('Source Data'!D542/'Source Data'!D$8)</x:f>
        <x:v>-8.099644990660364</x:v>
      </x:c>
      <x:c r="E542" s="13" t="n">
        <x:f>LN('Source Data'!E542/'Source Data'!E$8)</x:f>
        <x:v>-7.957271070577198</x:v>
      </x:c>
      <x:c r="F542" s="13" t="n">
        <x:f>SLOPE(C542:E542,'Source Data'!C$7:E$7)</x:f>
        <x:v>0.06779998467883797</x:v>
      </x:c>
      <x:c r="G542" s="14" t="n">
        <x:f>EXP(F542)-1</x:f>
        <x:v>0.07015124042699705</x:v>
      </x:c>
      <x:c r="H542" s="8" t="n">
        <x:f>'Source Data'!F542</x:f>
        <x:v>5779</x:v>
      </x:c>
      <x:c r="I542" s="8" t="n">
        <x:f>'Source Data'!H542</x:f>
        <x:v>6234</x:v>
      </x:c>
      <x:c r="J542" s="14" t="n">
        <x:f>I542/H542-1</x:f>
        <x:v>0.07873334486935457</x:v>
      </x:c>
      <x:c r="K542" s="8" t="n">
        <x:f>H542*('Source Data'!H$8/'Source Data'!F$8)*EXP(F542*('Source Data'!H$7-'Source Data'!F$7))</x:f>
        <x:v>7713.859154167191</x:v>
      </x:c>
      <x:c r="L542" s="14" t="n">
        <x:f>I542/K542-1</x:f>
        <x:v>-0.19184420205128316</x:v>
      </x:c>
      <x:c r="M542" s="8" t="n">
        <x:f>'Source Data'!G542</x:f>
        <x:v>5228</x:v>
      </x:c>
      <x:c r="N542" s="8" t="n">
        <x:f>M542*('Source Data'!H$8/'Source Data'!G$8)*EXP(F542*('Source Data'!H$7-'Source Data'!G$7))</x:f>
        <x:v>6507.43970489222</x:v>
      </x:c>
      <x:c r="O542" s="14" t="n">
        <x:f>I542/N542-1</x:f>
        <x:v>-0.04201955258788659</x:v>
      </x:c>
      <x:c r="P542" s="2" t="str"/>
    </x:row>
    <x:row r="543">
      <x:c r="A543" s="2" t="str">
        <x:f>'Source Data'!A543</x:f>
        <x:v>518210</x:v>
      </x:c>
      <x:c r="B543" s="2" t="str">
        <x:f>'Source Data'!B543</x:f>
        <x:v>Computing Infrastructure Providers, Data Processing, Web Hosting, and Related Services</x:v>
      </x:c>
      <x:c r="C543" s="13" t="n">
        <x:f>LN('Source Data'!C543/'Source Data'!C$8)</x:f>
        <x:v>-5.8288312187663855</x:v>
      </x:c>
      <x:c r="D543" s="13" t="n">
        <x:f>LN('Source Data'!D543/'Source Data'!D$8)</x:f>
        <x:v>-5.733817552990193</x:v>
      </x:c>
      <x:c r="E543" s="13" t="n">
        <x:f>LN('Source Data'!E543/'Source Data'!E$8)</x:f>
        <x:v>-5.696848441468334</x:v>
      </x:c>
      <x:c r="F543" s="13" t="n">
        <x:f>SLOPE(C543:E543,'Source Data'!C$7:E$7)</x:f>
        <x:v>0.06599138864902576</x:v>
      </x:c>
      <x:c r="G543" s="14" t="n">
        <x:f>EXP(F543)-1</x:f>
        <x:v>0.068217518330419</x:v>
      </x:c>
      <x:c r="H543" s="8" t="n">
        <x:f>'Source Data'!F543</x:f>
        <x:v>66805</x:v>
      </x:c>
      <x:c r="I543" s="8" t="n">
        <x:f>'Source Data'!H543</x:f>
        <x:v>84174</x:v>
      </x:c>
      <x:c r="J543" s="14" t="n">
        <x:f>I543/H543-1</x:f>
        <x:v>0.25999550931816473</x:v>
      </x:c>
      <x:c r="K543" s="8" t="n">
        <x:f>H543*('Source Data'!H$8/'Source Data'!F$8)*EXP(F543*('Source Data'!H$7-'Source Data'!F$7))</x:f>
        <x:v>88529.11559971936</x:v>
      </x:c>
      <x:c r="L543" s="14" t="n">
        <x:f>I543/K543-1</x:f>
        <x:v>-0.04919416138088206</x:v>
      </x:c>
      <x:c r="M543" s="8" t="n">
        <x:f>'Source Data'!G543</x:f>
        <x:v>84409</x:v>
      </x:c>
      <x:c r="N543" s="8" t="n">
        <x:f>M543*('Source Data'!H$8/'Source Data'!G$8)*EXP(F543*('Source Data'!H$7-'Source Data'!G$7))</x:f>
        <x:v>104497.74994023285</x:v>
      </x:c>
      <x:c r="O543" s="14" t="n">
        <x:f>I543/N543-1</x:f>
        <x:v>-0.19448983305245282</x:v>
      </x:c>
      <x:c r="P543" s="2" t="str"/>
    </x:row>
    <x:row r="544">
      <x:c r="A544" s="2" t="str">
        <x:f>'Source Data'!A544</x:f>
        <x:v>519210</x:v>
      </x:c>
      <x:c r="B544" s="2" t="str">
        <x:f>'Source Data'!B544</x:f>
        <x:v>Libraries and Archives</x:v>
      </x:c>
      <x:c r="C544" s="13" t="n">
        <x:f>LN('Source Data'!C544/'Source Data'!C$8)</x:f>
        <x:v>-8.739727116386621</x:v>
      </x:c>
      <x:c r="D544" s="13" t="n">
        <x:f>LN('Source Data'!D544/'Source Data'!D$8)</x:f>
        <x:v>-8.699716766664611</x:v>
      </x:c>
      <x:c r="E544" s="13" t="n">
        <x:f>LN('Source Data'!E544/'Source Data'!E$8)</x:f>
        <x:v>-8.746227595810627</x:v>
      </x:c>
      <x:c r="F544" s="13" t="n">
        <x:f>SLOPE(C544:E544,'Source Data'!C$7:E$7)</x:f>
        <x:v>-0.003250239712002667</x:v>
      </x:c>
      <x:c r="G544" s="14" t="n">
        <x:f>EXP(F544)-1</x:f>
        <x:v>-0.003244963400883205</x:v>
      </x:c>
      <x:c r="H544" s="8" t="n">
        <x:f>'Source Data'!F544</x:f>
        <x:v>2617</x:v>
      </x:c>
      <x:c r="I544" s="8" t="n">
        <x:f>'Source Data'!H544</x:f>
        <x:v>1270</x:v>
      </x:c>
      <x:c r="J544" s="14" t="n">
        <x:f>I544/H544-1</x:f>
        <x:v>-0.5147115017195262</x:v>
      </x:c>
      <x:c r="K544" s="8" t="n">
        <x:f>H544*('Source Data'!H$8/'Source Data'!F$8)*EXP(F544*('Source Data'!H$7-'Source Data'!F$7))</x:f>
        <x:v>2629.0318743239004</x:v>
      </x:c>
      <x:c r="L544" s="14" t="n">
        <x:f>I544/K544-1</x:f>
        <x:v>-0.5169324448275844</x:v>
      </x:c>
      <x:c r="M544" s="8" t="n">
        <x:f>'Source Data'!G544</x:f>
        <x:v>2286</x:v>
      </x:c>
      <x:c r="N544" s="8" t="n">
        <x:f>M544*('Source Data'!H$8/'Source Data'!G$8)*EXP(F544*('Source Data'!H$7-'Source Data'!G$7))</x:f>
        <x:v>2299.220583587403</x:v>
      </x:c>
      <x:c r="O544" s="14" t="n">
        <x:f>I544/N544-1</x:f>
        <x:v>-0.44763890465069767</x:v>
      </x:c>
      <x:c r="P544" s="2" t="str"/>
    </x:row>
    <x:row r="545">
      <x:c r="A545" s="2" t="str">
        <x:f>'Source Data'!A545</x:f>
        <x:v>522110</x:v>
      </x:c>
      <x:c r="B545" s="2" t="str">
        <x:f>'Source Data'!B545</x:f>
        <x:v>Commercial Banking</x:v>
      </x:c>
      <x:c r="C545" s="13" t="n">
        <x:f>LN('Source Data'!C545/'Source Data'!C$8)</x:f>
        <x:v>-4.927756285499839</x:v>
      </x:c>
      <x:c r="D545" s="13" t="n">
        <x:f>LN('Source Data'!D545/'Source Data'!D$8)</x:f>
        <x:v>-4.9817190077794065</x:v>
      </x:c>
      <x:c r="E545" s="13" t="n">
        <x:f>LN('Source Data'!E545/'Source Data'!E$8)</x:f>
        <x:v>-4.856046812080782</x:v>
      </x:c>
      <x:c r="F545" s="13" t="n">
        <x:f>SLOPE(C545:E545,'Source Data'!C$7:E$7)</x:f>
        <x:v>0.035854736709528545</x:v>
      </x:c>
      <x:c r="G545" s="14" t="n">
        <x:f>EXP(F545)-1</x:f>
        <x:v>0.036505269388503514</x:v>
      </x:c>
      <x:c r="H545" s="8" t="n">
        <x:f>'Source Data'!F545</x:f>
        <x:v>106899</x:v>
      </x:c>
      <x:c r="I545" s="8" t="n">
        <x:f>'Source Data'!H545</x:f>
        <x:v>94644</x:v>
      </x:c>
      <x:c r="J545" s="14" t="n">
        <x:f>I545/H545-1</x:f>
        <x:v>-0.11464092274015658</x:v>
      </x:c>
      <x:c r="K545" s="8" t="n">
        <x:f>H545*('Source Data'!H$8/'Source Data'!F$8)*EXP(F545*('Source Data'!H$7-'Source Data'!F$7))</x:f>
        <x:v>125573.52145742072</x:v>
      </x:c>
      <x:c r="L545" s="14" t="n">
        <x:f>I545/K545-1</x:f>
        <x:v>-0.24630607709690022</x:v>
      </x:c>
      <x:c r="M545" s="8" t="n">
        <x:f>'Source Data'!G545</x:f>
        <x:v>105125</x:v>
      </x:c>
      <x:c r="N545" s="8" t="n">
        <x:f>M545*('Source Data'!H$8/'Source Data'!G$8)*EXP(F545*('Source Data'!H$7-'Source Data'!G$7))</x:f>
        <x:v>118893.9204762898</x:v>
      </x:c>
      <x:c r="O545" s="14" t="n">
        <x:f>I545/N545-1</x:f>
        <x:v>-0.20396266166633636</x:v>
      </x:c>
      <x:c r="P545" s="2" t="str"/>
    </x:row>
    <x:row r="546">
      <x:c r="A546" s="2" t="str">
        <x:f>'Source Data'!A546</x:f>
        <x:v>522130</x:v>
      </x:c>
      <x:c r="B546" s="2" t="str">
        <x:f>'Source Data'!B546</x:f>
        <x:v>Credit Unions</x:v>
      </x:c>
      <x:c r="C546" s="13" t="n">
        <x:f>LN('Source Data'!C546/'Source Data'!C$8)</x:f>
        <x:v>-6.524026262882829</x:v>
      </x:c>
      <x:c r="D546" s="13" t="n">
        <x:f>LN('Source Data'!D546/'Source Data'!D$8)</x:f>
        <x:v>-6.525702367241583</x:v>
      </x:c>
      <x:c r="E546" s="13" t="n">
        <x:f>LN('Source Data'!E546/'Source Data'!E$8)</x:f>
        <x:v>-6.520999059420999</x:v>
      </x:c>
      <x:c r="F546" s="13" t="n">
        <x:f>SLOPE(C546:E546,'Source Data'!C$7:E$7)</x:f>
        <x:v>0.0015136017309154148</x:v>
      </x:c>
      <x:c r="G546" s="14" t="n">
        <x:f>EXP(F546)-1</x:f>
        <x:v>0.0015147478041752649</x:v>
      </x:c>
      <x:c r="H546" s="8" t="n">
        <x:f>'Source Data'!F546</x:f>
        <x:v>22265</x:v>
      </x:c>
      <x:c r="I546" s="8" t="n">
        <x:f>'Source Data'!H546</x:f>
        <x:v>23301</x:v>
      </x:c>
      <x:c r="J546" s="14" t="n">
        <x:f>I546/H546-1</x:f>
        <x:v>0.04653042892432069</x:v>
      </x:c>
      <x:c r="K546" s="8" t="n">
        <x:f>H546*('Source Data'!H$8/'Source Data'!F$8)*EXP(F546*('Source Data'!H$7-'Source Data'!F$7))</x:f>
        <x:v>22797.670297291217</x:v>
      </x:c>
      <x:c r="L546" s="14" t="n">
        <x:f>I546/K546-1</x:f>
        <x:v>0.02207812009495491</x:v>
      </x:c>
      <x:c r="M546" s="8" t="n">
        <x:f>'Source Data'!G546</x:f>
        <x:v>22601</x:v>
      </x:c>
      <x:c r="N546" s="8" t="n">
        <x:f>M546*('Source Data'!H$8/'Source Data'!G$8)*EXP(F546*('Source Data'!H$7-'Source Data'!G$7))</x:f>
        <x:v>23058.911270964654</x:v>
      </x:c>
      <x:c r="O546" s="14" t="n">
        <x:f>I546/N546-1</x:f>
        <x:v>0.010498705953224219</x:v>
      </x:c>
      <x:c r="P546" s="2" t="str"/>
    </x:row>
    <x:row r="547">
      <x:c r="A547" s="2" t="str">
        <x:f>'Source Data'!A547</x:f>
        <x:v>522180</x:v>
      </x:c>
      <x:c r="B547" s="2" t="str">
        <x:f>'Source Data'!B547</x:f>
        <x:v>Savings Institutions and Other Depository Credit Intermediation</x:v>
      </x:c>
      <x:c r="C547" s="13" t="n">
        <x:f>LN('Source Data'!C547/'Source Data'!C$8)</x:f>
        <x:v>-7.02258004990493</x:v>
      </x:c>
      <x:c r="D547" s="13" t="n">
        <x:f>LN('Source Data'!D547/'Source Data'!D$8)</x:f>
        <x:v>-7.123840731989883</x:v>
      </x:c>
      <x:c r="E547" s="13" t="n">
        <x:f>LN('Source Data'!E547/'Source Data'!E$8)</x:f>
        <x:v>-8.628773206369553</x:v>
      </x:c>
      <x:c r="F547" s="13" t="n">
        <x:f>SLOPE(C547:E547,'Source Data'!C$7:E$7)</x:f>
        <x:v>-0.8030965782323118</x:v>
      </x:c>
      <x:c r="G547" s="14" t="n">
        <x:f>EXP(F547)-1</x:f>
        <x:v>-0.5520602661320493</x:v>
      </x:c>
      <x:c r="H547" s="8" t="n">
        <x:f>'Source Data'!F547</x:f>
        <x:v>2240</x:v>
      </x:c>
      <x:c r="I547" s="8" t="n">
        <x:f>'Source Data'!H547</x:f>
        <x:v>1724</x:v>
      </x:c>
      <x:c r="J547" s="14" t="n">
        <x:f>I547/H547-1</x:f>
        <x:v>-0.23035714285714282</x:v>
      </x:c>
      <x:c r="K547" s="8" t="n">
        <x:f>H547*('Source Data'!H$8/'Source Data'!F$8)*EXP(F547*('Source Data'!H$7-'Source Data'!F$7))</x:f>
        <x:v>91.78352699439132</x:v>
      </x:c>
      <x:c r="L547" s="14" t="n">
        <x:f>I547/K547-1</x:f>
        <x:v>17.78332699183972</x:v>
      </x:c>
      <x:c r="M547" s="8" t="n">
        <x:f>'Source Data'!G547</x:f>
        <x:v>2733</x:v>
      </x:c>
      <x:c r="N547" s="8" t="n">
        <x:f>M547*('Source Data'!H$8/'Source Data'!G$8)*EXP(F547*('Source Data'!H$7-'Source Data'!G$7))</x:f>
        <x:v>249.4810084348484</x:v>
      </x:c>
      <x:c r="O547" s="14" t="n">
        <x:f>I547/N547-1</x:f>
        <x:v>5.910345644406917</x:v>
      </x:c>
      <x:c r="P547" s="2" t="str"/>
    </x:row>
    <x:row r="548">
      <x:c r="A548" s="2" t="str">
        <x:f>'Source Data'!A548</x:f>
        <x:v>522210</x:v>
      </x:c>
      <x:c r="B548" s="2" t="str">
        <x:f>'Source Data'!B548</x:f>
        <x:v>Credit Card Issuing</x:v>
      </x:c>
      <x:c r="C548" s="13" t="n">
        <x:f>LN('Source Data'!C548/'Source Data'!C$8)</x:f>
        <x:v>-8.50372947111696</x:v>
      </x:c>
      <x:c r="D548" s="13" t="n">
        <x:f>LN('Source Data'!D548/'Source Data'!D$8)</x:f>
        <x:v>-8.34909458655723</x:v>
      </x:c>
      <x:c r="E548" s="13" t="n">
        <x:f>LN('Source Data'!E548/'Source Data'!E$8)</x:f>
        <x:v>-8.34428933060488</x:v>
      </x:c>
      <x:c r="F548" s="13" t="n">
        <x:f>SLOPE(C548:E548,'Source Data'!C$7:E$7)</x:f>
        <x:v>0.07972007025604011</x:v>
      </x:c>
      <x:c r="G548" s="14" t="n">
        <x:f>EXP(F548)-1</x:f>
        <x:v>0.08298386584305484</x:v>
      </x:c>
      <x:c r="H548" s="8" t="n">
        <x:f>'Source Data'!F548</x:f>
        <x:v>3430</x:v>
      </x:c>
      <x:c r="I548" s="8" t="n">
        <x:f>'Source Data'!H548</x:f>
        <x:v>2717</x:v>
      </x:c>
      <x:c r="J548" s="14" t="n">
        <x:f>I548/H548-1</x:f>
        <x:v>-0.20787172011661803</x:v>
      </x:c>
      <x:c r="K548" s="8" t="n">
        <x:f>H548*('Source Data'!H$8/'Source Data'!F$8)*EXP(F548*('Source Data'!H$7-'Source Data'!F$7))</x:f>
        <x:v>4801.981029745698</x:v>
      </x:c>
      <x:c r="L548" s="14" t="n">
        <x:f>I548/K548-1</x:f>
        <x:v>-0.43419185057799237</x:v>
      </x:c>
      <x:c r="M548" s="8" t="n">
        <x:f>'Source Data'!G548</x:f>
        <x:v>3634</x:v>
      </x:c>
      <x:c r="N548" s="8" t="n">
        <x:f>M548*('Source Data'!H$8/'Source Data'!G$8)*EXP(F548*('Source Data'!H$7-'Source Data'!G$7))</x:f>
        <x:v>4688.025648273183</x:v>
      </x:c>
      <x:c r="O548" s="14" t="n">
        <x:f>I548/N548-1</x:f>
        <x:v>-0.4204383243933836</x:v>
      </x:c>
      <x:c r="P548" s="2" t="str"/>
    </x:row>
    <x:row r="549">
      <x:c r="A549" s="2" t="str">
        <x:f>'Source Data'!A549</x:f>
        <x:v>522220</x:v>
      </x:c>
      <x:c r="B549" s="2" t="str">
        <x:f>'Source Data'!B549</x:f>
        <x:v>Sales Financing</x:v>
      </x:c>
      <x:c r="C549" s="13" t="n">
        <x:f>LN('Source Data'!C549/'Source Data'!C$8)</x:f>
        <x:v>-7.251805159832633</x:v>
      </x:c>
      <x:c r="D549" s="13" t="n">
        <x:f>LN('Source Data'!D549/'Source Data'!D$8)</x:f>
        <x:v>-7.282103551241879</x:v>
      </x:c>
      <x:c r="E549" s="13" t="n">
        <x:f>LN('Source Data'!E549/'Source Data'!E$8)</x:f>
        <x:v>-7.36088425711144</x:v>
      </x:c>
      <x:c r="F549" s="13" t="n">
        <x:f>SLOPE(C549:E549,'Source Data'!C$7:E$7)</x:f>
        <x:v>-0.05453954863940336</x:v>
      </x:c>
      <x:c r="G549" s="14" t="n">
        <x:f>EXP(F549)-1</x:f>
        <x:v>-0.05307894132221502</x:v>
      </x:c>
      <x:c r="H549" s="8" t="n">
        <x:f>'Source Data'!F549</x:f>
        <x:v>8519</x:v>
      </x:c>
      <x:c r="I549" s="8" t="n">
        <x:f>'Source Data'!H549</x:f>
        <x:v>7744</x:v>
      </x:c>
      <x:c r="J549" s="14" t="n">
        <x:f>I549/H549-1</x:f>
        <x:v>-0.09097311891067028</x:v>
      </x:c>
      <x:c r="K549" s="8" t="n">
        <x:f>H549*('Source Data'!H$8/'Source Data'!F$8)*EXP(F549*('Source Data'!H$7-'Source Data'!F$7))</x:f>
        <x:v>6970.791480277509</x:v>
      </x:c>
      <x:c r="L549" s="14" t="n">
        <x:f>I549/K549-1</x:f>
        <x:v>0.11092119480408114</x:v>
      </x:c>
      <x:c r="M549" s="8" t="n">
        <x:f>'Source Data'!G549</x:f>
        <x:v>8533</x:v>
      </x:c>
      <x:c r="N549" s="8" t="n">
        <x:f>M549*('Source Data'!H$8/'Source Data'!G$8)*EXP(F549*('Source Data'!H$7-'Source Data'!G$7))</x:f>
        <x:v>7358.37923755604</x:v>
      </x:c>
      <x:c r="O549" s="14" t="n">
        <x:f>I549/N549-1</x:f>
        <x:v>0.05240566570363914</x:v>
      </x:c>
      <x:c r="P549" s="2" t="str"/>
    </x:row>
    <x:row r="550">
      <x:c r="A550" s="2" t="str">
        <x:f>'Source Data'!A550</x:f>
        <x:v>522291</x:v>
      </x:c>
      <x:c r="B550" s="2" t="str">
        <x:f>'Source Data'!B550</x:f>
        <x:v>Consumer Lending</x:v>
      </x:c>
      <x:c r="C550" s="13" t="n">
        <x:f>LN('Source Data'!C550/'Source Data'!C$8)</x:f>
        <x:v>-7.14162948635493</x:v>
      </x:c>
      <x:c r="D550" s="13" t="n">
        <x:f>LN('Source Data'!D550/'Source Data'!D$8)</x:f>
        <x:v>-7.153657675884696</x:v>
      </x:c>
      <x:c r="E550" s="13" t="n">
        <x:f>LN('Source Data'!E550/'Source Data'!E$8)</x:f>
        <x:v>-7.2683554793283305</x:v>
      </x:c>
      <x:c r="F550" s="13" t="n">
        <x:f>SLOPE(C550:E550,'Source Data'!C$7:E$7)</x:f>
        <x:v>-0.06336299648670041</x:v>
      </x:c>
      <x:c r="G550" s="14" t="n">
        <x:f>EXP(F550)-1</x:f>
        <x:v>-0.06139729763988677</x:v>
      </x:c>
      <x:c r="H550" s="8" t="n">
        <x:f>'Source Data'!F550</x:f>
        <x:v>8372</x:v>
      </x:c>
      <x:c r="I550" s="8" t="n">
        <x:f>'Source Data'!H550</x:f>
        <x:v>8580</x:v>
      </x:c>
      <x:c r="J550" s="14" t="n">
        <x:f>I550/H550-1</x:f>
        <x:v>0.024844720496894457</x:v>
      </x:c>
      <x:c r="K550" s="8" t="n">
        <x:f>H550*('Source Data'!H$8/'Source Data'!F$8)*EXP(F550*('Source Data'!H$7-'Source Data'!F$7))</x:f>
        <x:v>6612.943227925699</x:v>
      </x:c>
      <x:c r="L550" s="14" t="n">
        <x:f>I550/K550-1</x:f>
        <x:v>0.29745556619443625</x:v>
      </x:c>
      <x:c r="M550" s="8" t="n">
        <x:f>'Source Data'!G550</x:f>
        <x:v>7622</x:v>
      </x:c>
      <x:c r="N550" s="8" t="n">
        <x:f>M550*('Source Data'!H$8/'Source Data'!G$8)*EXP(F550*('Source Data'!H$7-'Source Data'!G$7))</x:f>
        <x:v>6401.082748805494</x:v>
      </x:c>
      <x:c r="O550" s="14" t="n">
        <x:f>I550/N550-1</x:f>
        <x:v>0.3403982320961425</x:v>
      </x:c>
      <x:c r="P550" s="2" t="str"/>
    </x:row>
    <x:row r="551">
      <x:c r="A551" s="2" t="str">
        <x:f>'Source Data'!A551</x:f>
        <x:v>522292</x:v>
      </x:c>
      <x:c r="B551" s="2" t="str">
        <x:f>'Source Data'!B551</x:f>
        <x:v>Real Estate Credit</x:v>
      </x:c>
      <x:c r="C551" s="13" t="n">
        <x:f>LN('Source Data'!C551/'Source Data'!C$8)</x:f>
        <x:v>-5.96902500659755</x:v>
      </x:c>
      <x:c r="D551" s="13" t="n">
        <x:f>LN('Source Data'!D551/'Source Data'!D$8)</x:f>
        <x:v>-6.017166838650747</x:v>
      </x:c>
      <x:c r="E551" s="13" t="n">
        <x:f>LN('Source Data'!E551/'Source Data'!E$8)</x:f>
        <x:v>-6.264317968874856</x:v>
      </x:c>
      <x:c r="F551" s="13" t="n">
        <x:f>SLOPE(C551:E551,'Source Data'!C$7:E$7)</x:f>
        <x:v>-0.14764648113865286</x:v>
      </x:c>
      <x:c r="G551" s="14" t="n">
        <x:f>EXP(F551)-1</x:f>
        <x:v>-0.1372639454944421</x:v>
      </x:c>
      <x:c r="H551" s="8" t="n">
        <x:f>'Source Data'!F551</x:f>
        <x:v>35633</x:v>
      </x:c>
      <x:c r="I551" s="8" t="n">
        <x:f>'Source Data'!H551</x:f>
        <x:v>21299</x:v>
      </x:c>
      <x:c r="J551" s="14" t="n">
        <x:f>I551/H551-1</x:f>
        <x:v>-0.4022675609687649</x:v>
      </x:c>
      <x:c r="K551" s="8" t="n">
        <x:f>H551*('Source Data'!H$8/'Source Data'!F$8)*EXP(F551*('Source Data'!H$7-'Source Data'!F$7))</x:f>
        <x:v>20091.0462441212</x:v>
      </x:c>
      <x:c r="L551" s="14" t="n">
        <x:f>I551/K551-1</x:f>
        <x:v>0.06012398464476476</x:v>
      </x:c>
      <x:c r="M551" s="8" t="n">
        <x:f>'Source Data'!G551</x:f>
        <x:v>21887</x:v>
      </x:c>
      <x:c r="N551" s="8" t="n">
        <x:f>M551*('Source Data'!H$8/'Source Data'!G$8)*EXP(F551*('Source Data'!H$7-'Source Data'!G$7))</x:f>
        <x:v>14274.44324117121</x:v>
      </x:c>
      <x:c r="O551" s="14" t="n">
        <x:f>I551/N551-1</x:f>
        <x:v>0.49210723249563526</x:v>
      </x:c>
      <x:c r="P551" s="2" t="str"/>
    </x:row>
    <x:row r="552">
      <x:c r="A552" s="2" t="str">
        <x:f>'Source Data'!A552</x:f>
        <x:v>522299</x:v>
      </x:c>
      <x:c r="B552" s="2" t="str">
        <x:f>'Source Data'!B552</x:f>
        <x:v>International, Secondary Market, and All Other Nondepository Credit Intermediation</x:v>
      </x:c>
      <x:c r="C552" s="13" t="n">
        <x:f>LN('Source Data'!C552/'Source Data'!C$8)</x:f>
        <x:v>-7.998164467221486</x:v>
      </x:c>
      <x:c r="D552" s="13" t="n">
        <x:f>LN('Source Data'!D552/'Source Data'!D$8)</x:f>
        <x:v>-7.950689127710209</x:v>
      </x:c>
      <x:c r="E552" s="13" t="n">
        <x:f>LN('Source Data'!E552/'Source Data'!E$8)</x:f>
        <x:v>-8.006243593023562</x:v>
      </x:c>
      <x:c r="F552" s="13" t="n">
        <x:f>SLOPE(C552:E552,'Source Data'!C$7:E$7)</x:f>
        <x:v>-0.0040395629010379075</x:v>
      </x:c>
      <x:c r="G552" s="14" t="n">
        <x:f>EXP(F552)-1</x:f>
        <x:v>-0.004031414842046832</x:v>
      </x:c>
      <x:c r="H552" s="8" t="n">
        <x:f>'Source Data'!F552</x:f>
        <x:v>4074</x:v>
      </x:c>
      <x:c r="I552" s="8" t="n">
        <x:f>'Source Data'!H552</x:f>
        <x:v>4008</x:v>
      </x:c>
      <x:c r="J552" s="14" t="n">
        <x:f>I552/H552-1</x:f>
        <x:v>-0.016200294550810068</x:v>
      </x:c>
      <x:c r="K552" s="8" t="n">
        <x:f>H552*('Source Data'!H$8/'Source Data'!F$8)*EXP(F552*('Source Data'!H$7-'Source Data'!F$7))</x:f>
        <x:v>4079.8289817484547</x:v>
      </x:c>
      <x:c r="L552" s="14" t="n">
        <x:f>I552/K552-1</x:f>
        <x:v>-0.017605880557687414</x:v>
      </x:c>
      <x:c r="M552" s="8" t="n">
        <x:f>'Source Data'!G552</x:f>
        <x:v>4127</x:v>
      </x:c>
      <x:c r="N552" s="8" t="n">
        <x:f>M552*('Source Data'!H$8/'Source Data'!G$8)*EXP(F552*('Source Data'!H$7-'Source Data'!G$7))</x:f>
        <x:v>4141.050106691278</x:v>
      </x:c>
      <x:c r="O552" s="14" t="n">
        <x:f>I552/N552-1</x:f>
        <x:v>-0.03212955730148992</x:v>
      </x:c>
      <x:c r="P552" s="2" t="str"/>
    </x:row>
    <x:row r="553">
      <x:c r="A553" s="2" t="str">
        <x:f>'Source Data'!A553</x:f>
        <x:v>522310</x:v>
      </x:c>
      <x:c r="B553" s="2" t="str">
        <x:f>'Source Data'!B553</x:f>
        <x:v>Mortgage and Nonmortgage Loan Brokers</x:v>
      </x:c>
      <x:c r="C553" s="13" t="n">
        <x:f>LN('Source Data'!C553/'Source Data'!C$8)</x:f>
        <x:v>-6.905608373319425</x:v>
      </x:c>
      <x:c r="D553" s="13" t="n">
        <x:f>LN('Source Data'!D553/'Source Data'!D$8)</x:f>
        <x:v>-6.8960552288230295</x:v>
      </x:c>
      <x:c r="E553" s="13" t="n">
        <x:f>LN('Source Data'!E553/'Source Data'!E$8)</x:f>
        <x:v>-7.0117010977384915</x:v>
      </x:c>
      <x:c r="F553" s="13" t="n">
        <x:f>SLOPE(C553:E553,'Source Data'!C$7:E$7)</x:f>
        <x:v>-0.05304636220953318</x:v>
      </x:c>
      <x:c r="G553" s="14" t="n">
        <x:f>EXP(F553)-1</x:f>
        <x:v>-0.05166395549132352</x:v>
      </x:c>
      <x:c r="H553" s="8" t="n">
        <x:f>'Source Data'!F553</x:f>
        <x:v>19927</x:v>
      </x:c>
      <x:c r="I553" s="8" t="n">
        <x:f>'Source Data'!H553</x:f>
        <x:v>11853</x:v>
      </x:c>
      <x:c r="J553" s="14" t="n">
        <x:f>I553/H553-1</x:f>
        <x:v>-0.4051789029959352</x:v>
      </x:c>
      <x:c r="K553" s="8" t="n">
        <x:f>H553*('Source Data'!H$8/'Source Data'!F$8)*EXP(F553*('Source Data'!H$7-'Source Data'!F$7))</x:f>
        <x:v>16403.228124355857</x:v>
      </x:c>
      <x:c r="L553" s="14" t="n">
        <x:f>I553/K553-1</x:f>
        <x:v>-0.2773983321977692</x:v>
      </x:c>
      <x:c r="M553" s="8" t="n">
        <x:f>'Source Data'!G553</x:f>
        <x:v>11729</x:v>
      </x:c>
      <x:c r="N553" s="8" t="n">
        <x:f>M553*('Source Data'!H$8/'Source Data'!G$8)*EXP(F553*('Source Data'!H$7-'Source Data'!G$7))</x:f>
        <x:v>10159.839689938042</x:v>
      </x:c>
      <x:c r="O553" s="14" t="n">
        <x:f>I553/N553-1</x:f>
        <x:v>0.16665226634814</x:v>
      </x:c>
      <x:c r="P553" s="2" t="str"/>
    </x:row>
    <x:row r="554">
      <x:c r="A554" s="2" t="str">
        <x:f>'Source Data'!A554</x:f>
        <x:v>522320</x:v>
      </x:c>
      <x:c r="B554" s="2" t="str">
        <x:f>'Source Data'!B554</x:f>
        <x:v>Financial Transactions Processing, Reserve, and Clearinghouse Activities</x:v>
      </x:c>
      <x:c r="C554" s="13" t="n">
        <x:f>LN('Source Data'!C554/'Source Data'!C$8)</x:f>
        <x:v>-6.901984170857922</x:v>
      </x:c>
      <x:c r="D554" s="13" t="n">
        <x:f>LN('Source Data'!D554/'Source Data'!D$8)</x:f>
        <x:v>-6.85272404636519</x:v>
      </x:c>
      <x:c r="E554" s="13" t="n">
        <x:f>LN('Source Data'!E554/'Source Data'!E$8)</x:f>
        <x:v>-6.892097140855231</x:v>
      </x:c>
      <x:c r="F554" s="13" t="n">
        <x:f>SLOPE(C554:E554,'Source Data'!C$7:E$7)</x:f>
        <x:v>0.004943515001345489</x:v>
      </x:c>
      <x:c r="G554" s="14" t="n">
        <x:f>EXP(F554)-1</x:f>
        <x:v>0.0049557543317562125</x:v>
      </x:c>
      <x:c r="H554" s="8" t="n">
        <x:f>'Source Data'!F554</x:f>
        <x:v>18403</x:v>
      </x:c>
      <x:c r="I554" s="8" t="n">
        <x:f>'Source Data'!H554</x:f>
        <x:v>14274</x:v>
      </x:c>
      <x:c r="J554" s="14" t="n">
        <x:f>I554/H554-1</x:f>
        <x:v>-0.2243655925664294</x:v>
      </x:c>
      <x:c r="K554" s="8" t="n">
        <x:f>H554*('Source Data'!H$8/'Source Data'!F$8)*EXP(F554*('Source Data'!H$7-'Source Data'!F$7))</x:f>
        <x:v>19103.58015022132</x:v>
      </x:c>
      <x:c r="L554" s="14" t="n">
        <x:f>I554/K554-1</x:f>
        <x:v>-0.25281021213007393</x:v>
      </x:c>
      <x:c r="M554" s="8" t="n">
        <x:f>'Source Data'!G554</x:f>
        <x:v>14036</x:v>
      </x:c>
      <x:c r="N554" s="8" t="n">
        <x:f>M554*('Source Data'!H$8/'Source Data'!G$8)*EXP(F554*('Source Data'!H$7-'Source Data'!G$7))</x:f>
        <x:v>14468.492371791606</x:v>
      </x:c>
      <x:c r="O554" s="14" t="n">
        <x:f>I554/N554-1</x:f>
        <x:v>-0.013442476713800278</x:v>
      </x:c>
      <x:c r="P554" s="2" t="str"/>
    </x:row>
    <x:row r="555">
      <x:c r="A555" s="2" t="str">
        <x:f>'Source Data'!A555</x:f>
        <x:v>522390</x:v>
      </x:c>
      <x:c r="B555" s="2" t="str">
        <x:f>'Source Data'!B555</x:f>
        <x:v>Other Activities Related to Credit Intermediation</x:v>
      </x:c>
      <x:c r="C555" s="13" t="n">
        <x:f>LN('Source Data'!C555/'Source Data'!C$8)</x:f>
        <x:v>-7.0472922843815535</x:v>
      </x:c>
      <x:c r="D555" s="13" t="n">
        <x:f>LN('Source Data'!D555/'Source Data'!D$8)</x:f>
        <x:v>-7.100926472467007</x:v>
      </x:c>
      <x:c r="E555" s="13" t="n">
        <x:f>LN('Source Data'!E555/'Source Data'!E$8)</x:f>
        <x:v>-7.264699871601766</x:v>
      </x:c>
      <x:c r="F555" s="13" t="n">
        <x:f>SLOPE(C555:E555,'Source Data'!C$7:E$7)</x:f>
        <x:v>-0.10870379361010629</x:v>
      </x:c>
      <x:c r="G555" s="14" t="n">
        <x:f>EXP(F555)-1</x:f>
        <x:v>-0.1030039258794373</x:v>
      </x:c>
      <x:c r="H555" s="8" t="n">
        <x:f>'Source Data'!F555</x:f>
        <x:v>8277</x:v>
      </x:c>
      <x:c r="I555" s="8" t="n">
        <x:f>'Source Data'!H555</x:f>
        <x:v>6575</x:v>
      </x:c>
      <x:c r="J555" s="14" t="n">
        <x:f>I555/H555-1</x:f>
        <x:v>-0.20563005920019328</x:v>
      </x:c>
      <x:c r="K555" s="8" t="n">
        <x:f>H555*('Source Data'!H$8/'Source Data'!F$8)*EXP(F555*('Source Data'!H$7-'Source Data'!F$7))</x:f>
        <x:v>5453.477150838031</x:v>
      </x:c>
      <x:c r="L555" s="14" t="n">
        <x:f>I555/K555-1</x:f>
        <x:v>0.20565280061540658</x:v>
      </x:c>
      <x:c r="M555" s="8" t="n">
        <x:f>'Source Data'!G555</x:f>
        <x:v>6816</x:v>
      </x:c>
      <x:c r="N555" s="8" t="n">
        <x:f>M555*('Source Data'!H$8/'Source Data'!G$8)*EXP(F555*('Source Data'!H$7-'Source Data'!G$7))</x:f>
        <x:v>4996.205634591051</x:v>
      </x:c>
      <x:c r="O555" s="14" t="n">
        <x:f>I555/N555-1</x:f>
        <x:v>0.3159986759708653</x:v>
      </x:c>
      <x:c r="P555" s="2" t="str"/>
    </x:row>
    <x:row r="556">
      <x:c r="A556" s="2" t="str">
        <x:f>'Source Data'!A556</x:f>
        <x:v>523150</x:v>
      </x:c>
      <x:c r="B556" s="2" t="str">
        <x:f>'Source Data'!B556</x:f>
        <x:v>Investment Banking and Securities Intermediation</x:v>
      </x:c>
      <x:c r="C556" s="13" t="n">
        <x:f>LN('Source Data'!C556/'Source Data'!C$8)</x:f>
        <x:v>-6.120278876353618</x:v>
      </x:c>
      <x:c r="D556" s="13" t="n">
        <x:f>LN('Source Data'!D556/'Source Data'!D$8)</x:f>
        <x:v>-6.139007787696972</x:v>
      </x:c>
      <x:c r="E556" s="13" t="n">
        <x:f>LN('Source Data'!E556/'Source Data'!E$8)</x:f>
        <x:v>-6.177580297194611</x:v>
      </x:c>
      <x:c r="F556" s="13" t="n">
        <x:f>SLOPE(C556:E556,'Source Data'!C$7:E$7)</x:f>
        <x:v>-0.028650710420496495</x:v>
      </x:c>
      <x:c r="G556" s="14" t="n">
        <x:f>EXP(F556)-1</x:f>
        <x:v>-0.02824417062013518</x:v>
      </x:c>
      <x:c r="H556" s="8" t="n">
        <x:f>'Source Data'!F556</x:f>
        <x:v>28264</x:v>
      </x:c>
      <x:c r="I556" s="8" t="n">
        <x:f>'Source Data'!H556</x:f>
        <x:v>30821</x:v>
      </x:c>
      <x:c r="J556" s="14" t="n">
        <x:f>I556/H556-1</x:f>
        <x:v>0.09046844041890734</x:v>
      </x:c>
      <x:c r="K556" s="8" t="n">
        <x:f>H556*('Source Data'!H$8/'Source Data'!F$8)*EXP(F556*('Source Data'!H$7-'Source Data'!F$7))</x:f>
        <x:v>25650.782384565453</x:v>
      </x:c>
      <x:c r="L556" s="14" t="n">
        <x:f>I556/K556-1</x:f>
        <x:v>0.20156179012089548</x:v>
      </x:c>
      <x:c r="M556" s="8" t="n">
        <x:f>'Source Data'!G556</x:f>
        <x:v>31403</x:v>
      </x:c>
      <x:c r="N556" s="8" t="n">
        <x:f>M556*('Source Data'!H$8/'Source Data'!G$8)*EXP(F556*('Source Data'!H$7-'Source Data'!G$7))</x:f>
        <x:v>29267.235296684117</x:v>
      </x:c>
      <x:c r="O556" s="14" t="n">
        <x:f>I556/N556-1</x:f>
        <x:v>0.05308887865783207</x:v>
      </x:c>
      <x:c r="P556" s="2" t="str"/>
    </x:row>
    <x:row r="557">
      <x:c r="A557" s="2" t="str">
        <x:f>'Source Data'!A557</x:f>
        <x:v>523160</x:v>
      </x:c>
      <x:c r="B557" s="2" t="str">
        <x:f>'Source Data'!B557</x:f>
        <x:v>Commodity Contracts Intermediation</x:v>
      </x:c>
      <x:c r="C557" s="13" t="n">
        <x:f>LN('Source Data'!C557/'Source Data'!C$8)</x:f>
        <x:v>-9.022758017662673</x:v>
      </x:c>
      <x:c r="D557" s="13" t="n">
        <x:f>LN('Source Data'!D557/'Source Data'!D$8)</x:f>
        <x:v>-8.97813699137786</x:v>
      </x:c>
      <x:c r="E557" s="13" t="n">
        <x:f>LN('Source Data'!E557/'Source Data'!E$8)</x:f>
        <x:v>-8.951886536910244</x:v>
      </x:c>
      <x:c r="F557" s="13" t="n">
        <x:f>SLOPE(C557:E557,'Source Data'!C$7:E$7)</x:f>
        <x:v>0.03543574037621422</x:v>
      </x:c>
      <x:c r="G557" s="14" t="n">
        <x:f>EXP(F557)-1</x:f>
        <x:v>0.036071068451821064</x:v>
      </x:c>
      <x:c r="H557" s="8" t="n">
        <x:f>'Source Data'!F557</x:f>
        <x:v>1707</x:v>
      </x:c>
      <x:c r="I557" s="8" t="n">
        <x:f>'Source Data'!H557</x:f>
        <x:v>2380</x:v>
      </x:c>
      <x:c r="J557" s="14" t="n">
        <x:f>I557/H557-1</x:f>
        <x:v>0.39425893380199173</x:v>
      </x:c>
      <x:c r="K557" s="8" t="n">
        <x:f>H557*('Source Data'!H$8/'Source Data'!F$8)*EXP(F557*('Source Data'!H$7-'Source Data'!F$7))</x:f>
        <x:v>2001.843308637491</x:v>
      </x:c>
      <x:c r="L557" s="14" t="n">
        <x:f>I557/K557-1</x:f>
        <x:v>0.18890424127145744</x:v>
      </x:c>
      <x:c r="M557" s="8" t="n">
        <x:f>'Source Data'!G557</x:f>
        <x:v>2770</x:v>
      </x:c>
      <x:c r="N557" s="8" t="n">
        <x:f>M557*('Source Data'!H$8/'Source Data'!G$8)*EXP(F557*('Source Data'!H$7-'Source Data'!G$7))</x:f>
        <x:v>3128.869896403077</x:v>
      </x:c>
      <x:c r="O557" s="14" t="n">
        <x:f>I557/N557-1</x:f>
        <x:v>-0.23934197368320476</x:v>
      </x:c>
      <x:c r="P557" s="2" t="str"/>
    </x:row>
    <x:row r="558">
      <x:c r="A558" s="2" t="str">
        <x:f>'Source Data'!A558</x:f>
        <x:v>523210</x:v>
      </x:c>
      <x:c r="B558" s="2" t="str">
        <x:f>'Source Data'!B558</x:f>
        <x:v>Securities and Commodity Exchanges</x:v>
      </x:c>
      <x:c r="C558" s="13" t="n">
        <x:f>LN('Source Data'!C558/'Source Data'!C$8)</x:f>
        <x:v>-11.547906783729106</x:v>
      </x:c>
      <x:c r="D558" s="13" t="n">
        <x:f>LN('Source Data'!D558/'Source Data'!D$8)</x:f>
        <x:v>-11.086183343639359</x:v>
      </x:c>
      <x:c r="E558" s="13" t="n">
        <x:f>LN('Source Data'!E558/'Source Data'!E$8)</x:f>
        <x:v>-11.010274669392247</x:v>
      </x:c>
      <x:c r="F558" s="13" t="n">
        <x:f>SLOPE(C558:E558,'Source Data'!C$7:E$7)</x:f>
        <x:v>0.26881605716842927</x:v>
      </x:c>
      <x:c r="G558" s="14" t="n">
        <x:f>EXP(F558)-1</x:f>
        <x:v>0.3084144454520663</x:v>
      </x:c>
      <x:c r="H558" s="8" t="n">
        <x:f>'Source Data'!F558</x:f>
        <x:v>391</x:v>
      </x:c>
      <x:c r="I558" s="8" t="n">
        <x:f>'Source Data'!H558</x:f>
        <x:v>160</x:v>
      </x:c>
      <x:c r="J558" s="14" t="n">
        <x:f>I558/H558-1</x:f>
        <x:v>-0.5907928388746804</x:v>
      </x:c>
      <x:c r="K558" s="8" t="n">
        <x:f>H558*('Source Data'!H$8/'Source Data'!F$8)*EXP(F558*('Source Data'!H$7-'Source Data'!F$7))</x:f>
        <x:v>1166.2628773330148</x:v>
      </x:c>
      <x:c r="L558" s="14" t="n">
        <x:f>I558/K558-1</x:f>
        <x:v>-0.8628096605750801</x:v>
      </x:c>
      <x:c r="M558" s="8" t="n">
        <x:f>'Source Data'!G558</x:f>
        <x:v>332</x:v>
      </x:c>
      <x:c r="N558" s="8" t="n">
        <x:f>M558*('Source Data'!H$8/'Source Data'!G$8)*EXP(F558*('Source Data'!H$7-'Source Data'!G$7))</x:f>
        <x:v>755.2890192777018</x:v>
      </x:c>
      <x:c r="O558" s="14" t="n">
        <x:f>I558/N558-1</x:f>
        <x:v>-0.7881605638156751</x:v>
      </x:c>
      <x:c r="P558" s="2" t="str"/>
    </x:row>
    <x:row r="559">
      <x:c r="A559" s="2" t="str">
        <x:f>'Source Data'!A559</x:f>
        <x:v>523910</x:v>
      </x:c>
      <x:c r="B559" s="2" t="str">
        <x:f>'Source Data'!B559</x:f>
        <x:v>Miscellaneous Intermediation</x:v>
      </x:c>
      <x:c r="C559" s="13" t="n">
        <x:f>LN('Source Data'!C559/'Source Data'!C$8)</x:f>
        <x:v>-7.952382899176173</x:v>
      </x:c>
      <x:c r="D559" s="13" t="n">
        <x:f>LN('Source Data'!D559/'Source Data'!D$8)</x:f>
        <x:v>-7.9201057043381295</x:v>
      </x:c>
      <x:c r="E559" s="13" t="n">
        <x:f>LN('Source Data'!E559/'Source Data'!E$8)</x:f>
        <x:v>-7.883121969573638</x:v>
      </x:c>
      <x:c r="F559" s="13" t="n">
        <x:f>SLOPE(C559:E559,'Source Data'!C$7:E$7)</x:f>
        <x:v>0.03463046480126719</x:v>
      </x:c>
      <x:c r="G559" s="14" t="n">
        <x:f>EXP(F559)-1</x:f>
        <x:v>0.03523708156618999</x:v>
      </x:c>
      <x:c r="H559" s="8" t="n">
        <x:f>'Source Data'!F559</x:f>
        <x:v>6288</x:v>
      </x:c>
      <x:c r="I559" s="8" t="n">
        <x:f>'Source Data'!H559</x:f>
        <x:v>7281</x:v>
      </x:c>
      <x:c r="J559" s="14" t="n">
        <x:f>I559/H559-1</x:f>
        <x:v>0.15791984732824438</x:v>
      </x:c>
      <x:c r="K559" s="8" t="n">
        <x:f>H559*('Source Data'!H$8/'Source Data'!F$8)*EXP(F559*('Source Data'!H$7-'Source Data'!F$7))</x:f>
        <x:v>7350.386665786011</x:v>
      </x:c>
      <x:c r="L559" s="14" t="n">
        <x:f>I559/K559-1</x:f>
        <x:v>-0.00943986608337033</x:v>
      </x:c>
      <x:c r="M559" s="8" t="n">
        <x:f>'Source Data'!G559</x:f>
        <x:v>6881</x:v>
      </x:c>
      <x:c r="N559" s="8" t="n">
        <x:f>M559*('Source Data'!H$8/'Source Data'!G$8)*EXP(F559*('Source Data'!H$7-'Source Data'!G$7))</x:f>
        <x:v>7753.719992151045</x:v>
      </x:c>
      <x:c r="O559" s="14" t="n">
        <x:f>I559/N559-1</x:f>
        <x:v>-0.0609668639865214</x:v>
      </x:c>
      <x:c r="P559" s="2" t="str"/>
    </x:row>
    <x:row r="560">
      <x:c r="A560" s="2" t="str">
        <x:f>'Source Data'!A560</x:f>
        <x:v>523940</x:v>
      </x:c>
      <x:c r="B560" s="2" t="str">
        <x:f>'Source Data'!B560</x:f>
        <x:v>Portfolio Management and Investment Advice</x:v>
      </x:c>
      <x:c r="C560" s="13" t="n">
        <x:f>LN('Source Data'!C560/'Source Data'!C$8)</x:f>
        <x:v>-5.707496868743481</x:v>
      </x:c>
      <x:c r="D560" s="13" t="n">
        <x:f>LN('Source Data'!D560/'Source Data'!D$8)</x:f>
        <x:v>-5.6967855091403665</x:v>
      </x:c>
      <x:c r="E560" s="13" t="n">
        <x:f>LN('Source Data'!E560/'Source Data'!E$8)</x:f>
        <x:v>-5.695368026681893</x:v>
      </x:c>
      <x:c r="F560" s="13" t="n">
        <x:f>SLOPE(C560:E560,'Source Data'!C$7:E$7)</x:f>
        <x:v>0.006064421030793632</x:v>
      </x:c>
      <x:c r="G560" s="14" t="n">
        <x:f>EXP(F560)-1</x:f>
        <x:v>0.006082846860511415</x:v>
      </x:c>
      <x:c r="H560" s="8" t="n">
        <x:f>'Source Data'!F560</x:f>
        <x:v>53752</x:v>
      </x:c>
      <x:c r="I560" s="8" t="n">
        <x:f>'Source Data'!H560</x:f>
        <x:v>56587</x:v>
      </x:c>
      <x:c r="J560" s="14" t="n">
        <x:f>I560/H560-1</x:f>
        <x:v>0.05274222354517044</x:v>
      </x:c>
      <x:c r="K560" s="8" t="n">
        <x:f>H560*('Source Data'!H$8/'Source Data'!F$8)*EXP(F560*('Source Data'!H$7-'Source Data'!F$7))</x:f>
        <x:v>56049.01438745434</x:v>
      </x:c>
      <x:c r="L560" s="14" t="n">
        <x:f>I560/K560-1</x:f>
        <x:v>0.00959848479808545</x:v>
      </x:c>
      <x:c r="M560" s="8" t="n">
        <x:f>'Source Data'!G560</x:f>
        <x:v>54679</x:v>
      </x:c>
      <x:c r="N560" s="8" t="n">
        <x:f>M560*('Source Data'!H$8/'Source Data'!G$8)*EXP(F560*('Source Data'!H$7-'Source Data'!G$7))</x:f>
        <x:v>56553.68302701482</x:v>
      </x:c>
      <x:c r="O560" s="14" t="n">
        <x:f>I560/N560-1</x:f>
        <x:v>0.0005891211889641479</x:v>
      </x:c>
      <x:c r="P560" s="2" t="str"/>
    </x:row>
    <x:row r="561">
      <x:c r="A561" s="2" t="str">
        <x:f>'Source Data'!A561</x:f>
        <x:v>523991</x:v>
      </x:c>
      <x:c r="B561" s="2" t="str">
        <x:f>'Source Data'!B561</x:f>
        <x:v>Trust, Fiduciary, and Custody Activities</x:v>
      </x:c>
      <x:c r="C561" s="13" t="n">
        <x:f>LN('Source Data'!C561/'Source Data'!C$8)</x:f>
        <x:v>-8.459172657859073</x:v>
      </x:c>
      <x:c r="D561" s="13" t="n">
        <x:f>LN('Source Data'!D561/'Source Data'!D$8)</x:f>
        <x:v>-8.49046232751107</x:v>
      </x:c>
      <x:c r="E561" s="13" t="n">
        <x:f>LN('Source Data'!E561/'Source Data'!E$8)</x:f>
        <x:v>-8.526045755990745</x:v>
      </x:c>
      <x:c r="F561" s="13" t="n">
        <x:f>SLOPE(C561:E561,'Source Data'!C$7:E$7)</x:f>
        <x:v>-0.033436549065836374</x:v>
      </x:c>
      <x:c r="G561" s="14" t="n">
        <x:f>EXP(F561)-1</x:f>
        <x:v>-0.032883726284359094</x:v>
      </x:c>
      <x:c r="H561" s="8" t="n">
        <x:f>'Source Data'!F561</x:f>
        <x:v>3259</x:v>
      </x:c>
      <x:c r="I561" s="8" t="n">
        <x:f>'Source Data'!H561</x:f>
        <x:v>2558</x:v>
      </x:c>
      <x:c r="J561" s="14" t="n">
        <x:f>I561/H561-1</x:f>
        <x:v>-0.21509665541577172</x:v>
      </x:c>
      <x:c r="K561" s="8" t="n">
        <x:f>H561*('Source Data'!H$8/'Source Data'!F$8)*EXP(F561*('Source Data'!H$7-'Source Data'!F$7))</x:f>
        <x:v>2901.5997089825837</x:v>
      </x:c>
      <x:c r="L561" s="14" t="n">
        <x:f>I561/K561-1</x:f>
        <x:v>-0.11841733645026575</x:v>
      </x:c>
      <x:c r="M561" s="8" t="n">
        <x:f>'Source Data'!G561</x:f>
        <x:v>2846</x:v>
      </x:c>
      <x:c r="N561" s="8" t="n">
        <x:f>M561*('Source Data'!H$8/'Source Data'!G$8)*EXP(F561*('Source Data'!H$7-'Source Data'!G$7))</x:f>
        <x:v>2614.6289513390257</x:v>
      </x:c>
      <x:c r="O561" s="14" t="n">
        <x:f>I561/N561-1</x:f>
        <x:v>-0.0216585038997692</x:v>
      </x:c>
      <x:c r="P561" s="2" t="str"/>
    </x:row>
    <x:row r="562">
      <x:c r="A562" s="2" t="str">
        <x:f>'Source Data'!A562</x:f>
        <x:v>523999</x:v>
      </x:c>
      <x:c r="B562" s="2" t="str">
        <x:f>'Source Data'!B562</x:f>
        <x:v>Miscellaneous Financial Investment Activities</x:v>
      </x:c>
      <x:c r="C562" s="13" t="n">
        <x:f>LN('Source Data'!C562/'Source Data'!C$8)</x:f>
        <x:v>-9.199988149433539</x:v>
      </x:c>
      <x:c r="D562" s="13" t="n">
        <x:f>LN('Source Data'!D562/'Source Data'!D$8)</x:f>
        <x:v>-9.232399672240446</x:v>
      </x:c>
      <x:c r="E562" s="13" t="n">
        <x:f>LN('Source Data'!E562/'Source Data'!E$8)</x:f>
        <x:v>-9.395970567306975</x:v>
      </x:c>
      <x:c r="F562" s="13" t="n">
        <x:f>SLOPE(C562:E562,'Source Data'!C$7:E$7)</x:f>
        <x:v>-0.09799120893671809</x:v>
      </x:c>
      <x:c r="G562" s="14" t="n">
        <x:f>EXP(F562)-1</x:f>
        <x:v>-0.0933431258031574</x:v>
      </x:c>
      <x:c r="H562" s="8" t="n">
        <x:f>'Source Data'!F562</x:f>
        <x:v>1491</x:v>
      </x:c>
      <x:c r="I562" s="8" t="n">
        <x:f>'Source Data'!H562</x:f>
        <x:v>1888</x:v>
      </x:c>
      <x:c r="J562" s="14" t="n">
        <x:f>I562/H562-1</x:f>
        <x:v>0.26626425217974514</x:v>
      </x:c>
      <x:c r="K562" s="8" t="n">
        <x:f>H562*('Source Data'!H$8/'Source Data'!F$8)*EXP(F562*('Source Data'!H$7-'Source Data'!F$7))</x:f>
        <x:v>1025.3871054374038</x:v>
      </x:c>
      <x:c r="L562" s="14" t="n">
        <x:f>I562/K562-1</x:f>
        <x:v>0.8412558437572977</x:v>
      </x:c>
      <x:c r="M562" s="8" t="n">
        <x:f>'Source Data'!G562</x:f>
        <x:v>1755</x:v>
      </x:c>
      <x:c r="N562" s="8" t="n">
        <x:f>M562*('Source Data'!H$8/'Source Data'!G$8)*EXP(F562*('Source Data'!H$7-'Source Data'!G$7))</x:f>
        <x:v>1328.4496328111006</x:v>
      </x:c>
      <x:c r="O562" s="14" t="n">
        <x:f>I562/N562-1</x:f>
        <x:v>0.4212055567397375</x:v>
      </x:c>
      <x:c r="P562" s="2" t="str"/>
    </x:row>
    <x:row r="563">
      <x:c r="A563" s="2" t="str">
        <x:f>'Source Data'!A563</x:f>
        <x:v>524113</x:v>
      </x:c>
      <x:c r="B563" s="2" t="str">
        <x:f>'Source Data'!B563</x:f>
        <x:v>Direct Life Insurance Carriers</x:v>
      </x:c>
      <x:c r="C563" s="13" t="n">
        <x:f>LN('Source Data'!C563/'Source Data'!C$8)</x:f>
        <x:v>-7.108329300150695</x:v>
      </x:c>
      <x:c r="D563" s="13" t="n">
        <x:f>LN('Source Data'!D563/'Source Data'!D$8)</x:f>
        <x:v>-7.188005745033267</x:v>
      </x:c>
      <x:c r="E563" s="13" t="n">
        <x:f>LN('Source Data'!E563/'Source Data'!E$8)</x:f>
        <x:v>-7.142042152246414</x:v>
      </x:c>
      <x:c r="F563" s="13" t="n">
        <x:f>SLOPE(C563:E563,'Source Data'!C$7:E$7)</x:f>
        <x:v>-0.01685642604785942</x:v>
      </x:c>
      <x:c r="G563" s="14" t="n">
        <x:f>EXP(F563)-1</x:f>
        <x:v>-0.016715151407274087</x:v>
      </x:c>
      <x:c r="H563" s="8" t="n">
        <x:f>'Source Data'!F563</x:f>
        <x:v>15259</x:v>
      </x:c>
      <x:c r="I563" s="8" t="n">
        <x:f>'Source Data'!H563</x:f>
        <x:v>5074</x:v>
      </x:c>
      <x:c r="J563" s="14" t="n">
        <x:f>I563/H563-1</x:f>
        <x:v>-0.6674749328265286</x:v>
      </x:c>
      <x:c r="K563" s="8" t="n">
        <x:f>H563*('Source Data'!H$8/'Source Data'!F$8)*EXP(F563*('Source Data'!H$7-'Source Data'!F$7))</x:f>
        <x:v>14517.165746439665</x:v>
      </x:c>
      <x:c r="L563" s="14" t="n">
        <x:f>I563/K563-1</x:f>
        <x:v>-0.6504827396322592</x:v>
      </x:c>
      <x:c r="M563" s="8" t="n">
        <x:f>'Source Data'!G563</x:f>
        <x:v>8144</x:v>
      </x:c>
      <x:c r="N563" s="8" t="n">
        <x:f>M563*('Source Data'!H$8/'Source Data'!G$8)*EXP(F563*('Source Data'!H$7-'Source Data'!G$7))</x:f>
        <x:v>7863.48210490892</x:v>
      </x:c>
      <x:c r="O563" s="14" t="n">
        <x:f>I563/N563-1</x:f>
        <x:v>-0.3547387871802411</x:v>
      </x:c>
      <x:c r="P563" s="2" t="str"/>
    </x:row>
    <x:row r="564">
      <x:c r="A564" s="2" t="str">
        <x:f>'Source Data'!A564</x:f>
        <x:v>524114</x:v>
      </x:c>
      <x:c r="B564" s="2" t="str">
        <x:f>'Source Data'!B564</x:f>
        <x:v>Direct Health and Medical Insurance Carriers</x:v>
      </x:c>
      <x:c r="C564" s="13" t="n">
        <x:f>LN('Source Data'!C564/'Source Data'!C$8)</x:f>
        <x:v>-6.106462003845064</x:v>
      </x:c>
      <x:c r="D564" s="13" t="n">
        <x:f>LN('Source Data'!D564/'Source Data'!D$8)</x:f>
        <x:v>-6.188010443522149</x:v>
      </x:c>
      <x:c r="E564" s="13" t="n">
        <x:f>LN('Source Data'!E564/'Source Data'!E$8)</x:f>
        <x:v>-6.227672911904393</x:v>
      </x:c>
      <x:c r="F564" s="13" t="n">
        <x:f>SLOPE(C564:E564,'Source Data'!C$7:E$7)</x:f>
        <x:v>-0.06060545402966433</x:v>
      </x:c>
      <x:c r="G564" s="14" t="n">
        <x:f>EXP(F564)-1</x:f>
        <x:v>-0.05880548896896587</x:v>
      </x:c>
      <x:c r="H564" s="8" t="n">
        <x:f>'Source Data'!F564</x:f>
        <x:v>31427</x:v>
      </x:c>
      <x:c r="I564" s="8" t="n">
        <x:f>'Source Data'!H564</x:f>
        <x:v>33913</x:v>
      </x:c>
      <x:c r="J564" s="14" t="n">
        <x:f>I564/H564-1</x:f>
        <x:v>0.07910395519775992</x:v>
      </x:c>
      <x:c r="K564" s="8" t="n">
        <x:f>H564*('Source Data'!H$8/'Source Data'!F$8)*EXP(F564*('Source Data'!H$7-'Source Data'!F$7))</x:f>
        <x:v>25099.1400608599</x:v>
      </x:c>
      <x:c r="L564" s="14" t="n">
        <x:f>I564/K564-1</x:f>
        <x:v>0.3511618293602261</x:v>
      </x:c>
      <x:c r="M564" s="8" t="n">
        <x:f>'Source Data'!G564</x:f>
        <x:v>33774</x:v>
      </x:c>
      <x:c r="N564" s="8" t="n">
        <x:f>M564*('Source Data'!H$8/'Source Data'!G$8)*EXP(F564*('Source Data'!H$7-'Source Data'!G$7))</x:f>
        <x:v>28599.58640011024</x:v>
      </x:c>
      <x:c r="O564" s="14" t="n">
        <x:f>I564/N564-1</x:f>
        <x:v>0.18578637905998807</x:v>
      </x:c>
      <x:c r="P564" s="2" t="str"/>
    </x:row>
    <x:row r="565">
      <x:c r="A565" s="2" t="str">
        <x:f>'Source Data'!A565</x:f>
        <x:v>524126</x:v>
      </x:c>
      <x:c r="B565" s="2" t="str">
        <x:f>'Source Data'!B565</x:f>
        <x:v>Direct Property and Casualty Insurance Carriers</x:v>
      </x:c>
      <x:c r="C565" s="13" t="n">
        <x:f>LN('Source Data'!C565/'Source Data'!C$8)</x:f>
        <x:v>-6.210682298343848</x:v>
      </x:c>
      <x:c r="D565" s="13" t="n">
        <x:f>LN('Source Data'!D565/'Source Data'!D$8)</x:f>
        <x:v>-6.2535930495697984</x:v>
      </x:c>
      <x:c r="E565" s="13" t="n">
        <x:f>LN('Source Data'!E565/'Source Data'!E$8)</x:f>
        <x:v>-6.3143872444837</x:v>
      </x:c>
      <x:c r="F565" s="13" t="n">
        <x:f>SLOPE(C565:E565,'Source Data'!C$7:E$7)</x:f>
        <x:v>-0.05185247306992613</x:v>
      </x:c>
      <x:c r="G565" s="14" t="n">
        <x:f>EXP(F565)-1</x:f>
        <x:v>-0.05053107125255718</x:v>
      </x:c>
      <x:c r="H565" s="8" t="n">
        <x:f>'Source Data'!F565</x:f>
        <x:v>25729</x:v>
      </x:c>
      <x:c r="I565" s="8" t="n">
        <x:f>'Source Data'!H565</x:f>
        <x:v>24348</x:v>
      </x:c>
      <x:c r="J565" s="14" t="n">
        <x:f>I565/H565-1</x:f>
        <x:v>-0.0536748416184073</x:v>
      </x:c>
      <x:c r="K565" s="8" t="n">
        <x:f>H565*('Source Data'!H$8/'Source Data'!F$8)*EXP(F565*('Source Data'!H$7-'Source Data'!F$7))</x:f>
        <x:v>21280.621571197564</x:v>
      </x:c>
      <x:c r="L565" s="14" t="n">
        <x:f>I565/K565-1</x:f>
        <x:v>0.14413951296206529</x:v>
      </x:c>
      <x:c r="M565" s="8" t="n">
        <x:f>'Source Data'!G565</x:f>
        <x:v>26473</x:v>
      </x:c>
      <x:c r="N565" s="8" t="n">
        <x:f>M565*('Source Data'!H$8/'Source Data'!G$8)*EXP(F565*('Source Data'!H$7-'Source Data'!G$7))</x:f>
        <x:v>23013.59823944476</x:v>
      </x:c>
      <x:c r="O565" s="14" t="n">
        <x:f>I565/N565-1</x:f>
        <x:v>0.05798318657827739</x:v>
      </x:c>
      <x:c r="P565" s="2" t="str"/>
    </x:row>
    <x:row r="566">
      <x:c r="A566" s="2" t="str">
        <x:f>'Source Data'!A566</x:f>
        <x:v>524127</x:v>
      </x:c>
      <x:c r="B566" s="2" t="str">
        <x:f>'Source Data'!B566</x:f>
        <x:v>Direct Title Insurance Carriers</x:v>
      </x:c>
      <x:c r="C566" s="13" t="n">
        <x:f>LN('Source Data'!C566/'Source Data'!C$8)</x:f>
        <x:v>-7.110640846062454</x:v>
      </x:c>
      <x:c r="D566" s="13" t="n">
        <x:f>LN('Source Data'!D566/'Source Data'!D$8)</x:f>
        <x:v>-7.236890970755125</x:v>
      </x:c>
      <x:c r="E566" s="13" t="n">
        <x:f>LN('Source Data'!E566/'Source Data'!E$8)</x:f>
        <x:v>-7.320176446084182</x:v>
      </x:c>
      <x:c r="F566" s="13" t="n">
        <x:f>SLOPE(C566:E566,'Source Data'!C$7:E$7)</x:f>
        <x:v>-0.10476780001086405</x:v>
      </x:c>
      <x:c r="G566" s="14" t="n">
        <x:f>EXP(F566)-1</x:f>
        <x:v>-0.09946639779616795</x:v>
      </x:c>
      <x:c r="H566" s="8" t="n">
        <x:f>'Source Data'!F566</x:f>
        <x:v>11166</x:v>
      </x:c>
      <x:c r="I566" s="8" t="n">
        <x:f>'Source Data'!H566</x:f>
        <x:v>7583</x:v>
      </x:c>
      <x:c r="J566" s="14" t="n">
        <x:f>I566/H566-1</x:f>
        <x:v>-0.3208848289450117</x:v>
      </x:c>
      <x:c r="K566" s="8" t="n">
        <x:f>H566*('Source Data'!H$8/'Source Data'!F$8)*EXP(F566*('Source Data'!H$7-'Source Data'!F$7))</x:f>
        <x:v>7473.700454662864</x:v>
      </x:c>
      <x:c r="L566" s="14" t="n">
        <x:f>I566/K566-1</x:f>
        <x:v>0.01462455526551687</x:v>
      </x:c>
      <x:c r="M566" s="8" t="n">
        <x:f>'Source Data'!G566</x:f>
        <x:v>8235</x:v>
      </x:c>
      <x:c r="N566" s="8" t="n">
        <x:f>M566*('Source Data'!H$8/'Source Data'!G$8)*EXP(F566*('Source Data'!H$7-'Source Data'!G$7))</x:f>
        <x:v>6108.048368260419</x:v>
      </x:c>
      <x:c r="O566" s="14" t="n">
        <x:f>I566/N566-1</x:f>
        <x:v>0.24147674393083585</x:v>
      </x:c>
      <x:c r="P566" s="2" t="str"/>
    </x:row>
    <x:row r="567">
      <x:c r="A567" s="2" t="str">
        <x:f>'Source Data'!A567</x:f>
        <x:v>524128</x:v>
      </x:c>
      <x:c r="B567" s="2" t="str">
        <x:f>'Source Data'!B567</x:f>
        <x:v>Other Direct Insurance (except Life, Health, and Medical) Carriers</x:v>
      </x:c>
      <x:c r="C567" s="13" t="n">
        <x:f>LN('Source Data'!C567/'Source Data'!C$8)</x:f>
        <x:v>-9.055180545224475</x:v>
      </x:c>
      <x:c r="D567" s="13" t="n">
        <x:f>LN('Source Data'!D567/'Source Data'!D$8)</x:f>
        <x:v>-9.07366411445237</x:v>
      </x:c>
      <x:c r="E567" s="13" t="n">
        <x:f>LN('Source Data'!E567/'Source Data'!E$8)</x:f>
        <x:v>-9.074285815606993</x:v>
      </x:c>
      <x:c r="F567" s="13" t="n">
        <x:f>SLOPE(C567:E567,'Source Data'!C$7:E$7)</x:f>
        <x:v>-0.009552635191258929</x:v>
      </x:c>
      <x:c r="G567" s="14" t="n">
        <x:f>EXP(F567)-1</x:f>
        <x:v>-0.009507153709590765</x:v>
      </x:c>
      <x:c r="H567" s="8" t="n">
        <x:f>'Source Data'!F567</x:f>
        <x:v>1615</x:v>
      </x:c>
      <x:c r="I567" s="8" t="n">
        <x:f>'Source Data'!H567</x:f>
        <x:v>1598</x:v>
      </x:c>
      <x:c r="J567" s="14" t="n">
        <x:f>I567/H567-1</x:f>
        <x:v>-0.010526315789473717</x:v>
      </x:c>
      <x:c r="K567" s="8" t="n">
        <x:f>H567*('Source Data'!H$8/'Source Data'!F$8)*EXP(F567*('Source Data'!H$7-'Source Data'!F$7))</x:f>
        <x:v>1582.0356771333056</x:v>
      </x:c>
      <x:c r="L567" s="14" t="n">
        <x:f>I567/K567-1</x:f>
        <x:v>0.010091000536487371</x:v>
      </x:c>
      <x:c r="M567" s="8" t="n">
        <x:f>'Source Data'!G567</x:f>
        <x:v>1351</x:v>
      </x:c>
      <x:c r="N567" s="8" t="n">
        <x:f>M567*('Source Data'!H$8/'Source Data'!G$8)*EXP(F567*('Source Data'!H$7-'Source Data'!G$7))</x:f>
        <x:v>1333.36323169279</x:v>
      </x:c>
      <x:c r="O567" s="14" t="n">
        <x:f>I567/N567-1</x:f>
        <x:v>0.19847312571476627</x:v>
      </x:c>
      <x:c r="P567" s="2" t="str"/>
    </x:row>
    <x:row r="568">
      <x:c r="A568" s="2" t="str">
        <x:f>'Source Data'!A568</x:f>
        <x:v>524130</x:v>
      </x:c>
      <x:c r="B568" s="2" t="str">
        <x:f>'Source Data'!B568</x:f>
        <x:v>Reinsurance Carriers</x:v>
      </x:c>
      <x:c r="C568" s="13" t="n">
        <x:f>LN('Source Data'!C568/'Source Data'!C$8)</x:f>
        <x:v>-9.878014766999659</x:v>
      </x:c>
      <x:c r="D568" s="13" t="n">
        <x:f>LN('Source Data'!D568/'Source Data'!D$8)</x:f>
        <x:v>-9.22612568860703</x:v>
      </x:c>
      <x:c r="E568" s="13" t="n">
        <x:f>LN('Source Data'!E568/'Source Data'!E$8)</x:f>
        <x:v>-9.267813623556764</x:v>
      </x:c>
      <x:c r="F568" s="13" t="n">
        <x:f>SLOPE(C568:E568,'Source Data'!C$7:E$7)</x:f>
        <x:v>0.30510057172144744</x:v>
      </x:c>
      <x:c r="G568" s="14" t="n">
        <x:f>EXP(F568)-1</x:f>
        <x:v>0.3567614479792729</x:v>
      </x:c>
      <x:c r="H568" s="8" t="n">
        <x:f>'Source Data'!F568</x:f>
        <x:v>705</x:v>
      </x:c>
      <x:c r="I568" s="8" t="n">
        <x:f>'Source Data'!H568</x:f>
        <x:v>505</x:v>
      </x:c>
      <x:c r="J568" s="14" t="n">
        <x:f>I568/H568-1</x:f>
        <x:v>-0.2836879432624113</x:v>
      </x:c>
      <x:c r="K568" s="8" t="n">
        <x:f>H568*('Source Data'!H$8/'Source Data'!F$8)*EXP(F568*('Source Data'!H$7-'Source Data'!F$7))</x:f>
        <x:v>2431.3163434700255</x:v>
      </x:c>
      <x:c r="L568" s="14" t="n">
        <x:f>I568/K568-1</x:f>
        <x:v>-0.7922935855894204</x:v>
      </x:c>
      <x:c r="M568" s="8" t="n">
        <x:f>'Source Data'!G568</x:f>
        <x:v>589</x:v>
      </x:c>
      <x:c r="N568" s="8" t="n">
        <x:f>M568*('Source Data'!H$8/'Source Data'!G$8)*EXP(F568*('Source Data'!H$7-'Source Data'!G$7))</x:f>
        <x:v>1494.04911708651</x:v>
      </x:c>
      <x:c r="O568" s="14" t="n">
        <x:f>I568/N568-1</x:f>
        <x:v>-0.6619923707831092</x:v>
      </x:c>
      <x:c r="P568" s="2" t="str"/>
    </x:row>
    <x:row r="569">
      <x:c r="A569" s="2" t="str">
        <x:f>'Source Data'!A569</x:f>
        <x:v>524210</x:v>
      </x:c>
      <x:c r="B569" s="2" t="str">
        <x:f>'Source Data'!B569</x:f>
        <x:v>Insurance Agencies and Brokerages</x:v>
      </x:c>
      <x:c r="C569" s="13" t="n">
        <x:f>LN('Source Data'!C569/'Source Data'!C$8)</x:f>
        <x:v>-5.051569076275357</x:v>
      </x:c>
      <x:c r="D569" s="13" t="n">
        <x:f>LN('Source Data'!D569/'Source Data'!D$8)</x:f>
        <x:v>-5.044569012845906</x:v>
      </x:c>
      <x:c r="E569" s="13" t="n">
        <x:f>LN('Source Data'!E569/'Source Data'!E$8)</x:f>
        <x:v>-5.059695635081926</x:v>
      </x:c>
      <x:c r="F569" s="13" t="n">
        <x:f>SLOPE(C569:E569,'Source Data'!C$7:E$7)</x:f>
        <x:v>-0.004063279403284437</x:v>
      </x:c>
      <x:c r="G569" s="14" t="n">
        <x:f>EXP(F569)-1</x:f>
        <x:v>-0.004055035453133904</x:v>
      </x:c>
      <x:c r="H569" s="8" t="n">
        <x:f>'Source Data'!F569</x:f>
        <x:v>92081</x:v>
      </x:c>
      <x:c r="I569" s="8" t="n">
        <x:f>'Source Data'!H569</x:f>
        <x:v>86638</x:v>
      </x:c>
      <x:c r="J569" s="14" t="n">
        <x:f>I569/H569-1</x:f>
        <x:v>-0.05911100009774006</x:v>
      </x:c>
      <x:c r="K569" s="8" t="n">
        <x:f>H569*('Source Data'!H$8/'Source Data'!F$8)*EXP(F569*('Source Data'!H$7-'Source Data'!F$7))</x:f>
        <x:v>92203.99985180004</x:v>
      </x:c>
      <x:c r="L569" s="14" t="n">
        <x:f>I569/K569-1</x:f>
        <x:v>-0.06036614312552924</x:v>
      </x:c>
      <x:c r="M569" s="8" t="n">
        <x:f>'Source Data'!G569</x:f>
        <x:v>90141</x:v>
      </x:c>
      <x:c r="N569" s="8" t="n">
        <x:f>M569*('Source Data'!H$8/'Source Data'!G$8)*EXP(F569*('Source Data'!H$7-'Source Data'!G$7))</x:f>
        <x:v>90441.44415754307</x:v>
      </x:c>
      <x:c r="O569" s="14" t="n">
        <x:f>I569/N569-1</x:f>
        <x:v>-0.042054217432858754</x:v>
      </x:c>
      <x:c r="P569" s="2" t="str"/>
    </x:row>
    <x:row r="570">
      <x:c r="A570" s="2" t="str">
        <x:f>'Source Data'!A570</x:f>
        <x:v>524291</x:v>
      </x:c>
      <x:c r="B570" s="2" t="str">
        <x:f>'Source Data'!B570</x:f>
        <x:v>Claims Adjusting</x:v>
      </x:c>
      <x:c r="C570" s="13" t="n">
        <x:f>LN('Source Data'!C570/'Source Data'!C$8)</x:f>
        <x:v>-7.632555988208285</x:v>
      </x:c>
      <x:c r="D570" s="13" t="n">
        <x:f>LN('Source Data'!D570/'Source Data'!D$8)</x:f>
        <x:v>-7.67300445631876</x:v>
      </x:c>
      <x:c r="E570" s="13" t="n">
        <x:f>LN('Source Data'!E570/'Source Data'!E$8)</x:f>
        <x:v>-7.692252720210819</x:v>
      </x:c>
      <x:c r="F570" s="13" t="n">
        <x:f>SLOPE(C570:E570,'Source Data'!C$7:E$7)</x:f>
        <x:v>-0.029848366001266946</x:v>
      </x:c>
      <x:c r="G570" s="14" t="n">
        <x:f>EXP(F570)-1</x:f>
        <x:v>-0.029407302757459508</x:v>
      </x:c>
      <x:c r="H570" s="8" t="n">
        <x:f>'Source Data'!F570</x:f>
        <x:v>5330</x:v>
      </x:c>
      <x:c r="I570" s="8" t="n">
        <x:f>'Source Data'!H570</x:f>
        <x:v>5808</x:v>
      </x:c>
      <x:c r="J570" s="14" t="n">
        <x:f>I570/H570-1</x:f>
        <x:v>0.08968105065666032</x:v>
      </x:c>
      <x:c r="K570" s="8" t="n">
        <x:f>H570*('Source Data'!H$8/'Source Data'!F$8)*EXP(F570*('Source Data'!H$7-'Source Data'!F$7))</x:f>
        <x:v>4814.083956462585</x:v>
      </x:c>
      <x:c r="L570" s="14" t="n">
        <x:f>I570/K570-1</x:f>
        <x:v>0.20646005606178708</x:v>
      </x:c>
      <x:c r="M570" s="8" t="n">
        <x:f>'Source Data'!G570</x:f>
        <x:v>5460</x:v>
      </x:c>
      <x:c r="N570" s="8" t="n">
        <x:f>M570*('Source Data'!H$8/'Source Data'!G$8)*EXP(F570*('Source Data'!H$7-'Source Data'!G$7))</x:f>
        <x:v>5070.406715060549</x:v>
      </x:c>
      <x:c r="O570" s="14" t="n">
        <x:f>I570/N570-1</x:f>
        <x:v>0.14547024063150382</x:v>
      </x:c>
      <x:c r="P570" s="2" t="str"/>
    </x:row>
    <x:row r="571">
      <x:c r="A571" s="2" t="str">
        <x:f>'Source Data'!A571</x:f>
        <x:v>524292</x:v>
      </x:c>
      <x:c r="B571" s="2" t="str">
        <x:f>'Source Data'!B571</x:f>
        <x:v>Pharmacy Benefit Management and Other Third Party Administration of Insurance and Pension Funds</x:v>
      </x:c>
      <x:c r="C571" s="13" t="n">
        <x:f>LN('Source Data'!C571/'Source Data'!C$8)</x:f>
        <x:v>-6.975514343342249</x:v>
      </x:c>
      <x:c r="D571" s="13" t="n">
        <x:f>LN('Source Data'!D571/'Source Data'!D$8)</x:f>
        <x:v>-6.933317209797602</x:v>
      </x:c>
      <x:c r="E571" s="13" t="n">
        <x:f>LN('Source Data'!E571/'Source Data'!E$8)</x:f>
        <x:v>-6.926760906823047</x:v>
      </x:c>
      <x:c r="F571" s="13" t="n">
        <x:f>SLOPE(C571:E571,'Source Data'!C$7:E$7)</x:f>
        <x:v>0.024376718259601304</x:v>
      </x:c>
      <x:c r="G571" s="14" t="n">
        <x:f>EXP(F571)-1</x:f>
        <x:v>0.02467625944755536</x:v>
      </x:c>
      <x:c r="H571" s="8" t="n">
        <x:f>'Source Data'!F571</x:f>
        <x:v>13115</x:v>
      </x:c>
      <x:c r="I571" s="8" t="n">
        <x:f>'Source Data'!H571</x:f>
        <x:v>13607</x:v>
      </x:c>
      <x:c r="J571" s="14" t="n">
        <x:f>I571/H571-1</x:f>
        <x:v>0.03751429660693861</x:v>
      </x:c>
      <x:c r="K571" s="8" t="n">
        <x:f>H571*('Source Data'!H$8/'Source Data'!F$8)*EXP(F571*('Source Data'!H$7-'Source Data'!F$7))</x:f>
        <x:v>14714.766177134785</x:v>
      </x:c>
      <x:c r="L571" s="14" t="n">
        <x:f>I571/K571-1</x:f>
        <x:v>-0.07528262180992984</x:v>
      </x:c>
      <x:c r="M571" s="8" t="n">
        <x:f>'Source Data'!G571</x:f>
        <x:v>12548</x:v>
      </x:c>
      <x:c r="N571" s="8" t="n">
        <x:f>M571*('Source Data'!H$8/'Source Data'!G$8)*EXP(F571*('Source Data'!H$7-'Source Data'!G$7))</x:f>
        <x:v>13711.142009653739</x:v>
      </x:c>
      <x:c r="O571" s="14" t="n">
        <x:f>I571/N571-1</x:f>
        <x:v>-0.007595429292499123</x:v>
      </x:c>
      <x:c r="P571" s="2" t="str"/>
    </x:row>
    <x:row r="572">
      <x:c r="A572" s="2" t="str">
        <x:f>'Source Data'!A572</x:f>
        <x:v>524298</x:v>
      </x:c>
      <x:c r="B572" s="2" t="str">
        <x:f>'Source Data'!B572</x:f>
        <x:v>All Other Insurance Related Activities</x:v>
      </x:c>
      <x:c r="C572" s="13" t="n">
        <x:f>LN('Source Data'!C572/'Source Data'!C$8)</x:f>
        <x:v>-7.9869842265405655</x:v>
      </x:c>
      <x:c r="D572" s="13" t="n">
        <x:f>LN('Source Data'!D572/'Source Data'!D$8)</x:f>
        <x:v>-7.9354716521237885</x:v>
      </x:c>
      <x:c r="E572" s="13" t="n">
        <x:f>LN('Source Data'!E572/'Source Data'!E$8)</x:f>
        <x:v>-7.988462683055205</x:v>
      </x:c>
      <x:c r="F572" s="13" t="n">
        <x:f>SLOPE(C572:E572,'Source Data'!C$7:E$7)</x:f>
        <x:v>-0.0007392282573195352</x:v>
      </x:c>
      <x:c r="G572" s="14" t="n">
        <x:f>EXP(F572)-1</x:f>
        <x:v>-0.0007389550954250979</x:v>
      </x:c>
      <x:c r="H572" s="8" t="n">
        <x:f>'Source Data'!F572</x:f>
        <x:v>5182</x:v>
      </x:c>
      <x:c r="I572" s="8" t="n">
        <x:f>'Source Data'!H572</x:f>
        <x:v>5016</x:v>
      </x:c>
      <x:c r="J572" s="14" t="n">
        <x:f>I572/H572-1</x:f>
        <x:v>-0.03203396372057121</x:v>
      </x:c>
      <x:c r="K572" s="8" t="n">
        <x:f>H572*('Source Data'!H$8/'Source Data'!F$8)*EXP(F572*('Source Data'!H$7-'Source Data'!F$7))</x:f>
        <x:v>5258.375686489165</x:v>
      </x:c>
      <x:c r="L572" s="14" t="n">
        <x:f>I572/K572-1</x:f>
        <x:v>-0.04609326167240646</x:v>
      </x:c>
      <x:c r="M572" s="8" t="n">
        <x:f>'Source Data'!G572</x:f>
        <x:v>4948</x:v>
      </x:c>
      <x:c r="N572" s="8" t="n">
        <x:f>M572*('Source Data'!H$8/'Source Data'!G$8)*EXP(F572*('Source Data'!H$7-'Source Data'!G$7))</x:f>
        <x:v>5014.246256562632</x:v>
      </x:c>
      <x:c r="O572" s="14" t="n">
        <x:f>I572/N572-1</x:f>
        <x:v>0.0003497521556850014</x:v>
      </x:c>
      <x:c r="P572" s="2" t="str"/>
    </x:row>
    <x:row r="573">
      <x:c r="A573" s="2" t="str">
        <x:f>'Source Data'!A573</x:f>
        <x:v>525110</x:v>
      </x:c>
      <x:c r="B573" s="2" t="str">
        <x:f>'Source Data'!B573</x:f>
        <x:v>Pension Funds</x:v>
      </x:c>
      <x:c r="C573" s="13" t="n">
        <x:f>LN('Source Data'!C573/'Source Data'!C$8)</x:f>
        <x:v>-10.215579004821388</x:v>
      </x:c>
      <x:c r="D573" s="13" t="n">
        <x:f>LN('Source Data'!D573/'Source Data'!D$8)</x:f>
        <x:v>-10.071340938036709</x:v>
      </x:c>
      <x:c r="E573" s="13" t="n">
        <x:f>LN('Source Data'!E573/'Source Data'!E$8)</x:f>
        <x:v>-10.00089351445208</x:v>
      </x:c>
      <x:c r="F573" s="13" t="n">
        <x:f>SLOPE(C573:E573,'Source Data'!C$7:E$7)</x:f>
        <x:v>0.10734274518465359</x:v>
      </x:c>
      <x:c r="G573" s="14" t="n">
        <x:f>EXP(F573)-1</x:f>
        <x:v>0.11331577271391846</x:v>
      </x:c>
      <x:c r="H573" s="8" t="n">
        <x:f>'Source Data'!F573</x:f>
        <x:v>995</x:v>
      </x:c>
      <x:c r="I573" s="8" t="n">
        <x:f>'Source Data'!H573</x:f>
        <x:v>1126</x:v>
      </x:c>
      <x:c r="J573" s="14" t="n">
        <x:f>I573/H573-1</x:f>
        <x:v>0.13165829145728636</x:v>
      </x:c>
      <x:c r="K573" s="8" t="n">
        <x:f>H573*('Source Data'!H$8/'Source Data'!F$8)*EXP(F573*('Source Data'!H$7-'Source Data'!F$7))</x:f>
        <x:v>1555.732419419352</x:v>
      </x:c>
      <x:c r="L573" s="14" t="n">
        <x:f>I573/K573-1</x:f>
        <x:v>-0.2762251490392812</x:v>
      </x:c>
      <x:c r="M573" s="8" t="n">
        <x:f>'Source Data'!G573</x:f>
        <x:v>1076</x:v>
      </x:c>
      <x:c r="N573" s="8" t="n">
        <x:f>M573*('Source Data'!H$8/'Source Data'!G$8)*EXP(F573*('Source Data'!H$7-'Source Data'!G$7))</x:f>
        <x:v>1508.0177496768495</x:v>
      </x:c>
      <x:c r="O573" s="14" t="n">
        <x:f>I573/N573-1</x:f>
        <x:v>-0.25332443849464725</x:v>
      </x:c>
      <x:c r="P573" s="2" t="str"/>
    </x:row>
    <x:row r="574">
      <x:c r="A574" s="2" t="str">
        <x:f>'Source Data'!A574</x:f>
        <x:v>525120</x:v>
      </x:c>
      <x:c r="B574" s="2" t="str">
        <x:f>'Source Data'!B574</x:f>
        <x:v>Health and Welfare Funds</x:v>
      </x:c>
      <x:c r="C574" s="13" t="n">
        <x:f>LN('Source Data'!C574/'Source Data'!C$8)</x:f>
        <x:v>-11.2822036179961</x:v>
      </x:c>
      <x:c r="D574" s="13" t="n">
        <x:f>LN('Source Data'!D574/'Source Data'!D$8)</x:f>
        <x:v>-10.587032751453872</x:v>
      </x:c>
      <x:c r="E574" s="13" t="n">
        <x:f>LN('Source Data'!E574/'Source Data'!E$8)</x:f>
        <x:v>-10.808495940575735</x:v>
      </x:c>
      <x:c r="F574" s="13" t="n">
        <x:f>SLOPE(C574:E574,'Source Data'!C$7:E$7)</x:f>
        <x:v>0.23685383871018217</x:v>
      </x:c>
      <x:c r="G574" s="14" t="n">
        <x:f>EXP(F574)-1</x:f>
        <x:v>0.2672558804843319</x:v>
      </x:c>
      <x:c r="H574" s="8" t="n">
        <x:f>'Source Data'!F574</x:f>
        <x:v>426</x:v>
      </x:c>
      <x:c r="I574" s="8" t="n">
        <x:f>'Source Data'!H574</x:f>
        <x:v>650</x:v>
      </x:c>
      <x:c r="J574" s="14" t="n">
        <x:f>I574/H574-1</x:f>
        <x:v>0.5258215962441315</x:v>
      </x:c>
      <x:c r="K574" s="8" t="n">
        <x:f>H574*('Source Data'!H$8/'Source Data'!F$8)*EXP(F574*('Source Data'!H$7-'Source Data'!F$7))</x:f>
        <x:v>1118.1632986131183</x:v>
      </x:c>
      <x:c r="L574" s="14" t="n">
        <x:f>I574/K574-1</x:f>
        <x:v>-0.41868955920283846</x:v>
      </x:c>
      <x:c r="M574" s="8" t="n">
        <x:f>'Source Data'!G574</x:f>
        <x:v>576</x:v>
      </x:c>
      <x:c r="N574" s="8" t="n">
        <x:f>M574*('Source Data'!H$8/'Source Data'!G$8)*EXP(F574*('Source Data'!H$7-'Source Data'!G$7))</x:f>
        <x:v>1190.5688765426744</x:v>
      </x:c>
      <x:c r="O574" s="14" t="n">
        <x:f>I574/N574-1</x:f>
        <x:v>-0.4540425062281547</x:v>
      </x:c>
      <x:c r="P574" s="2" t="str"/>
    </x:row>
    <x:row r="575">
      <x:c r="A575" s="2" t="str">
        <x:f>'Source Data'!A575</x:f>
        <x:v>525910</x:v>
      </x:c>
      <x:c r="B575" s="2" t="str">
        <x:f>'Source Data'!B575</x:f>
        <x:v>Open-End Investment Funds</x:v>
      </x:c>
      <x:c r="C575" s="13" t="n">
        <x:f>LN('Source Data'!C575/'Source Data'!C$8)</x:f>
        <x:v>-11.687668726104265</x:v>
      </x:c>
      <x:c r="D575" s="13" t="n">
        <x:f>LN('Source Data'!D575/'Source Data'!D$8)</x:f>
        <x:v>-11.282893637885413</x:v>
      </x:c>
      <x:c r="E575" s="13" t="n">
        <x:f>LN('Source Data'!E575/'Source Data'!E$8)</x:f>
        <x:v>-11.006217868696634</x:v>
      </x:c>
      <x:c r="F575" s="13" t="n">
        <x:f>SLOPE(C575:E575,'Source Data'!C$7:E$7)</x:f>
        <x:v>0.3407254287038155</x:v>
      </x:c>
      <x:c r="G575" s="14" t="n">
        <x:f>EXP(F575)-1</x:f>
        <x:v>0.405967149637142</x:v>
      </x:c>
      <x:c r="H575" s="8" t="n">
        <x:f>'Source Data'!F575</x:f>
        <x:v>407</x:v>
      </x:c>
      <x:c r="I575" s="8" t="n">
        <x:f>'Source Data'!H575</x:f>
        <x:v>534</x:v>
      </x:c>
      <x:c r="J575" s="14" t="n">
        <x:f>I575/H575-1</x:f>
        <x:v>0.3120393120393121</x:v>
      </x:c>
      <x:c r="K575" s="8" t="n">
        <x:f>H575*('Source Data'!H$8/'Source Data'!F$8)*EXP(F575*('Source Data'!H$7-'Source Data'!F$7))</x:f>
        <x:v>1618.5774179281877</x:v>
      </x:c>
      <x:c r="L575" s="14" t="n">
        <x:f>I575/K575-1</x:f>
        <x:v>-0.6700806559605095</x:v>
      </x:c>
      <x:c r="M575" s="8" t="n">
        <x:f>'Source Data'!G575</x:f>
        <x:v>456</x:v>
      </x:c>
      <x:c r="N575" s="8" t="n">
        <x:f>M575*('Source Data'!H$8/'Source Data'!G$8)*EXP(F575*('Source Data'!H$7-'Source Data'!G$7))</x:f>
        <x:v>1287.150884620235</x:v>
      </x:c>
      <x:c r="O575" s="14" t="n">
        <x:f>I575/N575-1</x:f>
        <x:v>-0.5851302233633993</x:v>
      </x:c>
      <x:c r="P575" s="2" t="str"/>
    </x:row>
    <x:row r="576">
      <x:c r="A576" s="2" t="str">
        <x:f>'Source Data'!A576</x:f>
        <x:v>525920</x:v>
      </x:c>
      <x:c r="B576" s="2" t="str">
        <x:f>'Source Data'!B576</x:f>
        <x:v>Trusts, Estates, and Agency Accounts</x:v>
      </x:c>
      <x:c r="C576" s="13" t="n">
        <x:f>LN('Source Data'!C576/'Source Data'!C$8)</x:f>
        <x:v>-11.002889795214836</x:v>
      </x:c>
      <x:c r="D576" s="13" t="n">
        <x:f>LN('Source Data'!D576/'Source Data'!D$8)</x:f>
        <x:v>-10.834868915358454</x:v>
      </x:c>
      <x:c r="E576" s="13" t="n">
        <x:f>LN('Source Data'!E576/'Source Data'!E$8)</x:f>
        <x:v>-10.753554822544434</x:v>
      </x:c>
      <x:c r="F576" s="13" t="n">
        <x:f>SLOPE(C576:E576,'Source Data'!C$7:E$7)</x:f>
        <x:v>0.12466748633520108</x:v>
      </x:c>
      <x:c r="G576" s="14" t="n">
        <x:f>EXP(F576)-1</x:f>
        <x:v>0.13277172835846351</x:v>
      </x:c>
      <x:c r="H576" s="8" t="n">
        <x:f>'Source Data'!F576</x:f>
        <x:v>434</x:v>
      </x:c>
      <x:c r="I576" s="8" t="n">
        <x:f>'Source Data'!H576</x:f>
        <x:v>406</x:v>
      </x:c>
      <x:c r="J576" s="14" t="n">
        <x:f>I576/H576-1</x:f>
        <x:v>-0.06451612903225812</x:v>
      </x:c>
      <x:c r="K576" s="8" t="n">
        <x:f>H576*('Source Data'!H$8/'Source Data'!F$8)*EXP(F576*('Source Data'!H$7-'Source Data'!F$7))</x:f>
        <x:v>727.2734084923777</x:v>
      </x:c>
      <x:c r="L576" s="14" t="n">
        <x:f>I576/K576-1</x:f>
        <x:v>-0.44175052289945627</x:v>
      </x:c>
      <x:c r="M576" s="8" t="n">
        <x:f>'Source Data'!G576</x:f>
        <x:v>428</x:v>
      </x:c>
      <x:c r="N576" s="8" t="n">
        <x:f>M576*('Source Data'!H$8/'Source Data'!G$8)*EXP(F576*('Source Data'!H$7-'Source Data'!G$7))</x:f>
        <x:v>631.844296283184</x:v>
      </x:c>
      <x:c r="O576" s="14" t="n">
        <x:f>I576/N576-1</x:f>
        <x:v>-0.3574366305301958</x:v>
      </x:c>
      <x:c r="P576" s="2" t="str"/>
    </x:row>
    <x:row r="577">
      <x:c r="A577" s="2" t="str">
        <x:f>'Source Data'!A577</x:f>
        <x:v>525990</x:v>
      </x:c>
      <x:c r="B577" s="2" t="str">
        <x:f>'Source Data'!B577</x:f>
        <x:v>Other Financial Vehicles</x:v>
      </x:c>
      <x:c r="C577" s="13" t="n">
        <x:f>LN('Source Data'!C577/'Source Data'!C$8)</x:f>
        <x:v>-9.661715869375415</x:v>
      </x:c>
      <x:c r="D577" s="13" t="n">
        <x:f>LN('Source Data'!D577/'Source Data'!D$8)</x:f>
        <x:v>-9.433070367702598</x:v>
      </x:c>
      <x:c r="E577" s="13" t="n">
        <x:f>LN('Source Data'!E577/'Source Data'!E$8)</x:f>
        <x:v>-9.351659520982063</x:v>
      </x:c>
      <x:c r="F577" s="13" t="n">
        <x:f>SLOPE(C577:E577,'Source Data'!C$7:E$7)</x:f>
        <x:v>0.15502817419667636</x:v>
      </x:c>
      <x:c r="G577" s="14" t="n">
        <x:f>EXP(F577)-1</x:f>
        <x:v>0.16769085939361128</x:v>
      </x:c>
      <x:c r="H577" s="8" t="n">
        <x:f>'Source Data'!F577</x:f>
        <x:v>1718</x:v>
      </x:c>
      <x:c r="I577" s="8" t="n">
        <x:f>'Source Data'!H577</x:f>
        <x:v>1344</x:v>
      </x:c>
      <x:c r="J577" s="14" t="n">
        <x:f>I577/H577-1</x:f>
        <x:v>-0.21769499417927818</x:v>
      </x:c>
      <x:c r="K577" s="8" t="n">
        <x:f>H577*('Source Data'!H$8/'Source Data'!F$8)*EXP(F577*('Source Data'!H$7-'Source Data'!F$7))</x:f>
        <x:v>3250.671288912778</x:v>
      </x:c>
      <x:c r="L577" s="14" t="n">
        <x:f>I577/K577-1</x:f>
        <x:v>-0.5865469373713528</x:v>
      </x:c>
      <x:c r="M577" s="8" t="n">
        <x:f>'Source Data'!G577</x:f>
        <x:v>1844</x:v>
      </x:c>
      <x:c r="N577" s="8" t="n">
        <x:f>M577*('Source Data'!H$8/'Source Data'!G$8)*EXP(F577*('Source Data'!H$7-'Source Data'!G$7))</x:f>
        <x:v>2981.8353204589775</x:v>
      </x:c>
      <x:c r="O577" s="14" t="n">
        <x:f>I577/N577-1</x:f>
        <x:v>-0.549270883345387</x:v>
      </x:c>
      <x:c r="P577" s="2" t="str"/>
    </x:row>
    <x:row r="578">
      <x:c r="A578" s="2" t="str">
        <x:f>'Source Data'!A578</x:f>
        <x:v>531110</x:v>
      </x:c>
      <x:c r="B578" s="2" t="str">
        <x:f>'Source Data'!B578</x:f>
        <x:v>Lessors of Residential Buildings and Dwellings</x:v>
      </x:c>
      <x:c r="C578" s="13" t="n">
        <x:f>LN('Source Data'!C578/'Source Data'!C$8)</x:f>
        <x:v>-6.145490566653296</x:v>
      </x:c>
      <x:c r="D578" s="13" t="n">
        <x:f>LN('Source Data'!D578/'Source Data'!D$8)</x:f>
        <x:v>-6.124150731288464</x:v>
      </x:c>
      <x:c r="E578" s="13" t="n">
        <x:f>LN('Source Data'!E578/'Source Data'!E$8)</x:f>
        <x:v>-6.122772060699616</x:v>
      </x:c>
      <x:c r="F578" s="13" t="n">
        <x:f>SLOPE(C578:E578,'Source Data'!C$7:E$7)</x:f>
        <x:v>0.01135925297684004</x:v>
      </x:c>
      <x:c r="G578" s="14" t="n">
        <x:f>EXP(F578)-1</x:f>
        <x:v>0.011424014271951721</x:v>
      </x:c>
      <x:c r="H578" s="8" t="n">
        <x:f>'Source Data'!F578</x:f>
        <x:v>31553</x:v>
      </x:c>
      <x:c r="I578" s="8" t="n">
        <x:f>'Source Data'!H578</x:f>
        <x:v>31801</x:v>
      </x:c>
      <x:c r="J578" s="14" t="n">
        <x:f>I578/H578-1</x:f>
        <x:v>0.007859791461984678</x:v>
      </x:c>
      <x:c r="K578" s="8" t="n">
        <x:f>H578*('Source Data'!H$8/'Source Data'!F$8)*EXP(F578*('Source Data'!H$7-'Source Data'!F$7))</x:f>
        <x:v>33605.63256007203</x:v>
      </x:c>
      <x:c r="L578" s="14" t="n">
        <x:f>I578/K578-1</x:f>
        <x:v>-0.05370030029478379</x:v>
      </x:c>
      <x:c r="M578" s="8" t="n">
        <x:f>'Source Data'!G578</x:f>
        <x:v>32332</x:v>
      </x:c>
      <x:c r="N578" s="8" t="n">
        <x:f>M578*('Source Data'!H$8/'Source Data'!G$8)*EXP(F578*('Source Data'!H$7-'Source Data'!G$7))</x:f>
        <x:v>33975.93749634106</x:v>
      </x:c>
      <x:c r="O578" s="14" t="n">
        <x:f>I578/N578-1</x:f>
        <x:v>-0.06401405396319915</x:v>
      </x:c>
      <x:c r="P578" s="2" t="str"/>
    </x:row>
    <x:row r="579">
      <x:c r="A579" s="2" t="str">
        <x:f>'Source Data'!A579</x:f>
        <x:v>531120</x:v>
      </x:c>
      <x:c r="B579" s="2" t="str">
        <x:f>'Source Data'!B579</x:f>
        <x:v>Lessors of Nonresidential Buildings (except Miniwarehouses)</x:v>
      </x:c>
      <x:c r="C579" s="13" t="n">
        <x:f>LN('Source Data'!C579/'Source Data'!C$8)</x:f>
        <x:v>-6.91889270151816</x:v>
      </x:c>
      <x:c r="D579" s="13" t="n">
        <x:f>LN('Source Data'!D579/'Source Data'!D$8)</x:f>
        <x:v>-6.884560463062049</x:v>
      </x:c>
      <x:c r="E579" s="13" t="n">
        <x:f>LN('Source Data'!E579/'Source Data'!E$8)</x:f>
        <x:v>-6.823580699328854</x:v>
      </x:c>
      <x:c r="F579" s="13" t="n">
        <x:f>SLOPE(C579:E579,'Source Data'!C$7:E$7)</x:f>
        <x:v>0.047656001094652733</x:v>
      </x:c>
      <x:c r="G579" s="14" t="n">
        <x:f>EXP(F579)-1</x:f>
        <x:v>0.04880980383733324</x:v>
      </x:c>
      <x:c r="H579" s="8" t="n">
        <x:f>'Source Data'!F579</x:f>
        <x:v>15325</x:v>
      </x:c>
      <x:c r="I579" s="8" t="n">
        <x:f>'Source Data'!H579</x:f>
        <x:v>16094</x:v>
      </x:c>
      <x:c r="J579" s="14" t="n">
        <x:f>I579/H579-1</x:f>
        <x:v>0.05017944535073404</x:v>
      </x:c>
      <x:c r="K579" s="8" t="n">
        <x:f>H579*('Source Data'!H$8/'Source Data'!F$8)*EXP(F579*('Source Data'!H$7-'Source Data'!F$7))</x:f>
        <x:v>18872.342514706514</x:v>
      </x:c>
      <x:c r="L579" s="14" t="n">
        <x:f>I579/K579-1</x:f>
        <x:v>-0.147217681776465</x:v>
      </x:c>
      <x:c r="M579" s="8" t="n">
        <x:f>'Source Data'!G579</x:f>
        <x:v>15656</x:v>
      </x:c>
      <x:c r="N579" s="8" t="n">
        <x:f>M579*('Source Data'!H$8/'Source Data'!G$8)*EXP(F579*('Source Data'!H$7-'Source Data'!G$7))</x:f>
        <x:v>18344.679298011233</x:v>
      </x:c>
      <x:c r="O579" s="14" t="n">
        <x:f>I579/N579-1</x:f>
        <x:v>-0.12268839707954071</x:v>
      </x:c>
      <x:c r="P579" s="2" t="str"/>
    </x:row>
    <x:row r="580">
      <x:c r="A580" s="2" t="str">
        <x:f>'Source Data'!A580</x:f>
        <x:v>531130</x:v>
      </x:c>
      <x:c r="B580" s="2" t="str">
        <x:f>'Source Data'!B580</x:f>
        <x:v>Lessors of Miniwarehouses and Self-Storage Units</x:v>
      </x:c>
      <x:c r="C580" s="13" t="n">
        <x:f>LN('Source Data'!C580/'Source Data'!C$8)</x:f>
        <x:v>-7.488213679479547</x:v>
      </x:c>
      <x:c r="D580" s="13" t="n">
        <x:f>LN('Source Data'!D580/'Source Data'!D$8)</x:f>
        <x:v>-7.329666102417403</x:v>
      </x:c>
      <x:c r="E580" s="13" t="n">
        <x:f>LN('Source Data'!E580/'Source Data'!E$8)</x:f>
        <x:v>-7.357296241442812</x:v>
      </x:c>
      <x:c r="F580" s="13" t="n">
        <x:f>SLOPE(C580:E580,'Source Data'!C$7:E$7)</x:f>
        <x:v>0.06545871901836753</x:v>
      </x:c>
      <x:c r="G580" s="14" t="n">
        <x:f>EXP(F580)-1</x:f>
        <x:v>0.06764866281894522</x:v>
      </x:c>
      <x:c r="H580" s="8" t="n">
        <x:f>'Source Data'!F580</x:f>
        <x:v>9446</x:v>
      </x:c>
      <x:c r="I580" s="8" t="n">
        <x:f>'Source Data'!H580</x:f>
        <x:v>9393</x:v>
      </x:c>
      <x:c r="J580" s="14" t="n">
        <x:f>I580/H580-1</x:f>
        <x:v>-0.005610840567435993</x:v>
      </x:c>
      <x:c r="K580" s="8" t="n">
        <x:f>H580*('Source Data'!H$8/'Source Data'!F$8)*EXP(F580*('Source Data'!H$7-'Source Data'!F$7))</x:f>
        <x:v>12491.07329318853</x:v>
      </x:c>
      <x:c r="L580" s="14" t="n">
        <x:f>I580/K580-1</x:f>
        <x:v>-0.24802298573317405</x:v>
      </x:c>
      <x:c r="M580" s="8" t="n">
        <x:f>'Source Data'!G580</x:f>
        <x:v>9599</x:v>
      </x:c>
      <x:c r="N580" s="8" t="n">
        <x:f>M580*('Source Data'!H$8/'Source Data'!G$8)*EXP(F580*('Source Data'!H$7-'Source Data'!G$7))</x:f>
        <x:v>11864.519905711313</x:v>
      </x:c>
      <x:c r="O580" s="14" t="n">
        <x:f>I580/N580-1</x:f>
        <x:v>-0.20831183438965606</x:v>
      </x:c>
      <x:c r="P580" s="2" t="str"/>
    </x:row>
    <x:row r="581">
      <x:c r="A581" s="2" t="str">
        <x:f>'Source Data'!A581</x:f>
        <x:v>531190</x:v>
      </x:c>
      <x:c r="B581" s="2" t="str">
        <x:f>'Source Data'!B581</x:f>
        <x:v>Lessors of Other Real Estate Property</x:v>
      </x:c>
      <x:c r="C581" s="13" t="n">
        <x:f>LN('Source Data'!C581/'Source Data'!C$8)</x:f>
        <x:v>-7.476652857078471</x:v>
      </x:c>
      <x:c r="D581" s="13" t="n">
        <x:f>LN('Source Data'!D581/'Source Data'!D$8)</x:f>
        <x:v>-7.48972761415253</x:v>
      </x:c>
      <x:c r="E581" s="13" t="n">
        <x:f>LN('Source Data'!E581/'Source Data'!E$8)</x:f>
        <x:v>-7.521806233529065</x:v>
      </x:c>
      <x:c r="F581" s="13" t="n">
        <x:f>SLOPE(C581:E581,'Source Data'!C$7:E$7)</x:f>
        <x:v>-0.022576688225297126</x:v>
      </x:c>
      <x:c r="G581" s="14" t="n">
        <x:f>EXP(F581)-1</x:f>
        <x:v>-0.02232374193878106</x:v>
      </x:c>
      <x:c r="H581" s="8" t="n">
        <x:f>'Source Data'!F581</x:f>
        <x:v>6868</x:v>
      </x:c>
      <x:c r="I581" s="8" t="n">
        <x:f>'Source Data'!H581</x:f>
        <x:v>6450</x:v>
      </x:c>
      <x:c r="J581" s="14" t="n">
        <x:f>I581/H581-1</x:f>
        <x:v>-0.0608619685497962</x:v>
      </x:c>
      <x:c r="K581" s="8" t="n">
        <x:f>H581*('Source Data'!H$8/'Source Data'!F$8)*EXP(F581*('Source Data'!H$7-'Source Data'!F$7))</x:f>
        <x:v>6386.294407391726</x:v>
      </x:c>
      <x:c r="L581" s="14" t="n">
        <x:f>I581/K581-1</x:f>
        <x:v>0.009975361069251454</x:v>
      </x:c>
      <x:c r="M581" s="8" t="n">
        <x:f>'Source Data'!G581</x:f>
        <x:v>6889</x:v>
      </x:c>
      <x:c r="N581" s="8" t="n">
        <x:f>M581*('Source Data'!H$8/'Source Data'!G$8)*EXP(F581*('Source Data'!H$7-'Source Data'!G$7))</x:f>
        <x:v>6538.535524659032</x:v>
      </x:c>
      <x:c r="O581" s="14" t="n">
        <x:f>I581/N581-1</x:f>
        <x:v>-0.013540574081938428</x:v>
      </x:c>
      <x:c r="P581" s="2" t="str"/>
    </x:row>
    <x:row r="582">
      <x:c r="A582" s="2" t="str">
        <x:f>'Source Data'!A582</x:f>
        <x:v>531210</x:v>
      </x:c>
      <x:c r="B582" s="2" t="str">
        <x:f>'Source Data'!B582</x:f>
        <x:v>Offices of Real Estate Agents and Brokers</x:v>
      </x:c>
      <x:c r="C582" s="13" t="n">
        <x:f>LN('Source Data'!C582/'Source Data'!C$8)</x:f>
        <x:v>-5.730881893877675</x:v>
      </x:c>
      <x:c r="D582" s="13" t="n">
        <x:f>LN('Source Data'!D582/'Source Data'!D$8)</x:f>
        <x:v>-5.688970511333394</x:v>
      </x:c>
      <x:c r="E582" s="13" t="n">
        <x:f>LN('Source Data'!E582/'Source Data'!E$8)</x:f>
        <x:v>-5.672502095610831</x:v>
      </x:c>
      <x:c r="F582" s="13" t="n">
        <x:f>SLOPE(C582:E582,'Source Data'!C$7:E$7)</x:f>
        <x:v>0.02918989913342207</x:v>
      </x:c>
      <x:c r="G582" s="14" t="n">
        <x:f>EXP(F582)-1</x:f>
        <x:v>0.029620099876110695</x:v>
      </x:c>
      <x:c r="H582" s="8" t="n">
        <x:f>'Source Data'!F582</x:f>
        <x:v>58995</x:v>
      </x:c>
      <x:c r="I582" s="8" t="n">
        <x:f>'Source Data'!H582</x:f>
        <x:v>49731</x:v>
      </x:c>
      <x:c r="J582" s="14" t="n">
        <x:f>I582/H582-1</x:f>
        <x:v>-0.1570302568014238</x:v>
      </x:c>
      <x:c r="K582" s="8" t="n">
        <x:f>H582*('Source Data'!H$8/'Source Data'!F$8)*EXP(F582*('Source Data'!H$7-'Source Data'!F$7))</x:f>
        <x:v>67477.91075078063</x:v>
      </x:c>
      <x:c r="L582" s="14" t="n">
        <x:f>I582/K582-1</x:f>
        <x:v>-0.2630032636358014</x:v>
      </x:c>
      <x:c r="M582" s="8" t="n">
        <x:f>'Source Data'!G582</x:f>
        <x:v>54748</x:v>
      </x:c>
      <x:c r="N582" s="8" t="n">
        <x:f>M582*('Source Data'!H$8/'Source Data'!G$8)*EXP(F582*('Source Data'!H$7-'Source Data'!G$7))</x:f>
        <x:v>60692.97014825113</x:v>
      </x:c>
      <x:c r="O582" s="14" t="n">
        <x:f>I582/N582-1</x:f>
        <x:v>-0.18061350633318773</x:v>
      </x:c>
      <x:c r="P582" s="2" t="str"/>
    </x:row>
    <x:row r="583">
      <x:c r="A583" s="2" t="str">
        <x:f>'Source Data'!A583</x:f>
        <x:v>531311</x:v>
      </x:c>
      <x:c r="B583" s="2" t="str">
        <x:f>'Source Data'!B583</x:f>
        <x:v>Residential Property Managers</x:v>
      </x:c>
      <x:c r="C583" s="13" t="n">
        <x:f>LN('Source Data'!C583/'Source Data'!C$8)</x:f>
        <x:v>-5.337816119944203</x:v>
      </x:c>
      <x:c r="D583" s="13" t="n">
        <x:f>LN('Source Data'!D583/'Source Data'!D$8)</x:f>
        <x:v>-5.327211157639899</x:v>
      </x:c>
      <x:c r="E583" s="13" t="n">
        <x:f>LN('Source Data'!E583/'Source Data'!E$8)</x:f>
        <x:v>-5.325119902764168</x:v>
      </x:c>
      <x:c r="F583" s="13" t="n">
        <x:f>SLOPE(C583:E583,'Source Data'!C$7:E$7)</x:f>
        <x:v>0.006348108590017443</x:v>
      </x:c>
      <x:c r="G583" s="14" t="n">
        <x:f>EXP(F583)-1</x:f>
        <x:v>0.006368300535628091</x:v>
      </x:c>
      <x:c r="H583" s="8" t="n">
        <x:f>'Source Data'!F583</x:f>
        <x:v>75290</x:v>
      </x:c>
      <x:c r="I583" s="8" t="n">
        <x:f>'Source Data'!H583</x:f>
        <x:v>80473</x:v>
      </x:c>
      <x:c r="J583" s="14" t="n">
        <x:f>I583/H583-1</x:f>
        <x:v>0.06884048346393934</x:v>
      </x:c>
      <x:c r="K583" s="8" t="n">
        <x:f>H583*('Source Data'!H$8/'Source Data'!F$8)*EXP(F583*('Source Data'!H$7-'Source Data'!F$7))</x:f>
        <x:v>78596.54669729572</x:v>
      </x:c>
      <x:c r="L583" s="14" t="n">
        <x:f>I583/K583-1</x:f>
        <x:v>0.023874500618089378</x:v>
      </x:c>
      <x:c r="M583" s="8" t="n">
        <x:f>'Source Data'!G583</x:f>
        <x:v>77783</x:v>
      </x:c>
      <x:c r="N583" s="8" t="n">
        <x:f>M583*('Source Data'!H$8/'Source Data'!G$8)*EXP(F583*('Source Data'!H$7-'Source Data'!G$7))</x:f>
        <x:v>80518.30635002608</x:v>
      </x:c>
      <x:c r="O583" s="14" t="n">
        <x:f>I583/N583-1</x:f>
        <x:v>-0.000562683842716738</x:v>
      </x:c>
      <x:c r="P583" s="2" t="str"/>
    </x:row>
    <x:row r="584">
      <x:c r="A584" s="2" t="str">
        <x:f>'Source Data'!A584</x:f>
        <x:v>531312</x:v>
      </x:c>
      <x:c r="B584" s="2" t="str">
        <x:f>'Source Data'!B584</x:f>
        <x:v>Nonresidential Property Managers</x:v>
      </x:c>
      <x:c r="C584" s="13" t="n">
        <x:f>LN('Source Data'!C584/'Source Data'!C$8)</x:f>
        <x:v>-6.550400781074643</x:v>
      </x:c>
      <x:c r="D584" s="13" t="n">
        <x:f>LN('Source Data'!D584/'Source Data'!D$8)</x:f>
        <x:v>-6.559167767950617</x:v>
      </x:c>
      <x:c r="E584" s="13" t="n">
        <x:f>LN('Source Data'!E584/'Source Data'!E$8)</x:f>
        <x:v>-6.563661877520288</x:v>
      </x:c>
      <x:c r="F584" s="13" t="n">
        <x:f>SLOPE(C584:E584,'Source Data'!C$7:E$7)</x:f>
        <x:v>-0.006630548222822608</x:v>
      </x:c>
      <x:c r="G584" s="14" t="n">
        <x:f>EXP(F584)-1</x:f>
        <x:v>-0.0066086146419509495</x:v>
      </x:c>
      <x:c r="H584" s="8" t="n">
        <x:f>'Source Data'!F584</x:f>
        <x:v>19549</x:v>
      </x:c>
      <x:c r="I584" s="8" t="n">
        <x:f>'Source Data'!H584</x:f>
        <x:v>19557</x:v>
      </x:c>
      <x:c r="J584" s="14" t="n">
        <x:f>I584/H584-1</x:f>
        <x:v>0.000409228093508629</x:v>
      </x:c>
      <x:c r="K584" s="8" t="n">
        <x:f>H584*('Source Data'!H$8/'Source Data'!F$8)*EXP(F584*('Source Data'!H$7-'Source Data'!F$7))</x:f>
        <x:v>19375.12344232068</x:v>
      </x:c>
      <x:c r="L584" s="14" t="n">
        <x:f>I584/K584-1</x:f>
        <x:v>0.009387117363188091</x:v>
      </x:c>
      <x:c r="M584" s="8" t="n">
        <x:f>'Source Data'!G584</x:f>
        <x:v>20016</x:v>
      </x:c>
      <x:c r="N584" s="8" t="n">
        <x:f>M584*('Source Data'!H$8/'Source Data'!G$8)*EXP(F584*('Source Data'!H$7-'Source Data'!G$7))</x:f>
        <x:v>19928.635188456934</x:v>
      </x:c>
      <x:c r="O584" s="14" t="n">
        <x:f>I584/N584-1</x:f>
        <x:v>-0.018648301047338833</x:v>
      </x:c>
      <x:c r="P584" s="2" t="str"/>
    </x:row>
    <x:row r="585">
      <x:c r="A585" s="2" t="str">
        <x:f>'Source Data'!A585</x:f>
        <x:v>531320</x:v>
      </x:c>
      <x:c r="B585" s="2" t="str">
        <x:f>'Source Data'!B585</x:f>
        <x:v>Offices of Real Estate Appraisers</x:v>
      </x:c>
      <x:c r="C585" s="13" t="n">
        <x:f>LN('Source Data'!C585/'Source Data'!C$8)</x:f>
        <x:v>-8.288139401542805</x:v>
      </x:c>
      <x:c r="D585" s="13" t="n">
        <x:f>LN('Source Data'!D585/'Source Data'!D$8)</x:f>
        <x:v>-8.344767448693348</x:v>
      </x:c>
      <x:c r="E585" s="13" t="n">
        <x:f>LN('Source Data'!E585/'Source Data'!E$8)</x:f>
        <x:v>-8.411507149181029</x:v>
      </x:c>
      <x:c r="F585" s="13" t="n">
        <x:f>SLOPE(C585:E585,'Source Data'!C$7:E$7)</x:f>
        <x:v>-0.06168387381911167</x:v>
      </x:c>
      <x:c r="G585" s="14" t="n">
        <x:f>EXP(F585)-1</x:f>
        <x:v>-0.05981994465252194</x:v>
      </x:c>
      <x:c r="H585" s="8" t="n">
        <x:f>'Source Data'!F585</x:f>
        <x:v>3683</x:v>
      </x:c>
      <x:c r="I585" s="8" t="n">
        <x:f>'Source Data'!H585</x:f>
        <x:v>2373</x:v>
      </x:c>
      <x:c r="J585" s="14" t="n">
        <x:f>I585/H585-1</x:f>
        <x:v>-0.35568829758349174</x:v>
      </x:c>
      <x:c r="K585" s="8" t="n">
        <x:f>H585*('Source Data'!H$8/'Source Data'!F$8)*EXP(F585*('Source Data'!H$7-'Source Data'!F$7))</x:f>
        <x:v>2928.762993268835</x:v>
      </x:c>
      <x:c r="L585" s="14" t="n">
        <x:f>I585/K585-1</x:f>
        <x:v>-0.18976031674332916</x:v>
      </x:c>
      <x:c r="M585" s="8" t="n">
        <x:f>'Source Data'!G585</x:f>
        <x:v>2716</x:v>
      </x:c>
      <x:c r="N585" s="8" t="n">
        <x:f>M585*('Source Data'!H$8/'Source Data'!G$8)*EXP(F585*('Source Data'!H$7-'Source Data'!G$7))</x:f>
        <x:v>2292.461040798137</x:v>
      </x:c>
      <x:c r="O585" s="14" t="n">
        <x:f>I585/N585-1</x:f>
        <x:v>0.03513209505790438</x:v>
      </x:c>
      <x:c r="P585" s="2" t="str"/>
    </x:row>
    <x:row r="586">
      <x:c r="A586" s="2" t="str">
        <x:f>'Source Data'!A586</x:f>
        <x:v>531390</x:v>
      </x:c>
      <x:c r="B586" s="2" t="str">
        <x:f>'Source Data'!B586</x:f>
        <x:v>Other Activities Related to Real Estate</x:v>
      </x:c>
      <x:c r="C586" s="13" t="n">
        <x:f>LN('Source Data'!C586/'Source Data'!C$8)</x:f>
        <x:v>-7.07106416249051</x:v>
      </x:c>
      <x:c r="D586" s="13" t="n">
        <x:f>LN('Source Data'!D586/'Source Data'!D$8)</x:f>
        <x:v>-6.980960663270076</x:v>
      </x:c>
      <x:c r="E586" s="13" t="n">
        <x:f>LN('Source Data'!E586/'Source Data'!E$8)</x:f>
        <x:v>-7.004420774370366</x:v>
      </x:c>
      <x:c r="F586" s="13" t="n">
        <x:f>SLOPE(C586:E586,'Source Data'!C$7:E$7)</x:f>
        <x:v>0.033321694060072016</x:v>
      </x:c>
      <x:c r="G586" s="14" t="n">
        <x:f>EXP(F586)-1</x:f>
        <x:v>0.033883079795856474</x:v>
      </x:c>
      <x:c r="H586" s="8" t="n">
        <x:f>'Source Data'!F586</x:f>
        <x:v>16205</x:v>
      </x:c>
      <x:c r="I586" s="8" t="n">
        <x:f>'Source Data'!H586</x:f>
        <x:v>17307</x:v>
      </x:c>
      <x:c r="J586" s="14" t="n">
        <x:f>I586/H586-1</x:f>
        <x:v>0.0680037025609379</x:v>
      </x:c>
      <x:c r="K586" s="8" t="n">
        <x:f>H586*('Source Data'!H$8/'Source Data'!F$8)*EXP(F586*('Source Data'!H$7-'Source Data'!F$7))</x:f>
        <x:v>18844.001075897795</x:v>
      </x:c>
      <x:c r="L586" s="14" t="n">
        <x:f>I586/K586-1</x:f>
        <x:v>-0.08156447612729545</x:v>
      </x:c>
      <x:c r="M586" s="8" t="n">
        <x:f>'Source Data'!G586</x:f>
        <x:v>15025</x:v>
      </x:c>
      <x:c r="N586" s="8" t="n">
        <x:f>M586*('Source Data'!H$8/'Source Data'!G$8)*EXP(F586*('Source Data'!H$7-'Source Data'!G$7))</x:f>
        <x:v>16864.282184438598</x:v>
      </x:c>
      <x:c r="O586" s="14" t="n">
        <x:f>I586/N586-1</x:f>
        <x:v>0.026251803113797267</x:v>
      </x:c>
      <x:c r="P586" s="2" t="str"/>
    </x:row>
    <x:row r="587">
      <x:c r="A587" s="2" t="str">
        <x:f>'Source Data'!A587</x:f>
        <x:v>532111</x:v>
      </x:c>
      <x:c r="B587" s="2" t="str">
        <x:f>'Source Data'!B587</x:f>
        <x:v>Passenger Car Rental</x:v>
      </x:c>
      <x:c r="C587" s="13" t="n">
        <x:f>LN('Source Data'!C587/'Source Data'!C$8)</x:f>
        <x:v>-6.728794672122395</x:v>
      </x:c>
      <x:c r="D587" s="13" t="n">
        <x:f>LN('Source Data'!D587/'Source Data'!D$8)</x:f>
        <x:v>-6.731938630972717</x:v>
      </x:c>
      <x:c r="E587" s="13" t="n">
        <x:f>LN('Source Data'!E587/'Source Data'!E$8)</x:f>
        <x:v>-6.739554376098166</x:v>
      </x:c>
      <x:c r="F587" s="13" t="n">
        <x:f>SLOPE(C587:E587,'Source Data'!C$7:E$7)</x:f>
        <x:v>-0.005379851987885598</x:v>
      </x:c>
      <x:c r="G587" s="14" t="n">
        <x:f>EXP(F587)-1</x:f>
        <x:v>-0.005365406500650427</x:v>
      </x:c>
      <x:c r="H587" s="8" t="n">
        <x:f>'Source Data'!F587</x:f>
        <x:v>13125</x:v>
      </x:c>
      <x:c r="I587" s="8" t="n">
        <x:f>'Source Data'!H587</x:f>
        <x:v>14058</x:v>
      </x:c>
      <x:c r="J587" s="14" t="n">
        <x:f>I587/H587-1</x:f>
        <x:v>0.0710857142857142</x:v>
      </x:c>
      <x:c r="K587" s="8" t="n">
        <x:f>H587*('Source Data'!H$8/'Source Data'!F$8)*EXP(F587*('Source Data'!H$7-'Source Data'!F$7))</x:f>
        <x:v>13073.501634300515</x:v>
      </x:c>
      <x:c r="L587" s="14" t="n">
        <x:f>I587/K587-1</x:f>
        <x:v>0.07530487188807089</x:v>
      </x:c>
      <x:c r="M587" s="8" t="n">
        <x:f>'Source Data'!G587</x:f>
        <x:v>14836</x:v>
      </x:c>
      <x:c r="N587" s="8" t="n">
        <x:f>M587*('Source Data'!H$8/'Source Data'!G$8)*EXP(F587*('Source Data'!H$7-'Source Data'!G$7))</x:f>
        <x:v>14826.771713307144</x:v>
      </x:c>
      <x:c r="O587" s="14" t="n">
        <x:f>I587/N587-1</x:f>
        <x:v>-0.051850242802158</x:v>
      </x:c>
      <x:c r="P587" s="2" t="str"/>
    </x:row>
    <x:row r="588">
      <x:c r="A588" s="2" t="str">
        <x:f>'Source Data'!A588</x:f>
        <x:v>532112</x:v>
      </x:c>
      <x:c r="B588" s="2" t="str">
        <x:f>'Source Data'!B588</x:f>
        <x:v>Passenger Car Leasing</x:v>
      </x:c>
      <x:c r="C588" s="13" t="n">
        <x:f>LN('Source Data'!C588/'Source Data'!C$8)</x:f>
        <x:v>-10.597424687106672</x:v>
      </x:c>
      <x:c r="D588" s="13" t="n">
        <x:f>LN('Source Data'!D588/'Source Data'!D$8)</x:f>
        <x:v>-11.00476795215385</x:v>
      </x:c>
      <x:c r="E588" s="13" t="n">
        <x:f>LN('Source Data'!E588/'Source Data'!E$8)</x:f>
        <x:v>-11.202400226282823</x:v>
      </x:c>
      <x:c r="F588" s="13" t="n">
        <x:f>SLOPE(C588:E588,'Source Data'!C$7:E$7)</x:f>
        <x:v>-0.3024877695880752</x:v>
      </x:c>
      <x:c r="G588" s="14" t="n">
        <x:f>EXP(F588)-1</x:f>
        <x:v>-0.2610224737967761</x:v>
      </x:c>
      <x:c r="H588" s="8" t="n">
        <x:f>'Source Data'!F588</x:f>
        <x:v>166</x:v>
      </x:c>
      <x:c r="I588" s="8" t="n">
        <x:f>'Source Data'!H588</x:f>
        <x:v>290</x:v>
      </x:c>
      <x:c r="J588" s="14" t="n">
        <x:f>I588/H588-1</x:f>
        <x:v>0.7469879518072289</x:v>
      </x:c>
      <x:c r="K588" s="8" t="n">
        <x:f>H588*('Source Data'!H$8/'Source Data'!F$8)*EXP(F588*('Source Data'!H$7-'Source Data'!F$7))</x:f>
        <x:v>50.381533801073076</x:v>
      </x:c>
      <x:c r="L588" s="14" t="n">
        <x:f>I588/K588-1</x:f>
        <x:v>4.756077239431391</x:v>
      </x:c>
      <x:c r="M588" s="8" t="n">
        <x:f>'Source Data'!G588</x:f>
        <x:v>192</x:v>
      </x:c>
      <x:c r="N588" s="8" t="n">
        <x:f>M588*('Source Data'!H$8/'Source Data'!G$8)*EXP(F588*('Source Data'!H$7-'Source Data'!G$7))</x:f>
        <x:v>78.69262225277838</x:v>
      </x:c>
      <x:c r="O588" s="14" t="n">
        <x:f>I588/N588-1</x:f>
        <x:v>2.6852247605684667</x:v>
      </x:c>
      <x:c r="P588" s="2" t="str"/>
    </x:row>
    <x:row r="589">
      <x:c r="A589" s="2" t="str">
        <x:f>'Source Data'!A589</x:f>
        <x:v>532120</x:v>
      </x:c>
      <x:c r="B589" s="2" t="str">
        <x:f>'Source Data'!B589</x:f>
        <x:v>Truck, Utility Trailer, and RV (Recreational Vehicle) Rental and Leasing</x:v>
      </x:c>
      <x:c r="C589" s="13" t="n">
        <x:f>LN('Source Data'!C589/'Source Data'!C$8)</x:f>
        <x:v>-7.746572473190412</x:v>
      </x:c>
      <x:c r="D589" s="13" t="n">
        <x:f>LN('Source Data'!D589/'Source Data'!D$8)</x:f>
        <x:v>-7.682310971527901</x:v>
      </x:c>
      <x:c r="E589" s="13" t="n">
        <x:f>LN('Source Data'!E589/'Source Data'!E$8)</x:f>
        <x:v>-7.598697737780816</x:v>
      </x:c>
      <x:c r="F589" s="13" t="n">
        <x:f>SLOPE(C589:E589,'Source Data'!C$7:E$7)</x:f>
        <x:v>0.07393736770479808</x:v>
      </x:c>
      <x:c r="G589" s="14" t="n">
        <x:f>EXP(F589)-1</x:f>
        <x:v>0.07673936472650977</x:v>
      </x:c>
      <x:c r="H589" s="8" t="n">
        <x:f>'Source Data'!F589</x:f>
        <x:v>7474</x:v>
      </x:c>
      <x:c r="I589" s="8" t="n">
        <x:f>'Source Data'!H589</x:f>
        <x:v>8047</x:v>
      </x:c>
      <x:c r="J589" s="14" t="n">
        <x:f>I589/H589-1</x:f>
        <x:v>0.07666577468557656</x:v>
      </x:c>
      <x:c r="K589" s="8" t="n">
        <x:f>H589*('Source Data'!H$8/'Source Data'!F$8)*EXP(F589*('Source Data'!H$7-'Source Data'!F$7))</x:f>
        <x:v>10224.305797729443</x:v>
      </x:c>
      <x:c r="L589" s="14" t="n">
        <x:f>I589/K589-1</x:f>
        <x:v>-0.21295390032377226</x:v>
      </x:c>
      <x:c r="M589" s="8" t="n">
        <x:f>'Source Data'!G589</x:f>
        <x:v>8574</x:v>
      </x:c>
      <x:c r="N589" s="8" t="n">
        <x:f>M589*('Source Data'!H$8/'Source Data'!G$8)*EXP(F589*('Source Data'!H$7-'Source Data'!G$7))</x:f>
        <x:v>10870.620833024757</x:v>
      </x:c>
      <x:c r="O589" s="14" t="n">
        <x:f>I589/N589-1</x:f>
        <x:v>-0.25974789079632377</x:v>
      </x:c>
      <x:c r="P589" s="2" t="str"/>
    </x:row>
    <x:row r="590">
      <x:c r="A590" s="2" t="str">
        <x:f>'Source Data'!A590</x:f>
        <x:v>532210</x:v>
      </x:c>
      <x:c r="B590" s="2" t="str">
        <x:f>'Source Data'!B590</x:f>
        <x:v>Consumer Electronics and Appliances Rental</x:v>
      </x:c>
      <x:c r="C590" s="13" t="n">
        <x:f>LN('Source Data'!C590/'Source Data'!C$8)</x:f>
        <x:v>-8.920301947845635</x:v>
      </x:c>
      <x:c r="D590" s="13" t="n">
        <x:f>LN('Source Data'!D590/'Source Data'!D$8)</x:f>
        <x:v>-8.956146295612289</x:v>
      </x:c>
      <x:c r="E590" s="13" t="n">
        <x:f>LN('Source Data'!E590/'Source Data'!E$8)</x:f>
        <x:v>-9.242513609325089</x:v>
      </x:c>
      <x:c r="F590" s="13" t="n">
        <x:f>SLOPE(C590:E590,'Source Data'!C$7:E$7)</x:f>
        <x:v>-0.16110583073972684</x:v>
      </x:c>
      <x:c r="G590" s="14" t="n">
        <x:f>EXP(F590)-1</x:f>
        <x:v>-0.14879801699532835</x:v>
      </x:c>
      <x:c r="H590" s="8" t="n">
        <x:f>'Source Data'!F590</x:f>
        <x:v>1019</x:v>
      </x:c>
      <x:c r="I590" s="8" t="n">
        <x:f>'Source Data'!H590</x:f>
        <x:v>1251</x:v>
      </x:c>
      <x:c r="J590" s="14" t="n">
        <x:f>I590/H590-1</x:f>
        <x:v>0.22767419038272818</x:v>
      </x:c>
      <x:c r="K590" s="8" t="n">
        <x:f>H590*('Source Data'!H$8/'Source Data'!F$8)*EXP(F590*('Source Data'!H$7-'Source Data'!F$7))</x:f>
        <x:v>544.4312737305802</x:v>
      </x:c>
      <x:c r="L590" s="14" t="n">
        <x:f>I590/K590-1</x:f>
        <x:v>1.2978106886252747</x:v>
      </x:c>
      <x:c r="M590" s="8" t="n">
        <x:f>'Source Data'!G590</x:f>
        <x:v>1220</x:v>
      </x:c>
      <x:c r="N590" s="8" t="n">
        <x:f>M590*('Source Data'!H$8/'Source Data'!G$8)*EXP(F590*('Source Data'!H$7-'Source Data'!G$7))</x:f>
        <x:v>764.1820056410743</x:v>
      </x:c>
      <x:c r="O590" s="14" t="n">
        <x:f>I590/N590-1</x:f>
        <x:v>0.6370445663013653</x:v>
      </x:c>
      <x:c r="P590" s="2" t="str"/>
    </x:row>
    <x:row r="591">
      <x:c r="A591" s="2" t="str">
        <x:f>'Source Data'!A591</x:f>
        <x:v>532281</x:v>
      </x:c>
      <x:c r="B591" s="2" t="str">
        <x:f>'Source Data'!B591</x:f>
        <x:v>Formal Wear and Costume Rental</x:v>
      </x:c>
      <x:c r="C591" s="13" t="n">
        <x:f>LN('Source Data'!C591/'Source Data'!C$8)</x:f>
        <x:v>-9.769521374026308</x:v>
      </x:c>
      <x:c r="D591" s="13" t="n">
        <x:f>LN('Source Data'!D591/'Source Data'!D$8)</x:f>
        <x:v>-9.823268003679974</x:v>
      </x:c>
      <x:c r="E591" s="13" t="n">
        <x:f>LN('Source Data'!E591/'Source Data'!E$8)</x:f>
        <x:v>-9.772725569532707</x:v>
      </x:c>
      <x:c r="F591" s="13" t="n">
        <x:f>SLOPE(C591:E591,'Source Data'!C$7:E$7)</x:f>
        <x:v>-0.0016020977531994163</x:v>
      </x:c>
      <x:c r="G591" s="14" t="n">
        <x:f>EXP(F591)-1</x:f>
        <x:v>-0.001600815079674911</x:v>
      </x:c>
      <x:c r="H591" s="8" t="n">
        <x:f>'Source Data'!F591</x:f>
        <x:v>755</x:v>
      </x:c>
      <x:c r="I591" s="8" t="n">
        <x:f>'Source Data'!H591</x:f>
        <x:v>755</x:v>
      </x:c>
      <x:c r="J591" s="14" t="n">
        <x:f>I591/H591-1</x:f>
        <x:v>0</x:v>
      </x:c>
      <x:c r="K591" s="8" t="n">
        <x:f>H591*('Source Data'!H$8/'Source Data'!F$8)*EXP(F591*('Source Data'!H$7-'Source Data'!F$7))</x:f>
        <x:v>763.4879663243518</x:v>
      </x:c>
      <x:c r="L591" s="14" t="n">
        <x:f>I591/K591-1</x:f>
        <x:v>-0.011117354429586168</x:v>
      </x:c>
      <x:c r="M591" s="8" t="n">
        <x:f>'Source Data'!G591</x:f>
        <x:v>802</x:v>
      </x:c>
      <x:c r="N591" s="8" t="n">
        <x:f>M591*('Source Data'!H$8/'Source Data'!G$8)*EXP(F591*('Source Data'!H$7-'Source Data'!G$7))</x:f>
        <x:v>810.636431596947</x:v>
      </x:c>
      <x:c r="O591" s="14" t="n">
        <x:f>I591/N591-1</x:f>
        <x:v>-0.06863302638316371</x:v>
      </x:c>
      <x:c r="P591" s="2" t="str"/>
    </x:row>
    <x:row r="592">
      <x:c r="A592" s="2" t="str">
        <x:f>'Source Data'!A592</x:f>
        <x:v>532282</x:v>
      </x:c>
      <x:c r="B592" s="2" t="str">
        <x:f>'Source Data'!B592</x:f>
        <x:v>Video Tape and Disc Rental</x:v>
      </x:c>
      <x:c r="C592" s="13" t="n">
        <x:f>LN('Source Data'!C592/'Source Data'!C$8)</x:f>
        <x:v>-9.891751246727546</x:v>
      </x:c>
      <x:c r="D592" s="13" t="n">
        <x:f>LN('Source Data'!D592/'Source Data'!D$8)</x:f>
        <x:v>-10.099234460959192</x:v>
      </x:c>
      <x:c r="E592" s="13" t="n">
        <x:f>LN('Source Data'!E592/'Source Data'!E$8)</x:f>
        <x:v>-10.26756333081618</x:v>
      </x:c>
      <x:c r="F592" s="13" t="n">
        <x:f>SLOPE(C592:E592,'Source Data'!C$7:E$7)</x:f>
        <x:v>-0.18790604204431727</x:v>
      </x:c>
      <x:c r="G592" s="14" t="n">
        <x:f>EXP(F592)-1</x:f>
        <x:v>-0.17130743416571892</x:v>
      </x:c>
      <x:c r="H592" s="8" t="n">
        <x:f>'Source Data'!F592</x:f>
        <x:v>361</x:v>
      </x:c>
      <x:c r="I592" s="8" t="n">
        <x:f>'Source Data'!H592</x:f>
        <x:v>186</x:v>
      </x:c>
      <x:c r="J592" s="14" t="n">
        <x:f>I592/H592-1</x:f>
        <x:v>-0.4847645429362881</x:v>
      </x:c>
      <x:c r="K592" s="8" t="n">
        <x:f>H592*('Source Data'!H$8/'Source Data'!F$8)*EXP(F592*('Source Data'!H$7-'Source Data'!F$7))</x:f>
        <x:v>173.2683927084691</x:v>
      </x:c>
      <x:c r="L592" s="14" t="n">
        <x:f>I592/K592-1</x:f>
        <x:v>0.07347911002413654</x:v>
      </x:c>
      <x:c r="M592" s="8" t="n">
        <x:f>'Source Data'!G592</x:f>
        <x:v>315</x:v>
      </x:c>
      <x:c r="N592" s="8" t="n">
        <x:f>M592*('Source Data'!H$8/'Source Data'!G$8)*EXP(F592*('Source Data'!H$7-'Source Data'!G$7))</x:f>
        <x:v>182.06647274517192</x:v>
      </x:c>
      <x:c r="O592" s="14" t="n">
        <x:f>I592/N592-1</x:f>
        <x:v>0.021604896253104355</x:v>
      </x:c>
      <x:c r="P592" s="2" t="str"/>
    </x:row>
    <x:row r="593">
      <x:c r="A593" s="2" t="str">
        <x:f>'Source Data'!A593</x:f>
        <x:v>532283</x:v>
      </x:c>
      <x:c r="B593" s="2" t="str">
        <x:f>'Source Data'!B593</x:f>
        <x:v>Home Health Equipment Rental</x:v>
      </x:c>
      <x:c r="C593" s="13" t="n">
        <x:f>LN('Source Data'!C593/'Source Data'!C$8)</x:f>
        <x:v>-9.154633506613571</x:v>
      </x:c>
      <x:c r="D593" s="13" t="n">
        <x:f>LN('Source Data'!D593/'Source Data'!D$8)</x:f>
        <x:v>-9.240121718334356</x:v>
      </x:c>
      <x:c r="E593" s="13" t="n">
        <x:f>LN('Source Data'!E593/'Source Data'!E$8)</x:f>
        <x:v>-9.2390498026059</x:v>
      </x:c>
      <x:c r="F593" s="13" t="n">
        <x:f>SLOPE(C593:E593,'Source Data'!C$7:E$7)</x:f>
        <x:v>-0.042208147996164236</x:v>
      </x:c>
      <x:c r="G593" s="14" t="n">
        <x:f>EXP(F593)-1</x:f>
        <x:v>-0.04132978548056654</x:v>
      </x:c>
      <x:c r="H593" s="8" t="n">
        <x:f>'Source Data'!F593</x:f>
        <x:v>1550</x:v>
      </x:c>
      <x:c r="I593" s="8" t="n">
        <x:f>'Source Data'!H593</x:f>
        <x:v>1491</x:v>
      </x:c>
      <x:c r="J593" s="14" t="n">
        <x:f>I593/H593-1</x:f>
        <x:v>-0.03806451612903228</x:v>
      </x:c>
      <x:c r="K593" s="8" t="n">
        <x:f>H593*('Source Data'!H$8/'Source Data'!F$8)*EXP(F593*('Source Data'!H$7-'Source Data'!F$7))</x:f>
        <x:v>1332.4379962036128</x:v>
      </x:c>
      <x:c r="L593" s="14" t="n">
        <x:f>I593/K593-1</x:f>
        <x:v>0.1190014126347061</x:v>
      </x:c>
      <x:c r="M593" s="8" t="n">
        <x:f>'Source Data'!G593</x:f>
        <x:v>1412</x:v>
      </x:c>
      <x:c r="N593" s="8" t="n">
        <x:f>M593*('Source Data'!H$8/'Source Data'!G$8)*EXP(F593*('Source Data'!H$7-'Source Data'!G$7))</x:f>
        <x:v>1263.5181816458</x:v>
      </x:c>
      <x:c r="O593" s="14" t="n">
        <x:f>I593/N593-1</x:f>
        <x:v>0.1800384210204975</x:v>
      </x:c>
      <x:c r="P593" s="2" t="str"/>
    </x:row>
    <x:row r="594">
      <x:c r="A594" s="2" t="str">
        <x:f>'Source Data'!A594</x:f>
        <x:v>532284</x:v>
      </x:c>
      <x:c r="B594" s="2" t="str">
        <x:f>'Source Data'!B594</x:f>
        <x:v>Recreational Goods Rental</x:v>
      </x:c>
      <x:c r="C594" s="13" t="n">
        <x:f>LN('Source Data'!C594/'Source Data'!C$8)</x:f>
        <x:v>-8.85005332064741</x:v>
      </x:c>
      <x:c r="D594" s="13" t="n">
        <x:f>LN('Source Data'!D594/'Source Data'!D$8)</x:f>
        <x:v>-8.79572505544335</x:v>
      </x:c>
      <x:c r="E594" s="13" t="n">
        <x:f>LN('Source Data'!E594/'Source Data'!E$8)</x:f>
        <x:v>-8.673327426207258</x:v>
      </x:c>
      <x:c r="F594" s="13" t="n">
        <x:f>SLOPE(C594:E594,'Source Data'!C$7:E$7)</x:f>
        <x:v>0.08836294722007576</x:v>
      </x:c>
      <x:c r="G594" s="14" t="n">
        <x:f>EXP(F594)-1</x:f>
        <x:v>0.09238452801431718</x:v>
      </x:c>
      <x:c r="H594" s="8" t="n">
        <x:f>'Source Data'!F594</x:f>
        <x:v>2593</x:v>
      </x:c>
      <x:c r="I594" s="8" t="n">
        <x:f>'Source Data'!H594</x:f>
        <x:v>2320</x:v>
      </x:c>
      <x:c r="J594" s="14" t="n">
        <x:f>I594/H594-1</x:f>
        <x:v>-0.10528345545699958</x:v>
      </x:c>
      <x:c r="K594" s="8" t="n">
        <x:f>H594*('Source Data'!H$8/'Source Data'!F$8)*EXP(F594*('Source Data'!H$7-'Source Data'!F$7))</x:f>
        <x:v>3757.8812473646744</x:v>
      </x:c>
      <x:c r="L594" s="14" t="n">
        <x:f>I594/K594-1</x:f>
        <x:v>-0.3826308370901904</x:v>
      </x:c>
      <x:c r="M594" s="8" t="n">
        <x:f>'Source Data'!G594</x:f>
        <x:v>2366</x:v>
      </x:c>
      <x:c r="N594" s="8" t="n">
        <x:f>M594*('Source Data'!H$8/'Source Data'!G$8)*EXP(F594*('Source Data'!H$7-'Source Data'!G$7))</x:f>
        <x:v>3132.423386233167</x:v>
      </x:c>
      <x:c r="O594" s="14" t="n">
        <x:f>I594/N594-1</x:f>
        <x:v>-0.259359379643162</x:v>
      </x:c>
      <x:c r="P594" s="2" t="str"/>
    </x:row>
    <x:row r="595">
      <x:c r="A595" s="2" t="str">
        <x:f>'Source Data'!A595</x:f>
        <x:v>532289</x:v>
      </x:c>
      <x:c r="B595" s="2" t="str">
        <x:f>'Source Data'!B595</x:f>
        <x:v>All Other Consumer Goods Rental</x:v>
      </x:c>
      <x:c r="C595" s="13" t="n">
        <x:f>LN('Source Data'!C595/'Source Data'!C$8)</x:f>
        <x:v>-7.394701017764648</x:v>
      </x:c>
      <x:c r="D595" s="13" t="n">
        <x:f>LN('Source Data'!D595/'Source Data'!D$8)</x:f>
        <x:v>-7.441689704595516</x:v>
      </x:c>
      <x:c r="E595" s="13" t="n">
        <x:f>LN('Source Data'!E595/'Source Data'!E$8)</x:f>
        <x:v>-7.423824169472563</x:v>
      </x:c>
      <x:c r="F595" s="13" t="n">
        <x:f>SLOPE(C595:E595,'Source Data'!C$7:E$7)</x:f>
        <x:v>-0.014561575853957454</x:v>
      </x:c>
      <x:c r="G595" s="14" t="n">
        <x:f>EXP(F595)-1</x:f>
        <x:v>-0.014456068845216552</x:v>
      </x:c>
      <x:c r="H595" s="8" t="n">
        <x:f>'Source Data'!F595</x:f>
        <x:v>7167</x:v>
      </x:c>
      <x:c r="I595" s="8" t="n">
        <x:f>'Source Data'!H595</x:f>
        <x:v>7441</x:v>
      </x:c>
      <x:c r="J595" s="14" t="n">
        <x:f>I595/H595-1</x:f>
        <x:v>0.038230779963722705</x:v>
      </x:c>
      <x:c r="K595" s="8" t="n">
        <x:f>H595*('Source Data'!H$8/'Source Data'!F$8)*EXP(F595*('Source Data'!H$7-'Source Data'!F$7))</x:f>
        <x:v>6881.446374451268</x:v>
      </x:c>
      <x:c r="L595" s="14" t="n">
        <x:f>I595/K595-1</x:f>
        <x:v>0.08131337441299924</x:v>
      </x:c>
      <x:c r="M595" s="8" t="n">
        <x:f>'Source Data'!G595</x:f>
        <x:v>7772</x:v>
      </x:c>
      <x:c r="N595" s="8" t="n">
        <x:f>M595*('Source Data'!H$8/'Source Data'!G$8)*EXP(F595*('Source Data'!H$7-'Source Data'!G$7))</x:f>
        <x:v>7556.1374968743</x:v>
      </x:c>
      <x:c r="O595" s="14" t="n">
        <x:f>I595/N595-1</x:f>
        <x:v>-0.015237612725010452</x:v>
      </x:c>
      <x:c r="P595" s="2" t="str"/>
    </x:row>
    <x:row r="596">
      <x:c r="A596" s="2" t="str">
        <x:f>'Source Data'!A596</x:f>
        <x:v>532310</x:v>
      </x:c>
      <x:c r="B596" s="2" t="str">
        <x:f>'Source Data'!B596</x:f>
        <x:v>General Rental Centers</x:v>
      </x:c>
      <x:c r="C596" s="13" t="n">
        <x:f>LN('Source Data'!C596/'Source Data'!C$8)</x:f>
        <x:v>-8.416200451116893</x:v>
      </x:c>
      <x:c r="D596" s="13" t="n">
        <x:f>LN('Source Data'!D596/'Source Data'!D$8)</x:f>
        <x:v>-8.424426426507994</x:v>
      </x:c>
      <x:c r="E596" s="13" t="n">
        <x:f>LN('Source Data'!E596/'Source Data'!E$8)</x:f>
        <x:v>-8.563342896667564</x:v>
      </x:c>
      <x:c r="F596" s="13" t="n">
        <x:f>SLOPE(C596:E596,'Source Data'!C$7:E$7)</x:f>
        <x:v>-0.07357122277533534</x:v>
      </x:c>
      <x:c r="G596" s="14" t="n">
        <x:f>EXP(F596)-1</x:f>
        <x:v>-0.07093002750689736</x:v>
      </x:c>
      <x:c r="H596" s="8" t="n">
        <x:f>'Source Data'!F596</x:f>
        <x:v>2746</x:v>
      </x:c>
      <x:c r="I596" s="8" t="n">
        <x:f>'Source Data'!H596</x:f>
        <x:v>2563</x:v>
      </x:c>
      <x:c r="J596" s="14" t="n">
        <x:f>I596/H596-1</x:f>
        <x:v>-0.06664238892935181</x:v>
      </x:c>
      <x:c r="K596" s="8" t="n">
        <x:f>H596*('Source Data'!H$8/'Source Data'!F$8)*EXP(F596*('Source Data'!H$7-'Source Data'!F$7))</x:f>
        <x:v>2082.248712149802</x:v>
      </x:c>
      <x:c r="L596" s="14" t="n">
        <x:f>I596/K596-1</x:f>
        <x:v>0.2308808189170879</x:v>
      </x:c>
      <x:c r="M596" s="8" t="n">
        <x:f>'Source Data'!G596</x:f>
        <x:v>2721</x:v>
      </x:c>
      <x:c r="N596" s="8" t="n">
        <x:f>M596*('Source Data'!H$8/'Source Data'!G$8)*EXP(F596*('Source Data'!H$7-'Source Data'!G$7))</x:f>
        <x:v>2216.220204125259</x:v>
      </x:c>
      <x:c r="O596" s="14" t="n">
        <x:f>I596/N596-1</x:f>
        <x:v>0.15647352877175624</x:v>
      </x:c>
      <x:c r="P596" s="2" t="str"/>
    </x:row>
    <x:row r="597">
      <x:c r="A597" s="2" t="str">
        <x:f>'Source Data'!A597</x:f>
        <x:v>532411</x:v>
      </x:c>
      <x:c r="B597" s="2" t="str">
        <x:f>'Source Data'!B597</x:f>
        <x:v>Commercial Air, Rail, and Water Transportation Equipment Rental and Leasing</x:v>
      </x:c>
      <x:c r="C597" s="13" t="n">
        <x:f>LN('Source Data'!C597/'Source Data'!C$8)</x:f>
        <x:v>-10.069932010855469</x:v>
      </x:c>
      <x:c r="D597" s="13" t="n">
        <x:f>LN('Source Data'!D597/'Source Data'!D$8)</x:f>
        <x:v>-9.742060473510143</x:v>
      </x:c>
      <x:c r="E597" s="13" t="n">
        <x:f>LN('Source Data'!E597/'Source Data'!E$8)</x:f>
        <x:v>-9.784588104842527</x:v>
      </x:c>
      <x:c r="F597" s="13" t="n">
        <x:f>SLOPE(C597:E597,'Source Data'!C$7:E$7)</x:f>
        <x:v>0.14267195300647106</x:v>
      </x:c>
      <x:c r="G597" s="14" t="n">
        <x:f>EXP(F597)-1</x:f>
        <x:v>0.15335138614565968</x:v>
      </x:c>
      <x:c r="H597" s="8" t="n">
        <x:f>'Source Data'!F597</x:f>
        <x:v>647</x:v>
      </x:c>
      <x:c r="I597" s="8" t="n">
        <x:f>'Source Data'!H597</x:f>
        <x:v>552</x:v>
      </x:c>
      <x:c r="J597" s="14" t="n">
        <x:f>I597/H597-1</x:f>
        <x:v>-0.14683153013910355</x:v>
      </x:c>
      <x:c r="K597" s="8" t="n">
        <x:f>H597*('Source Data'!H$8/'Source Data'!F$8)*EXP(F597*('Source Data'!H$7-'Source Data'!F$7))</x:f>
        <x:v>1165.169806028183</x:v>
      </x:c>
      <x:c r="L597" s="14" t="n">
        <x:f>I597/K597-1</x:f>
        <x:v>-0.5262493096335452</x:v>
      </x:c>
      <x:c r="M597" s="8" t="n">
        <x:f>'Source Data'!G597</x:f>
        <x:v>612</x:v>
      </x:c>
      <x:c r="N597" s="8" t="n">
        <x:f>M597*('Source Data'!H$8/'Source Data'!G$8)*EXP(F597*('Source Data'!H$7-'Source Data'!G$7))</x:f>
        <x:v>953.620204887095</x:v>
      </x:c>
      <x:c r="O597" s="14" t="n">
        <x:f>I597/N597-1</x:f>
        <x:v>-0.4211532042094739</x:v>
      </x:c>
      <x:c r="P597" s="2" t="str"/>
    </x:row>
    <x:row r="598">
      <x:c r="A598" s="2" t="str">
        <x:f>'Source Data'!A598</x:f>
        <x:v>532412</x:v>
      </x:c>
      <x:c r="B598" s="2" t="str">
        <x:f>'Source Data'!B598</x:f>
        <x:v>Construction, Mining, and Forestry Machinery and Equipment Rental and Leasing</x:v>
      </x:c>
      <x:c r="C598" s="13" t="n">
        <x:f>LN('Source Data'!C598/'Source Data'!C$8)</x:f>
        <x:v>-7.580490205902078</x:v>
      </x:c>
      <x:c r="D598" s="13" t="n">
        <x:f>LN('Source Data'!D598/'Source Data'!D$8)</x:f>
        <x:v>-7.520809181283987</x:v>
      </x:c>
      <x:c r="E598" s="13" t="n">
        <x:f>LN('Source Data'!E598/'Source Data'!E$8)</x:f>
        <x:v>-7.495700210252933</x:v>
      </x:c>
      <x:c r="F598" s="13" t="n">
        <x:f>SLOPE(C598:E598,'Source Data'!C$7:E$7)</x:f>
        <x:v>0.04239499782457257</x:v>
      </x:c>
      <x:c r="G598" s="14" t="n">
        <x:f>EXP(F598)-1</x:f>
        <x:v>0.0433065011697511</x:v>
      </x:c>
      <x:c r="H598" s="8" t="n">
        <x:f>'Source Data'!F598</x:f>
        <x:v>8836</x:v>
      </x:c>
      <x:c r="I598" s="8" t="n">
        <x:f>'Source Data'!H598</x:f>
        <x:v>9816</x:v>
      </x:c>
      <x:c r="J598" s="14" t="n">
        <x:f>I598/H598-1</x:f>
        <x:v>0.11090991398822991</x:v>
      </x:c>
      <x:c r="K598" s="8" t="n">
        <x:f>H598*('Source Data'!H$8/'Source Data'!F$8)*EXP(F598*('Source Data'!H$7-'Source Data'!F$7))</x:f>
        <x:v>10654.712493669522</x:v>
      </x:c>
      <x:c r="L598" s="14" t="n">
        <x:f>I598/K598-1</x:f>
        <x:v>-0.07871751529361692</x:v>
      </x:c>
      <x:c r="M598" s="8" t="n">
        <x:f>'Source Data'!G598</x:f>
        <x:v>9477</x:v>
      </x:c>
      <x:c r="N598" s="8" t="n">
        <x:f>M598*('Source Data'!H$8/'Source Data'!G$8)*EXP(F598*('Source Data'!H$7-'Source Data'!G$7))</x:f>
        <x:v>10930.643187549142</x:v>
      </x:c>
      <x:c r="O598" s="14" t="n">
        <x:f>I598/N598-1</x:f>
        <x:v>-0.10197416276645166</x:v>
      </x:c>
      <x:c r="P598" s="2" t="str"/>
    </x:row>
    <x:row r="599">
      <x:c r="A599" s="2" t="str">
        <x:f>'Source Data'!A599</x:f>
        <x:v>532420</x:v>
      </x:c>
      <x:c r="B599" s="2" t="str">
        <x:f>'Source Data'!B599</x:f>
        <x:v>Office Machinery and Equipment Rental and Leasing</x:v>
      </x:c>
      <x:c r="C599" s="13" t="n">
        <x:f>LN('Source Data'!C599/'Source Data'!C$8)</x:f>
        <x:v>-9.618698484291723</x:v>
      </x:c>
      <x:c r="D599" s="13" t="n">
        <x:f>LN('Source Data'!D599/'Source Data'!D$8)</x:f>
        <x:v>-9.645586826442521</x:v>
      </x:c>
      <x:c r="E599" s="13" t="n">
        <x:f>LN('Source Data'!E599/'Source Data'!E$8)</x:f>
        <x:v>-9.631119553281827</x:v>
      </x:c>
      <x:c r="F599" s="13" t="n">
        <x:f>SLOPE(C599:E599,'Source Data'!C$7:E$7)</x:f>
        <x:v>-0.006210534495052045</x:v>
      </x:c>
      <x:c r="G599" s="14" t="n">
        <x:f>EXP(F599)-1</x:f>
        <x:v>-0.006191288987934862</x:v>
      </x:c>
      <x:c r="H599" s="8" t="n">
        <x:f>'Source Data'!F599</x:f>
        <x:v>1067</x:v>
      </x:c>
      <x:c r="I599" s="8" t="n">
        <x:f>'Source Data'!H599</x:f>
        <x:v>1070</x:v>
      </x:c>
      <x:c r="J599" s="14" t="n">
        <x:f>I599/H599-1</x:f>
        <x:v>0.00281162136832247</x:v>
      </x:c>
      <x:c r="K599" s="8" t="n">
        <x:f>H599*('Source Data'!H$8/'Source Data'!F$8)*EXP(F599*('Source Data'!H$7-'Source Data'!F$7))</x:f>
        <x:v>1059.2878465280996</x:v>
      </x:c>
      <x:c r="L599" s="14" t="n">
        <x:f>I599/K599-1</x:f>
        <x:v>0.010112599240150066</x:v>
      </x:c>
      <x:c r="M599" s="8" t="n">
        <x:f>'Source Data'!G599</x:f>
        <x:v>1302</x:v>
      </x:c>
      <x:c r="N599" s="8" t="n">
        <x:f>M599*('Source Data'!H$8/'Source Data'!G$8)*EXP(F599*('Source Data'!H$7-'Source Data'!G$7))</x:f>
        <x:v>1297.9515395359845</x:v>
      </x:c>
      <x:c r="O599" s="14" t="n">
        <x:f>I599/N599-1</x:f>
        <x:v>-0.17562407577826578</x:v>
      </x:c>
      <x:c r="P599" s="2" t="str"/>
    </x:row>
    <x:row r="600">
      <x:c r="A600" s="2" t="str">
        <x:f>'Source Data'!A600</x:f>
        <x:v>532490</x:v>
      </x:c>
      <x:c r="B600" s="2" t="str">
        <x:f>'Source Data'!B600</x:f>
        <x:v>Other Commercial and Industrial Machinery and Equipment Rental and Leasing</x:v>
      </x:c>
      <x:c r="C600" s="13" t="n">
        <x:f>LN('Source Data'!C600/'Source Data'!C$8)</x:f>
        <x:v>-7.213841852145499</x:v>
      </x:c>
      <x:c r="D600" s="13" t="n">
        <x:f>LN('Source Data'!D600/'Source Data'!D$8)</x:f>
        <x:v>-7.1864679094594885</x:v>
      </x:c>
      <x:c r="E600" s="13" t="n">
        <x:f>LN('Source Data'!E600/'Source Data'!E$8)</x:f>
        <x:v>-7.112499018692935</x:v>
      </x:c>
      <x:c r="F600" s="13" t="n">
        <x:f>SLOPE(C600:E600,'Source Data'!C$7:E$7)</x:f>
        <x:v>0.05067141672628184</x:v>
      </x:c>
      <x:c r="G600" s="14" t="n">
        <x:f>EXP(F600)-1</x:f>
        <x:v>0.05197717438375471</x:v>
      </x:c>
      <x:c r="H600" s="8" t="n">
        <x:f>'Source Data'!F600</x:f>
        <x:v>11504</x:v>
      </x:c>
      <x:c r="I600" s="8" t="n">
        <x:f>'Source Data'!H600</x:f>
        <x:v>13218</x:v>
      </x:c>
      <x:c r="J600" s="14" t="n">
        <x:f>I600/H600-1</x:f>
        <x:v>0.14899165507649514</x:v>
      </x:c>
      <x:c r="K600" s="8" t="n">
        <x:f>H600*('Source Data'!H$8/'Source Data'!F$8)*EXP(F600*('Source Data'!H$7-'Source Data'!F$7))</x:f>
        <x:v>14338.790297241601</x:v>
      </x:c>
      <x:c r="L600" s="14" t="n">
        <x:f>I600/K600-1</x:f>
        <x:v>-0.07816491307897933</x:v>
      </x:c>
      <x:c r="M600" s="8" t="n">
        <x:f>'Source Data'!G600</x:f>
        <x:v>12485</x:v>
      </x:c>
      <x:c r="N600" s="8" t="n">
        <x:f>M600*('Source Data'!H$8/'Source Data'!G$8)*EXP(F600*('Source Data'!H$7-'Source Data'!G$7))</x:f>
        <x:v>14762.047314181276</x:v>
      </x:c>
      <x:c r="O600" s="14" t="n">
        <x:f>I600/N600-1</x:f>
        <x:v>-0.10459574348457579</x:v>
      </x:c>
      <x:c r="P600" s="2" t="str"/>
    </x:row>
    <x:row r="601">
      <x:c r="A601" s="2" t="str">
        <x:f>'Source Data'!A601</x:f>
        <x:v>533110</x:v>
      </x:c>
      <x:c r="B601" s="2" t="str">
        <x:f>'Source Data'!B601</x:f>
        <x:v>Lessors of Nonfinancial Intangible Assets (except Copyrighted Works)</x:v>
      </x:c>
      <x:c r="C601" s="13" t="n">
        <x:f>LN('Source Data'!C601/'Source Data'!C$8)</x:f>
        <x:v>-8.585326717492014</x:v>
      </x:c>
      <x:c r="D601" s="13" t="n">
        <x:f>LN('Source Data'!D601/'Source Data'!D$8)</x:f>
        <x:v>-8.720874992171957</x:v>
      </x:c>
      <x:c r="E601" s="13" t="n">
        <x:f>LN('Source Data'!E601/'Source Data'!E$8)</x:f>
        <x:v>-8.777553907635294</x:v>
      </x:c>
      <x:c r="F601" s="13" t="n">
        <x:f>SLOPE(C601:E601,'Source Data'!C$7:E$7)</x:f>
        <x:v>-0.09611359507163986</x:v>
      </x:c>
      <x:c r="G601" s="14" t="n">
        <x:f>EXP(F601)-1</x:f>
        <x:v>-0.09163917510516606</x:v>
      </x:c>
      <x:c r="H601" s="8" t="n">
        <x:f>'Source Data'!F601</x:f>
        <x:v>2216</x:v>
      </x:c>
      <x:c r="I601" s="8" t="n">
        <x:f>'Source Data'!H601</x:f>
        <x:v>2097</x:v>
      </x:c>
      <x:c r="J601" s="14" t="n">
        <x:f>I601/H601-1</x:f>
        <x:v>-0.05370036101083031</x:v>
      </x:c>
      <x:c r="K601" s="8" t="n">
        <x:f>H601*('Source Data'!H$8/'Source Data'!F$8)*EXP(F601*('Source Data'!H$7-'Source Data'!F$7))</x:f>
        <x:v>1535.471336779954</x:v>
      </x:c>
      <x:c r="L601" s="14" t="n">
        <x:f>I601/K601-1</x:f>
        <x:v>0.36570442558545646</x:v>
      </x:c>
      <x:c r="M601" s="8" t="n">
        <x:f>'Source Data'!G601</x:f>
        <x:v>2099</x:v>
      </x:c>
      <x:c r="N601" s="8" t="n">
        <x:f>M601*('Source Data'!H$8/'Source Data'!G$8)*EXP(F601*('Source Data'!H$7-'Source Data'!G$7))</x:f>
        <x:v>1597.8158424627902</x:v>
      </x:c>
      <x:c r="O601" s="14" t="n">
        <x:f>I601/N601-1</x:f>
        <x:v>0.3124165778502943</x:v>
      </x:c>
      <x:c r="P601" s="2" t="str"/>
    </x:row>
    <x:row r="602">
      <x:c r="A602" s="2" t="str">
        <x:f>'Source Data'!A602</x:f>
        <x:v>541110</x:v>
      </x:c>
      <x:c r="B602" s="2" t="str">
        <x:f>'Source Data'!B602</x:f>
        <x:v>Offices of Lawyers</x:v>
      </x:c>
      <x:c r="C602" s="13" t="n">
        <x:f>LN('Source Data'!C602/'Source Data'!C$8)</x:f>
        <x:v>-4.707662555418223</x:v>
      </x:c>
      <x:c r="D602" s="13" t="n">
        <x:f>LN('Source Data'!D602/'Source Data'!D$8)</x:f>
        <x:v>-4.709820893648905</x:v>
      </x:c>
      <x:c r="E602" s="13" t="n">
        <x:f>LN('Source Data'!E602/'Source Data'!E$8)</x:f>
        <x:v>-4.713045576428061</x:v>
      </x:c>
      <x:c r="F602" s="13" t="n">
        <x:f>SLOPE(C602:E602,'Source Data'!C$7:E$7)</x:f>
        <x:v>-0.0026915105049187815</x:v>
      </x:c>
      <x:c r="G602" s="14" t="n">
        <x:f>EXP(F602)-1</x:f>
        <x:v>-0.0026878916379873274</x:v>
      </x:c>
      <x:c r="H602" s="8" t="n">
        <x:f>'Source Data'!F602</x:f>
        <x:v>134901</x:v>
      </x:c>
      <x:c r="I602" s="8" t="n">
        <x:f>'Source Data'!H602</x:f>
        <x:v>149645</x:v>
      </x:c>
      <x:c r="J602" s="14" t="n">
        <x:f>I602/H602-1</x:f>
        <x:v>0.10929496445541553</x:v>
      </x:c>
      <x:c r="K602" s="8" t="n">
        <x:f>H602*('Source Data'!H$8/'Source Data'!F$8)*EXP(F602*('Source Data'!H$7-'Source Data'!F$7))</x:f>
        <x:v>135824.4358827834</x:v>
      </x:c>
      <x:c r="L602" s="14" t="n">
        <x:f>I602/K602-1</x:f>
        <x:v>0.10175314940489621</x:v>
      </x:c>
      <x:c r="M602" s="8" t="n">
        <x:f>'Source Data'!G602</x:f>
        <x:v>138173</x:v>
      </x:c>
      <x:c r="N602" s="8" t="n">
        <x:f>M602*('Source Data'!H$8/'Source Data'!G$8)*EXP(F602*('Source Data'!H$7-'Source Data'!G$7))</x:f>
        <x:v>139205.2321205816</x:v>
      </x:c>
      <x:c r="O602" s="14" t="n">
        <x:f>I602/N602-1</x:f>
        <x:v>0.07499551360523071</x:v>
      </x:c>
      <x:c r="P602" s="2" t="str"/>
    </x:row>
    <x:row r="603">
      <x:c r="A603" s="2" t="str">
        <x:f>'Source Data'!A603</x:f>
        <x:v>541191</x:v>
      </x:c>
      <x:c r="B603" s="2" t="str">
        <x:f>'Source Data'!B603</x:f>
        <x:v>Title Abstract and Settlement Offices</x:v>
      </x:c>
      <x:c r="C603" s="13" t="n">
        <x:f>LN('Source Data'!C603/'Source Data'!C$8)</x:f>
        <x:v>-8.635241108873728</x:v>
      </x:c>
      <x:c r="D603" s="13" t="n">
        <x:f>LN('Source Data'!D603/'Source Data'!D$8)</x:f>
        <x:v>-8.627663449024555</x:v>
      </x:c>
      <x:c r="E603" s="13" t="n">
        <x:f>LN('Source Data'!E603/'Source Data'!E$8)</x:f>
        <x:v>-8.670190168732125</x:v>
      </x:c>
      <x:c r="F603" s="13" t="n">
        <x:f>SLOPE(C603:E603,'Source Data'!C$7:E$7)</x:f>
        <x:v>-0.01747452992919829</x:v>
      </x:c>
      <x:c r="G603" s="14" t="n">
        <x:f>EXP(F603)-1</x:f>
        <x:v>-0.017322735794172983</x:v>
      </x:c>
      <x:c r="H603" s="8" t="n">
        <x:f>'Source Data'!F603</x:f>
        <x:v>3050</x:v>
      </x:c>
      <x:c r="I603" s="8" t="n">
        <x:f>'Source Data'!H603</x:f>
        <x:v>2387</x:v>
      </x:c>
      <x:c r="J603" s="14" t="n">
        <x:f>I603/H603-1</x:f>
        <x:v>-0.21737704918032785</x:v>
      </x:c>
      <x:c r="K603" s="8" t="n">
        <x:f>H603*('Source Data'!H$8/'Source Data'!F$8)*EXP(F603*('Source Data'!H$7-'Source Data'!F$7))</x:f>
        <x:v>2894.5552607717264</x:v>
      </x:c>
      <x:c r="L603" s="14" t="n">
        <x:f>I603/K603-1</x:f>
        <x:v>-0.17534827116632956</x:v>
      </x:c>
      <x:c r="M603" s="8" t="n">
        <x:f>'Source Data'!G603</x:f>
        <x:v>2421</x:v>
      </x:c>
      <x:c r="N603" s="8" t="n">
        <x:f>M603*('Source Data'!H$8/'Source Data'!G$8)*EXP(F603*('Source Data'!H$7-'Source Data'!G$7))</x:f>
        <x:v>2333.278664782974</x:v>
      </x:c>
      <x:c r="O603" s="14" t="n">
        <x:f>I603/N603-1</x:f>
        <x:v>0.023023968816010543</x:v>
      </x:c>
      <x:c r="P603" s="2" t="str"/>
    </x:row>
    <x:row r="604">
      <x:c r="A604" s="2" t="str">
        <x:f>'Source Data'!A604</x:f>
        <x:v>541199</x:v>
      </x:c>
      <x:c r="B604" s="2" t="str">
        <x:f>'Source Data'!B604</x:f>
        <x:v>All Other Legal Services</x:v>
      </x:c>
      <x:c r="C604" s="13" t="n">
        <x:f>LN('Source Data'!C604/'Source Data'!C$8)</x:f>
        <x:v>-7.834334717024798</x:v>
      </x:c>
      <x:c r="D604" s="13" t="n">
        <x:f>LN('Source Data'!D604/'Source Data'!D$8)</x:f>
        <x:v>-7.847679976829537</x:v>
      </x:c>
      <x:c r="E604" s="13" t="n">
        <x:f>LN('Source Data'!E604/'Source Data'!E$8)</x:f>
        <x:v>-7.885798869539238</x:v>
      </x:c>
      <x:c r="F604" s="13" t="n">
        <x:f>SLOPE(C604:E604,'Source Data'!C$7:E$7)</x:f>
        <x:v>-0.025732076257220182</x:v>
      </x:c>
      <x:c r="G604" s="14" t="n">
        <x:f>EXP(F604)-1</x:f>
        <x:v>-0.02540382791378548</x:v>
      </x:c>
      <x:c r="H604" s="8" t="n">
        <x:f>'Source Data'!F604</x:f>
        <x:v>5329</x:v>
      </x:c>
      <x:c r="I604" s="8" t="n">
        <x:f>'Source Data'!H604</x:f>
        <x:v>6654</x:v>
      </x:c>
      <x:c r="J604" s="14" t="n">
        <x:f>I604/H604-1</x:f>
        <x:v>0.2486395196096829</x:v>
      </x:c>
      <x:c r="K604" s="8" t="n">
        <x:f>H604*('Source Data'!H$8/'Source Data'!F$8)*EXP(F604*('Source Data'!H$7-'Source Data'!F$7))</x:f>
        <x:v>4893.086563209136</x:v>
      </x:c>
      <x:c r="L604" s="14" t="n">
        <x:f>I604/K604-1</x:f>
        <x:v>0.35987784275697887</x:v>
      </x:c>
      <x:c r="M604" s="8" t="n">
        <x:f>'Source Data'!G604</x:f>
        <x:v>5106</x:v>
      </x:c>
      <x:c r="N604" s="8" t="n">
        <x:f>M604*('Source Data'!H$8/'Source Data'!G$8)*EXP(F604*('Source Data'!H$7-'Source Data'!G$7))</x:f>
        <x:v>4800.5833059968445</x:v>
      </x:c>
      <x:c r="O604" s="14" t="n">
        <x:f>I604/N604-1</x:f>
        <x:v>0.3860815604820116</x:v>
      </x:c>
      <x:c r="P604" s="2" t="str"/>
    </x:row>
    <x:row r="605">
      <x:c r="A605" s="2" t="str">
        <x:f>'Source Data'!A605</x:f>
        <x:v>541211</x:v>
      </x:c>
      <x:c r="B605" s="2" t="str">
        <x:f>'Source Data'!B605</x:f>
        <x:v>Offices of Certified Public Accountants</x:v>
      </x:c>
      <x:c r="C605" s="13" t="n">
        <x:f>LN('Source Data'!C605/'Source Data'!C$8)</x:f>
        <x:v>-5.548844362115785</x:v>
      </x:c>
      <x:c r="D605" s="13" t="n">
        <x:f>LN('Source Data'!D605/'Source Data'!D$8)</x:f>
        <x:v>-5.561442097655543</x:v>
      </x:c>
      <x:c r="E605" s="13" t="n">
        <x:f>LN('Source Data'!E605/'Source Data'!E$8)</x:f>
        <x:v>-5.554276276663584</x:v>
      </x:c>
      <x:c r="F605" s="13" t="n">
        <x:f>SLOPE(C605:E605,'Source Data'!C$7:E$7)</x:f>
        <x:v>-0.0027159572738995053</x:v>
      </x:c>
      <x:c r="G605" s="14" t="n">
        <x:f>EXP(F605)-1</x:f>
        <x:v>-0.0027122723986854336</x:v>
      </x:c>
      <x:c r="H605" s="8" t="n">
        <x:f>'Source Data'!F605</x:f>
        <x:v>59254</x:v>
      </x:c>
      <x:c r="I605" s="8" t="n">
        <x:f>'Source Data'!H605</x:f>
        <x:v>57758</x:v>
      </x:c>
      <x:c r="J605" s="14" t="n">
        <x:f>I605/H605-1</x:f>
        <x:v>-0.025247240692611417</x:v>
      </x:c>
      <x:c r="K605" s="8" t="n">
        <x:f>H605*('Source Data'!H$8/'Source Data'!F$8)*EXP(F605*('Source Data'!H$7-'Source Data'!F$7))</x:f>
        <x:v>59653.77690372571</x:v>
      </x:c>
      <x:c r="L605" s="14" t="n">
        <x:f>I605/K605-1</x:f>
        <x:v>-0.03177966261524856</x:v>
      </x:c>
      <x:c r="M605" s="8" t="n">
        <x:f>'Source Data'!G605</x:f>
        <x:v>62102</x:v>
      </x:c>
      <x:c r="N605" s="8" t="n">
        <x:f>M605*('Source Data'!H$8/'Source Data'!G$8)*EXP(F605*('Source Data'!H$7-'Source Data'!G$7))</x:f>
        <x:v>62561.349374127305</x:v>
      </x:c>
      <x:c r="O605" s="14" t="n">
        <x:f>I605/N605-1</x:f>
        <x:v>-0.07677822524898681</x:v>
      </x:c>
      <x:c r="P605" s="2" t="str"/>
    </x:row>
    <x:row r="606">
      <x:c r="A606" s="2" t="str">
        <x:f>'Source Data'!A606</x:f>
        <x:v>541213</x:v>
      </x:c>
      <x:c r="B606" s="2" t="str">
        <x:f>'Source Data'!B606</x:f>
        <x:v>Tax Preparation Services</x:v>
      </x:c>
      <x:c r="C606" s="13" t="n">
        <x:f>LN('Source Data'!C606/'Source Data'!C$8)</x:f>
        <x:v>-6.544106388632377</x:v>
      </x:c>
      <x:c r="D606" s="13" t="n">
        <x:f>LN('Source Data'!D606/'Source Data'!D$8)</x:f>
        <x:v>-6.551761395423153</x:v>
      </x:c>
      <x:c r="E606" s="13" t="n">
        <x:f>LN('Source Data'!E606/'Source Data'!E$8)</x:f>
        <x:v>-6.594131397774095</x:v>
      </x:c>
      <x:c r="F606" s="13" t="n">
        <x:f>SLOPE(C606:E606,'Source Data'!C$7:E$7)</x:f>
        <x:v>-0.02501250457085913</x:v>
      </x:c>
      <x:c r="G606" s="14" t="n">
        <x:f>EXP(F606)-1</x:f>
        <x:v>-0.024702283727320418</x:v>
      </x:c>
      <x:c r="H606" s="8" t="n">
        <x:f>'Source Data'!F606</x:f>
        <x:v>19742</x:v>
      </x:c>
      <x:c r="I606" s="8" t="n">
        <x:f>'Source Data'!H606</x:f>
        <x:v>19529</x:v>
      </x:c>
      <x:c r="J606" s="14" t="n">
        <x:f>I606/H606-1</x:f>
        <x:v>-0.010789180427514977</x:v>
      </x:c>
      <x:c r="K606" s="8" t="n">
        <x:f>H606*('Source Data'!H$8/'Source Data'!F$8)*EXP(F606*('Source Data'!H$7-'Source Data'!F$7))</x:f>
        <x:v>18179.34996866667</x:v>
      </x:c>
      <x:c r="L606" s="14" t="n">
        <x:f>I606/K606-1</x:f>
        <x:v>0.07424083004395343</x:v>
      </x:c>
      <x:c r="M606" s="8" t="n">
        <x:f>'Source Data'!G606</x:f>
        <x:v>20534</x:v>
      </x:c>
      <x:c r="N606" s="8" t="n">
        <x:f>M606*('Source Data'!H$8/'Source Data'!G$8)*EXP(F606*('Source Data'!H$7-'Source Data'!G$7))</x:f>
        <x:v>19347.474182082457</x:v>
      </x:c>
      <x:c r="O606" s="14" t="n">
        <x:f>I606/N606-1</x:f>
        <x:v>0.009382403935995542</x:v>
      </x:c>
      <x:c r="P606" s="2" t="str"/>
    </x:row>
    <x:row r="607">
      <x:c r="A607" s="2" t="str">
        <x:f>'Source Data'!A607</x:f>
        <x:v>541214</x:v>
      </x:c>
      <x:c r="B607" s="2" t="str">
        <x:f>'Source Data'!B607</x:f>
        <x:v>Payroll Services</x:v>
      </x:c>
      <x:c r="C607" s="13" t="n">
        <x:f>LN('Source Data'!C607/'Source Data'!C$8)</x:f>
        <x:v>-6.299015653166512</x:v>
      </x:c>
      <x:c r="D607" s="13" t="n">
        <x:f>LN('Source Data'!D607/'Source Data'!D$8)</x:f>
        <x:v>-6.159285570672669</x:v>
      </x:c>
      <x:c r="E607" s="13" t="n">
        <x:f>LN('Source Data'!E607/'Source Data'!E$8)</x:f>
        <x:v>-6.120231230042743</x:v>
      </x:c>
      <x:c r="F607" s="13" t="n">
        <x:f>SLOPE(C607:E607,'Source Data'!C$7:E$7)</x:f>
        <x:v>0.0893922115618846</x:v>
      </x:c>
      <x:c r="G607" s="14" t="n">
        <x:f>EXP(F607)-1</x:f>
        <x:v>0.09350945928305565</x:v>
      </x:c>
      <x:c r="H607" s="8" t="n">
        <x:f>'Source Data'!F607</x:f>
        <x:v>37736</x:v>
      </x:c>
      <x:c r="I607" s="8" t="n">
        <x:f>'Source Data'!H607</x:f>
        <x:v>44109</x:v>
      </x:c>
      <x:c r="J607" s="14" t="n">
        <x:f>I607/H607-1</x:f>
        <x:v>0.16888382446470218</x:v>
      </x:c>
      <x:c r="K607" s="8" t="n">
        <x:f>H607*('Source Data'!H$8/'Source Data'!F$8)*EXP(F607*('Source Data'!H$7-'Source Data'!F$7))</x:f>
        <x:v>54914.16870786353</x:v>
      </x:c>
      <x:c r="L607" s="14" t="n">
        <x:f>I607/K607-1</x:f>
        <x:v>-0.19676467771634076</x:v>
      </x:c>
      <x:c r="M607" s="8" t="n">
        <x:f>'Source Data'!G607</x:f>
        <x:v>38054</x:v>
      </x:c>
      <x:c r="N607" s="8" t="n">
        <x:f>M607*('Source Data'!H$8/'Source Data'!G$8)*EXP(F607*('Source Data'!H$7-'Source Data'!G$7))</x:f>
        <x:v>50536.7189945902</x:v>
      </x:c>
      <x:c r="O607" s="14" t="n">
        <x:f>I607/N607-1</x:f>
        <x:v>-0.1271890839466303</x:v>
      </x:c>
      <x:c r="P607" s="2" t="str"/>
    </x:row>
    <x:row r="608">
      <x:c r="A608" s="2" t="str">
        <x:f>'Source Data'!A608</x:f>
        <x:v>541219</x:v>
      </x:c>
      <x:c r="B608" s="2" t="str">
        <x:f>'Source Data'!B608</x:f>
        <x:v>Other Accounting Services</x:v>
      </x:c>
      <x:c r="C608" s="13" t="n">
        <x:f>LN('Source Data'!C608/'Source Data'!C$8)</x:f>
        <x:v>-6.216378925488382</x:v>
      </x:c>
      <x:c r="D608" s="13" t="n">
        <x:f>LN('Source Data'!D608/'Source Data'!D$8)</x:f>
        <x:v>-6.208467384615111</x:v>
      </x:c>
      <x:c r="E608" s="13" t="n">
        <x:f>LN('Source Data'!E608/'Source Data'!E$8)</x:f>
        <x:v>-6.192816387892297</x:v>
      </x:c>
      <x:c r="F608" s="13" t="n">
        <x:f>SLOPE(C608:E608,'Source Data'!C$7:E$7)</x:f>
        <x:v>0.011781268798042532</x:v>
      </x:c>
      <x:c r="G608" s="14" t="n">
        <x:f>EXP(F608)-1</x:f>
        <x:v>0.011850941286559724</x:v>
      </x:c>
      <x:c r="H608" s="8" t="n">
        <x:f>'Source Data'!F608</x:f>
        <x:v>33885</x:v>
      </x:c>
      <x:c r="I608" s="8" t="n">
        <x:f>'Source Data'!H608</x:f>
        <x:v>29232</x:v>
      </x:c>
      <x:c r="J608" s="14" t="n">
        <x:f>I608/H608-1</x:f>
        <x:v>-0.13731739707835322</x:v>
      </x:c>
      <x:c r="K608" s="8" t="n">
        <x:f>H608*('Source Data'!H$8/'Source Data'!F$8)*EXP(F608*('Source Data'!H$7-'Source Data'!F$7))</x:f>
        <x:v>36150.30981674884</x:v>
      </x:c>
      <x:c r="L608" s="14" t="n">
        <x:f>I608/K608-1</x:f>
        <x:v>-0.1913762247631834</x:v>
      </x:c>
      <x:c r="M608" s="8" t="n">
        <x:f>'Source Data'!G608</x:f>
        <x:v>30149</x:v>
      </x:c>
      <x:c r="N608" s="8" t="n">
        <x:f>M608*('Source Data'!H$8/'Source Data'!G$8)*EXP(F608*('Source Data'!H$7-'Source Data'!G$7))</x:f>
        <x:v>31722.07796026463</x:v>
      </x:c>
      <x:c r="O608" s="14" t="n">
        <x:f>I608/N608-1</x:f>
        <x:v>-0.07849668497075524</x:v>
      </x:c>
      <x:c r="P608" s="2" t="str"/>
    </x:row>
    <x:row r="609">
      <x:c r="A609" s="2" t="str">
        <x:f>'Source Data'!A609</x:f>
        <x:v>541310</x:v>
      </x:c>
      <x:c r="B609" s="2" t="str">
        <x:f>'Source Data'!B609</x:f>
        <x:v>Architectural Services</x:v>
      </x:c>
      <x:c r="C609" s="13" t="n">
        <x:f>LN('Source Data'!C609/'Source Data'!C$8)</x:f>
        <x:v>-6.235093542611213</x:v>
      </x:c>
      <x:c r="D609" s="13" t="n">
        <x:f>LN('Source Data'!D609/'Source Data'!D$8)</x:f>
        <x:v>-6.219370307186448</x:v>
      </x:c>
      <x:c r="E609" s="13" t="n">
        <x:f>LN('Source Data'!E609/'Source Data'!E$8)</x:f>
        <x:v>-6.210159684009605</x:v>
      </x:c>
      <x:c r="F609" s="13" t="n">
        <x:f>SLOPE(C609:E609,'Source Data'!C$7:E$7)</x:f>
        <x:v>0.01246692930080373</x:v>
      </x:c>
      <x:c r="G609" s="14" t="n">
        <x:f>EXP(F609)-1</x:f>
        <x:v>0.012544965416958709</x:v>
      </x:c>
      <x:c r="H609" s="8" t="n">
        <x:f>'Source Data'!F609</x:f>
        <x:v>29062</x:v>
      </x:c>
      <x:c r="I609" s="8" t="n">
        <x:f>'Source Data'!H609</x:f>
        <x:v>27593</x:v>
      </x:c>
      <x:c r="J609" s="14" t="n">
        <x:f>I609/H609-1</x:f>
        <x:v>-0.05054710618677316</x:v>
      </x:c>
      <x:c r="K609" s="8" t="n">
        <x:f>H609*('Source Data'!H$8/'Source Data'!F$8)*EXP(F609*('Source Data'!H$7-'Source Data'!F$7))</x:f>
        <x:v>31090.030378987492</x:v>
      </x:c>
      <x:c r="L609" s="14" t="n">
        <x:f>I609/K609-1</x:f>
        <x:v>-0.11248076429513543</x:v>
      </x:c>
      <x:c r="M609" s="8" t="n">
        <x:f>'Source Data'!G609</x:f>
        <x:v>30002</x:v>
      </x:c>
      <x:c r="N609" s="8" t="n">
        <x:f>M609*('Source Data'!H$8/'Source Data'!G$8)*EXP(F609*('Source Data'!H$7-'Source Data'!G$7))</x:f>
        <x:v>31632.40837639107</x:v>
      </x:c>
      <x:c r="O609" s="14" t="n">
        <x:f>I609/N609-1</x:f>
        <x:v>-0.12769841386487324</x:v>
      </x:c>
      <x:c r="P609" s="2" t="str"/>
    </x:row>
    <x:row r="610">
      <x:c r="A610" s="2" t="str">
        <x:f>'Source Data'!A610</x:f>
        <x:v>541320</x:v>
      </x:c>
      <x:c r="B610" s="2" t="str">
        <x:f>'Source Data'!B610</x:f>
        <x:v>Landscape Architectural Services</x:v>
      </x:c>
      <x:c r="C610" s="13" t="n">
        <x:f>LN('Source Data'!C610/'Source Data'!C$8)</x:f>
        <x:v>-7.6708353563237734</x:v>
      </x:c>
      <x:c r="D610" s="13" t="n">
        <x:f>LN('Source Data'!D610/'Source Data'!D$8)</x:f>
        <x:v>-7.6930541366267144</x:v>
      </x:c>
      <x:c r="E610" s="13" t="n">
        <x:f>LN('Source Data'!E610/'Source Data'!E$8)</x:f>
        <x:v>-7.5562945881521735</x:v>
      </x:c>
      <x:c r="F610" s="13" t="n">
        <x:f>SLOPE(C610:E610,'Source Data'!C$7:E$7)</x:f>
        <x:v>0.057270384085799986</x:v>
      </x:c>
      <x:c r="G610" s="14" t="n">
        <x:f>EXP(F610)-1</x:f>
        <x:v>0.05894209278032703</x:v>
      </x:c>
      <x:c r="H610" s="8" t="n">
        <x:f>'Source Data'!F610</x:f>
        <x:v>7138</x:v>
      </x:c>
      <x:c r="I610" s="8" t="n">
        <x:f>'Source Data'!H610</x:f>
        <x:v>5957</x:v>
      </x:c>
      <x:c r="J610" s="14" t="n">
        <x:f>I610/H610-1</x:f>
        <x:v>-0.16545250770523956</x:v>
      </x:c>
      <x:c r="K610" s="8" t="n">
        <x:f>H610*('Source Data'!H$8/'Source Data'!F$8)*EXP(F610*('Source Data'!H$7-'Source Data'!F$7))</x:f>
        <x:v>9134.899302528387</x:v>
      </x:c>
      <x:c r="L610" s="14" t="n">
        <x:f>I610/K610-1</x:f>
        <x:v>-0.34788553187978744</x:v>
      </x:c>
      <x:c r="M610" s="8" t="n">
        <x:f>'Source Data'!G610</x:f>
        <x:v>6663</x:v>
      </x:c>
      <x:c r="N610" s="8" t="n">
        <x:f>M610*('Source Data'!H$8/'Source Data'!G$8)*EXP(F610*('Source Data'!H$7-'Source Data'!G$7))</x:f>
        <x:v>8035.733863745607</x:v>
      </x:c>
      <x:c r="O610" s="14" t="n">
        <x:f>I610/N610-1</x:f>
        <x:v>-0.25868625056438466</x:v>
      </x:c>
      <x:c r="P610" s="2" t="str"/>
    </x:row>
    <x:row r="611">
      <x:c r="A611" s="2" t="str">
        <x:f>'Source Data'!A611</x:f>
        <x:v>541330</x:v>
      </x:c>
      <x:c r="B611" s="2" t="str">
        <x:f>'Source Data'!B611</x:f>
        <x:v>Engineering Services</x:v>
      </x:c>
      <x:c r="C611" s="13" t="n">
        <x:f>LN('Source Data'!C611/'Source Data'!C$8)</x:f>
        <x:v>-4.889681811234373</x:v>
      </x:c>
      <x:c r="D611" s="13" t="n">
        <x:f>LN('Source Data'!D611/'Source Data'!D$8)</x:f>
        <x:v>-4.866347860402603</x:v>
      </x:c>
      <x:c r="E611" s="13" t="n">
        <x:f>LN('Source Data'!E611/'Source Data'!E$8)</x:f>
        <x:v>-4.853752243850114</x:v>
      </x:c>
      <x:c r="F611" s="13" t="n">
        <x:f>SLOPE(C611:E611,'Source Data'!C$7:E$7)</x:f>
        <x:v>0.017964783692129505</x:v>
      </x:c>
      <x:c r="G611" s="14" t="n">
        <x:f>EXP(F611)-1</x:f>
        <x:v>0.018127121080304454</x:v>
      </x:c>
      <x:c r="H611" s="8" t="n">
        <x:f>'Source Data'!F611</x:f>
        <x:v>121934</x:v>
      </x:c>
      <x:c r="I611" s="8" t="n">
        <x:f>'Source Data'!H611</x:f>
        <x:v>130950</x:v>
      </x:c>
      <x:c r="J611" s="14" t="n">
        <x:f>I611/H611-1</x:f>
        <x:v>0.07394164055964692</x:v>
      </x:c>
      <x:c r="K611" s="8" t="n">
        <x:f>H611*('Source Data'!H$8/'Source Data'!F$8)*EXP(F611*('Source Data'!H$7-'Source Data'!F$7))</x:f>
        <x:v>133343.30652895922</x:v>
      </x:c>
      <x:c r="L611" s="14" t="n">
        <x:f>I611/K611-1</x:f>
        <x:v>-0.017948456441189586</x:v>
      </x:c>
      <x:c r="M611" s="8" t="n">
        <x:f>'Source Data'!G611</x:f>
        <x:v>122368</x:v>
      </x:c>
      <x:c r="N611" s="8" t="n">
        <x:f>M611*('Source Data'!H$8/'Source Data'!G$8)*EXP(F611*('Source Data'!H$7-'Source Data'!G$7))</x:f>
        <x:v>131163.49410362513</x:v>
      </x:c>
      <x:c r="O611" s="14" t="n">
        <x:f>I611/N611-1</x:f>
        <x:v>-0.0016276945432427414</x:v>
      </x:c>
      <x:c r="P611" s="2" t="str"/>
    </x:row>
    <x:row r="612">
      <x:c r="A612" s="2" t="str">
        <x:f>'Source Data'!A612</x:f>
        <x:v>541340</x:v>
      </x:c>
      <x:c r="B612" s="2" t="str">
        <x:f>'Source Data'!B612</x:f>
        <x:v>Drafting Services</x:v>
      </x:c>
      <x:c r="C612" s="13" t="n">
        <x:f>LN('Source Data'!C612/'Source Data'!C$8)</x:f>
        <x:v>-9.92981080855189</x:v>
      </x:c>
      <x:c r="D612" s="13" t="n">
        <x:f>LN('Source Data'!D612/'Source Data'!D$8)</x:f>
        <x:v>-9.835974654949089</x:v>
      </x:c>
      <x:c r="E612" s="13" t="n">
        <x:f>LN('Source Data'!E612/'Source Data'!E$8)</x:f>
        <x:v>-9.79780151030092</x:v>
      </x:c>
      <x:c r="F612" s="13" t="n">
        <x:f>SLOPE(C612:E612,'Source Data'!C$7:E$7)</x:f>
        <x:v>0.06600464912548532</x:v>
      </x:c>
      <x:c r="G612" s="14" t="n">
        <x:f>EXP(F612)-1</x:f>
        <x:v>0.06823168349759268</x:v>
      </x:c>
      <x:c r="H612" s="8" t="n">
        <x:f>'Source Data'!F612</x:f>
        <x:v>983</x:v>
      </x:c>
      <x:c r="I612" s="8" t="n">
        <x:f>'Source Data'!H612</x:f>
        <x:v>835</x:v>
      </x:c>
      <x:c r="J612" s="14" t="n">
        <x:f>I612/H612-1</x:f>
        <x:v>-0.15055951169888093</x:v>
      </x:c>
      <x:c r="K612" s="8" t="n">
        <x:f>H612*('Source Data'!H$8/'Source Data'!F$8)*EXP(F612*('Source Data'!H$7-'Source Data'!F$7))</x:f>
        <x:v>1302.7278898608993</x:v>
      </x:c>
      <x:c r="L612" s="14" t="n">
        <x:f>I612/K612-1</x:f>
        <x:v>-0.3590372889850709</x:v>
      </x:c>
      <x:c r="M612" s="8" t="n">
        <x:f>'Source Data'!G612</x:f>
        <x:v>998</x:v>
      </x:c>
      <x:c r="N612" s="8" t="n">
        <x:f>M612*('Source Data'!H$8/'Source Data'!G$8)*EXP(F612*('Source Data'!H$7-'Source Data'!G$7))</x:f>
        <x:v>1235.5661514600927</x:v>
      </x:c>
      <x:c r="O612" s="14" t="n">
        <x:f>I612/N612-1</x:f>
        <x:v>-0.3241964430530375</x:v>
      </x:c>
      <x:c r="P612" s="2" t="str"/>
    </x:row>
    <x:row r="613">
      <x:c r="A613" s="2" t="str">
        <x:f>'Source Data'!A613</x:f>
        <x:v>541350</x:v>
      </x:c>
      <x:c r="B613" s="2" t="str">
        <x:f>'Source Data'!B613</x:f>
        <x:v>Building Inspection Services</x:v>
      </x:c>
      <x:c r="C613" s="13" t="n">
        <x:f>LN('Source Data'!C613/'Source Data'!C$8)</x:f>
        <x:v>-8.534576641782067</x:v>
      </x:c>
      <x:c r="D613" s="13" t="n">
        <x:f>LN('Source Data'!D613/'Source Data'!D$8)</x:f>
        <x:v>-8.505222743094189</x:v>
      </x:c>
      <x:c r="E613" s="13" t="n">
        <x:f>LN('Source Data'!E613/'Source Data'!E$8)</x:f>
        <x:v>-8.42735147820218</x:v>
      </x:c>
      <x:c r="F613" s="13" t="n">
        <x:f>SLOPE(C613:E613,'Source Data'!C$7:E$7)</x:f>
        <x:v>0.05361258178994355</x:v>
      </x:c>
      <x:c r="G613" s="14" t="n">
        <x:f>EXP(F613)-1</x:f>
        <x:v>0.05507576739989917</x:v>
      </x:c>
      <x:c r="H613" s="8" t="n">
        <x:f>'Source Data'!F613</x:f>
        <x:v>3828</x:v>
      </x:c>
      <x:c r="I613" s="8" t="n">
        <x:f>'Source Data'!H613</x:f>
        <x:v>3999</x:v>
      </x:c>
      <x:c r="J613" s="14" t="n">
        <x:f>I613/H613-1</x:f>
        <x:v>0.04467084639498431</x:v>
      </x:c>
      <x:c r="K613" s="8" t="n">
        <x:f>H613*('Source Data'!H$8/'Source Data'!F$8)*EXP(F613*('Source Data'!H$7-'Source Data'!F$7))</x:f>
        <x:v>4827.751377022989</x:v>
      </x:c>
      <x:c r="L613" s="14" t="n">
        <x:f>I613/K613-1</x:f>
        <x:v>-0.17166405481593683</x:v>
      </x:c>
      <x:c r="M613" s="8" t="n">
        <x:f>'Source Data'!G613</x:f>
        <x:v>3707</x:v>
      </x:c>
      <x:c r="N613" s="8" t="n">
        <x:f>M613*('Source Data'!H$8/'Source Data'!G$8)*EXP(F613*('Source Data'!H$7-'Source Data'!G$7))</x:f>
        <x:v>4421.937781433377</x:v>
      </x:c>
      <x:c r="O613" s="14" t="n">
        <x:f>I613/N613-1</x:f>
        <x:v>-0.09564534879011366</x:v>
      </x:c>
      <x:c r="P613" s="2" t="str"/>
    </x:row>
    <x:row r="614">
      <x:c r="A614" s="2" t="str">
        <x:f>'Source Data'!A614</x:f>
        <x:v>541360</x:v>
      </x:c>
      <x:c r="B614" s="2" t="str">
        <x:f>'Source Data'!B614</x:f>
        <x:v>Geophysical Surveying and Mapping Services</x:v>
      </x:c>
      <x:c r="C614" s="13" t="n">
        <x:f>LN('Source Data'!C614/'Source Data'!C$8)</x:f>
        <x:v>-9.767076385033242</x:v>
      </x:c>
      <x:c r="D614" s="13" t="n">
        <x:f>LN('Source Data'!D614/'Source Data'!D$8)</x:f>
        <x:v>-9.708857652502228</x:v>
      </x:c>
      <x:c r="E614" s="13" t="n">
        <x:f>LN('Source Data'!E614/'Source Data'!E$8)</x:f>
        <x:v>-9.742525829669075</x:v>
      </x:c>
      <x:c r="F614" s="13" t="n">
        <x:f>SLOPE(C614:E614,'Source Data'!C$7:E$7)</x:f>
        <x:v>0.012275277682083363</x:v>
      </x:c>
      <x:c r="G614" s="14" t="n">
        <x:f>EXP(F614)-1</x:f>
        <x:v>0.012350928129683414</x:v>
      </x:c>
      <x:c r="H614" s="8" t="n">
        <x:f>'Source Data'!F614</x:f>
        <x:v>838</x:v>
      </x:c>
      <x:c r="I614" s="8" t="n">
        <x:f>'Source Data'!H614</x:f>
        <x:v>842</x:v>
      </x:c>
      <x:c r="J614" s="14" t="n">
        <x:f>I614/H614-1</x:f>
        <x:v>0.004773269689737569</x:v>
      </x:c>
      <x:c r="K614" s="8" t="n">
        <x:f>H614*('Source Data'!H$8/'Source Data'!F$8)*EXP(F614*('Source Data'!H$7-'Source Data'!F$7))</x:f>
        <x:v>895.7910801483292</x:v>
      </x:c>
      <x:c r="L614" s="14" t="n">
        <x:f>I614/K614-1</x:f>
        <x:v>-0.060048689187017</x:v>
      </x:c>
      <x:c r="M614" s="8" t="n">
        <x:f>'Source Data'!G614</x:f>
        <x:v>873</x:v>
      </x:c>
      <x:c r="N614" s="8" t="n">
        <x:f>M614*('Source Data'!H$8/'Source Data'!G$8)*EXP(F614*('Source Data'!H$7-'Source Data'!G$7))</x:f>
        <x:v>919.9126606417734</x:v>
      </x:c>
      <x:c r="O614" s="14" t="n">
        <x:f>I614/N614-1</x:f>
        <x:v>-0.08469571512084417</x:v>
      </x:c>
      <x:c r="P614" s="2" t="str"/>
    </x:row>
    <x:row r="615">
      <x:c r="A615" s="2" t="str">
        <x:f>'Source Data'!A615</x:f>
        <x:v>541370</x:v>
      </x:c>
      <x:c r="B615" s="2" t="str">
        <x:f>'Source Data'!B615</x:f>
        <x:v>Surveying and Mapping (except Geophysical) Services</x:v>
      </x:c>
      <x:c r="C615" s="13" t="n">
        <x:f>LN('Source Data'!C615/'Source Data'!C$8)</x:f>
        <x:v>-8.390906362578992</x:v>
      </x:c>
      <x:c r="D615" s="13" t="n">
        <x:f>LN('Source Data'!D615/'Source Data'!D$8)</x:f>
        <x:v>-8.35431198969692</x:v>
      </x:c>
      <x:c r="E615" s="13" t="n">
        <x:f>LN('Source Data'!E615/'Source Data'!E$8)</x:f>
        <x:v>-8.346553055397267</x:v>
      </x:c>
      <x:c r="F615" s="13" t="n">
        <x:f>SLOPE(C615:E615,'Source Data'!C$7:E$7)</x:f>
        <x:v>0.022176653590862294</x:v>
      </x:c>
      <x:c r="G615" s="14" t="n">
        <x:f>EXP(F615)-1</x:f>
        <x:v>0.02242438345696174</x:v>
      </x:c>
      <x:c r="H615" s="8" t="n">
        <x:f>'Source Data'!F615</x:f>
        <x:v>3865</x:v>
      </x:c>
      <x:c r="I615" s="8" t="n">
        <x:f>'Source Data'!H615</x:f>
        <x:v>4024</x:v>
      </x:c>
      <x:c r="J615" s="14" t="n">
        <x:f>I615/H615-1</x:f>
        <x:v>0.04113842173350579</x:v>
      </x:c>
      <x:c r="K615" s="8" t="n">
        <x:f>H615*('Source Data'!H$8/'Source Data'!F$8)*EXP(F615*('Source Data'!H$7-'Source Data'!F$7))</x:f>
        <x:v>4298.457775480705</x:v>
      </x:c>
      <x:c r="L615" s="14" t="n">
        <x:f>I615/K615-1</x:f>
        <x:v>-0.06385028999151021</x:v>
      </x:c>
      <x:c r="M615" s="8" t="n">
        <x:f>'Source Data'!G615</x:f>
        <x:v>4011</x:v>
      </x:c>
      <x:c r="N615" s="8" t="n">
        <x:f>M615*('Source Data'!H$8/'Source Data'!G$8)*EXP(F615*('Source Data'!H$7-'Source Data'!G$7))</x:f>
        <x:v>4353.9692056333</x:v>
      </x:c>
      <x:c r="O615" s="14" t="n">
        <x:f>I615/N615-1</x:f>
        <x:v>-0.07578583817413664</x:v>
      </x:c>
      <x:c r="P615" s="2" t="str"/>
    </x:row>
    <x:row r="616">
      <x:c r="A616" s="2" t="str">
        <x:f>'Source Data'!A616</x:f>
        <x:v>541380</x:v>
      </x:c>
      <x:c r="B616" s="2" t="str">
        <x:f>'Source Data'!B616</x:f>
        <x:v>Testing Laboratories and Services</x:v>
      </x:c>
      <x:c r="C616" s="13" t="n">
        <x:f>LN('Source Data'!C616/'Source Data'!C$8)</x:f>
        <x:v>-6.650662012600554</x:v>
      </x:c>
      <x:c r="D616" s="13" t="n">
        <x:f>LN('Source Data'!D616/'Source Data'!D$8)</x:f>
        <x:v>-6.627640128359785</x:v>
      </x:c>
      <x:c r="E616" s="13" t="n">
        <x:f>LN('Source Data'!E616/'Source Data'!E$8)</x:f>
        <x:v>-6.613669855281219</x:v>
      </x:c>
      <x:c r="F616" s="13" t="n">
        <x:f>SLOPE(C616:E616,'Source Data'!C$7:E$7)</x:f>
        <x:v>0.018496078659667514</x:v>
      </x:c>
      <x:c r="G616" s="14" t="n">
        <x:f>EXP(F616)-1</x:f>
        <x:v>0.018668190617081803</x:v>
      </x:c>
      <x:c r="H616" s="8" t="n">
        <x:f>'Source Data'!F616</x:f>
        <x:v>22640</x:v>
      </x:c>
      <x:c r="I616" s="8" t="n">
        <x:f>'Source Data'!H616</x:f>
        <x:v>18679</x:v>
      </x:c>
      <x:c r="J616" s="14" t="n">
        <x:f>I616/H616-1</x:f>
        <x:v>-0.17495583038869256</x:v>
      </x:c>
      <x:c r="K616" s="8" t="n">
        <x:f>H616*('Source Data'!H$8/'Source Data'!F$8)*EXP(F616*('Source Data'!H$7-'Source Data'!F$7))</x:f>
        <x:v>24811.086090674657</x:v>
      </x:c>
      <x:c r="L616" s="14" t="n">
        <x:f>I616/K616-1</x:f>
        <x:v>-0.2471510545029879</x:v>
      </x:c>
      <x:c r="M616" s="8" t="n">
        <x:f>'Source Data'!G616</x:f>
        <x:v>20593</x:v>
      </x:c>
      <x:c r="N616" s="8" t="n">
        <x:f>M616*('Source Data'!H$8/'Source Data'!G$8)*EXP(F616*('Source Data'!H$7-'Source Data'!G$7))</x:f>
        <x:v>22108.38151655721</x:v>
      </x:c>
      <x:c r="O616" s="14" t="n">
        <x:f>I616/N616-1</x:f>
        <x:v>-0.15511680554222873</x:v>
      </x:c>
      <x:c r="P616" s="2" t="str"/>
    </x:row>
    <x:row r="617">
      <x:c r="A617" s="2" t="str">
        <x:f>'Source Data'!A617</x:f>
        <x:v>541410</x:v>
      </x:c>
      <x:c r="B617" s="2" t="str">
        <x:f>'Source Data'!B617</x:f>
        <x:v>Interior Design Services</x:v>
      </x:c>
      <x:c r="C617" s="13" t="n">
        <x:f>LN('Source Data'!C617/'Source Data'!C$8)</x:f>
        <x:v>-7.632844922044447</x:v>
      </x:c>
      <x:c r="D617" s="13" t="n">
        <x:f>LN('Source Data'!D617/'Source Data'!D$8)</x:f>
        <x:v>-7.5970077905791715</x:v>
      </x:c>
      <x:c r="E617" s="13" t="n">
        <x:f>LN('Source Data'!E617/'Source Data'!E$8)</x:f>
        <x:v>-7.550399402554253</x:v>
      </x:c>
      <x:c r="F617" s="13" t="n">
        <x:f>SLOPE(C617:E617,'Source Data'!C$7:E$7)</x:f>
        <x:v>0.04122275974509737</x:v>
      </x:c>
      <x:c r="G617" s="14" t="n">
        <x:f>EXP(F617)-1</x:f>
        <x:v>0.04208421410620211</x:v>
      </x:c>
      <x:c r="H617" s="8" t="n">
        <x:f>'Source Data'!F617</x:f>
        <x:v>9029</x:v>
      </x:c>
      <x:c r="I617" s="8" t="n">
        <x:f>'Source Data'!H617</x:f>
        <x:v>9126</x:v>
      </x:c>
      <x:c r="J617" s="14" t="n">
        <x:f>I617/H617-1</x:f>
        <x:v>0.010743160925905437</x:v>
      </x:c>
      <x:c r="K617" s="8" t="n">
        <x:f>H617*('Source Data'!H$8/'Source Data'!F$8)*EXP(F617*('Source Data'!H$7-'Source Data'!F$7))</x:f>
        <x:v>10836.506477610685</x:v>
      </x:c>
      <x:c r="L617" s="14" t="n">
        <x:f>I617/K617-1</x:f>
        <x:v>-0.15784667144755216</x:v>
      </x:c>
      <x:c r="M617" s="8" t="n">
        <x:f>'Source Data'!G617</x:f>
        <x:v>9013</x:v>
      </x:c>
      <x:c r="N617" s="8" t="n">
        <x:f>M617*('Source Data'!H$8/'Source Data'!G$8)*EXP(F617*('Source Data'!H$7-'Source Data'!G$7))</x:f>
        <x:v>10358.9781870692</x:v>
      </x:c>
      <x:c r="O617" s="14" t="n">
        <x:f>I617/N617-1</x:f>
        <x:v>-0.1190250780340758</x:v>
      </x:c>
      <x:c r="P617" s="2" t="str"/>
    </x:row>
    <x:row r="618">
      <x:c r="A618" s="2" t="str">
        <x:f>'Source Data'!A618</x:f>
        <x:v>541420</x:v>
      </x:c>
      <x:c r="B618" s="2" t="str">
        <x:f>'Source Data'!B618</x:f>
        <x:v>Industrial Design Services</x:v>
      </x:c>
      <x:c r="C618" s="13" t="n">
        <x:f>LN('Source Data'!C618/'Source Data'!C$8)</x:f>
        <x:v>-8.608438183749582</x:v>
      </x:c>
      <x:c r="D618" s="13" t="n">
        <x:f>LN('Source Data'!D618/'Source Data'!D$8)</x:f>
        <x:v>-8.662645640227652</x:v>
      </x:c>
      <x:c r="E618" s="13" t="n">
        <x:f>LN('Source Data'!E618/'Source Data'!E$8)</x:f>
        <x:v>-8.596613717159364</x:v>
      </x:c>
      <x:c r="F618" s="13" t="n">
        <x:f>SLOPE(C618:E618,'Source Data'!C$7:E$7)</x:f>
        <x:v>0.005912233295108926</x:v>
      </x:c>
      <x:c r="G618" s="14" t="n">
        <x:f>EXP(F618)-1</x:f>
        <x:v>0.005929745040541778</x:v>
      </x:c>
      <x:c r="H618" s="8" t="n">
        <x:f>'Source Data'!F618</x:f>
        <x:v>2719</x:v>
      </x:c>
      <x:c r="I618" s="8" t="n">
        <x:f>'Source Data'!H618</x:f>
        <x:v>2391</x:v>
      </x:c>
      <x:c r="J618" s="14" t="n">
        <x:f>I618/H618-1</x:f>
        <x:v>-0.1206325855093785</x:v>
      </x:c>
      <x:c r="K618" s="8" t="n">
        <x:f>H618*('Source Data'!H$8/'Source Data'!F$8)*EXP(F618*('Source Data'!H$7-'Source Data'!F$7))</x:f>
        <x:v>2833.4671522811987</x:v>
      </x:c>
      <x:c r="L618" s="14" t="n">
        <x:f>I618/K618-1</x:f>
        <x:v>-0.1561575019230318</x:v>
      </x:c>
      <x:c r="M618" s="8" t="n">
        <x:f>'Source Data'!G618</x:f>
        <x:v>2626</x:v>
      </x:c>
      <x:c r="N618" s="8" t="n">
        <x:f>M618*('Source Data'!H$8/'Source Data'!G$8)*EXP(F618*('Source Data'!H$7-'Source Data'!G$7))</x:f>
        <x:v>2714.7933011962195</x:v>
      </x:c>
      <x:c r="O618" s="14" t="n">
        <x:f>I618/N618-1</x:f>
        <x:v>-0.11926996469806617</x:v>
      </x:c>
      <x:c r="P618" s="2" t="str"/>
    </x:row>
    <x:row r="619">
      <x:c r="A619" s="2" t="str">
        <x:f>'Source Data'!A619</x:f>
        <x:v>541430</x:v>
      </x:c>
      <x:c r="B619" s="2" t="str">
        <x:f>'Source Data'!B619</x:f>
        <x:v>Graphic Design Services</x:v>
      </x:c>
      <x:c r="C619" s="13" t="n">
        <x:f>LN('Source Data'!C619/'Source Data'!C$8)</x:f>
        <x:v>-7.192685499150929</x:v>
      </x:c>
      <x:c r="D619" s="13" t="n">
        <x:f>LN('Source Data'!D619/'Source Data'!D$8)</x:f>
        <x:v>-7.238603625788405</x:v>
      </x:c>
      <x:c r="E619" s="13" t="n">
        <x:f>LN('Source Data'!E619/'Source Data'!E$8)</x:f>
        <x:v>-7.27105766201869</x:v>
      </x:c>
      <x:c r="F619" s="13" t="n">
        <x:f>SLOPE(C619:E619,'Source Data'!C$7:E$7)</x:f>
        <x:v>-0.039186081433880915</x:v>
      </x:c>
      <x:c r="G619" s="14" t="n">
        <x:f>EXP(F619)-1</x:f>
        <x:v>-0.038428238154725625</x:v>
      </x:c>
      <x:c r="H619" s="8" t="n">
        <x:f>'Source Data'!F619</x:f>
        <x:v>10465</x:v>
      </x:c>
      <x:c r="I619" s="8" t="n">
        <x:f>'Source Data'!H619</x:f>
        <x:v>9459</x:v>
      </x:c>
      <x:c r="J619" s="14" t="n">
        <x:f>I619/H619-1</x:f>
        <x:v>-0.0961299569995222</x:v>
      </x:c>
      <x:c r="K619" s="8" t="n">
        <x:f>H619*('Source Data'!H$8/'Source Data'!F$8)*EXP(F619*('Source Data'!H$7-'Source Data'!F$7))</x:f>
        <x:v>9105.512826996777</x:v>
      </x:c>
      <x:c r="L619" s="14" t="n">
        <x:f>I619/K619-1</x:f>
        <x:v>0.0388212261867531</x:v>
      </x:c>
      <x:c r="M619" s="8" t="n">
        <x:f>'Source Data'!G619</x:f>
        <x:v>10037</x:v>
      </x:c>
      <x:c r="N619" s="8" t="n">
        <x:f>M619*('Source Data'!H$8/'Source Data'!G$8)*EXP(F619*('Source Data'!H$7-'Source Data'!G$7))</x:f>
        <x:v>9063.336896306471</x:v>
      </x:c>
      <x:c r="O619" s="14" t="n">
        <x:f>I619/N619-1</x:f>
        <x:v>0.04365534551129513</x:v>
      </x:c>
      <x:c r="P619" s="2" t="str"/>
    </x:row>
    <x:row r="620">
      <x:c r="A620" s="2" t="str">
        <x:f>'Source Data'!A620</x:f>
        <x:v>541490</x:v>
      </x:c>
      <x:c r="B620" s="2" t="str">
        <x:f>'Source Data'!B620</x:f>
        <x:v>Other Specialized Design Services</x:v>
      </x:c>
      <x:c r="C620" s="13" t="n">
        <x:f>LN('Source Data'!C620/'Source Data'!C$8)</x:f>
        <x:v>-8.467460456002286</x:v>
      </x:c>
      <x:c r="D620" s="13" t="n">
        <x:f>LN('Source Data'!D620/'Source Data'!D$8)</x:f>
        <x:v>-8.340172380297926</x:v>
      </x:c>
      <x:c r="E620" s="13" t="n">
        <x:f>LN('Source Data'!E620/'Source Data'!E$8)</x:f>
        <x:v>-8.361681073316749</x:v>
      </x:c>
      <x:c r="F620" s="13" t="n">
        <x:f>SLOPE(C620:E620,'Source Data'!C$7:E$7)</x:f>
        <x:v>0.05288969134276833</x:v>
      </x:c>
      <x:c r="G620" s="14" t="n">
        <x:f>EXP(F620)-1</x:f>
        <x:v>0.05431333881597156</x:v>
      </x:c>
      <x:c r="H620" s="8" t="n">
        <x:f>'Source Data'!F620</x:f>
        <x:v>4116</x:v>
      </x:c>
      <x:c r="I620" s="8" t="n">
        <x:f>'Source Data'!H620</x:f>
        <x:v>3807</x:v>
      </x:c>
      <x:c r="J620" s="14" t="n">
        <x:f>I620/H620-1</x:f>
        <x:v>-0.07507288629737607</x:v>
      </x:c>
      <x:c r="K620" s="8" t="n">
        <x:f>H620*('Source Data'!H$8/'Source Data'!F$8)*EXP(F620*('Source Data'!H$7-'Source Data'!F$7))</x:f>
        <x:v>5175.9794577558305</x:v>
      </x:c>
      <x:c r="L620" s="14" t="n">
        <x:f>I620/K620-1</x:f>
        <x:v>-0.2644870345658953</x:v>
      </x:c>
      <x:c r="M620" s="8" t="n">
        <x:f>'Source Data'!G620</x:f>
        <x:v>4024</x:v>
      </x:c>
      <x:c r="N620" s="8" t="n">
        <x:f>M620*('Source Data'!H$8/'Source Data'!G$8)*EXP(F620*('Source Data'!H$7-'Source Data'!G$7))</x:f>
        <x:v>4789.676388801626</x:v>
      </x:c>
      <x:c r="O620" s="14" t="n">
        <x:f>I620/N620-1</x:f>
        <x:v>-0.20516550786168897</x:v>
      </x:c>
      <x:c r="P620" s="2" t="str"/>
    </x:row>
    <x:row r="621">
      <x:c r="A621" s="2" t="str">
        <x:f>'Source Data'!A621</x:f>
        <x:v>541511</x:v>
      </x:c>
      <x:c r="B621" s="2" t="str">
        <x:f>'Source Data'!B621</x:f>
        <x:v>Custom Computer Programming Services</x:v>
      </x:c>
      <x:c r="C621" s="13" t="n">
        <x:f>LN('Source Data'!C621/'Source Data'!C$8)</x:f>
        <x:v>-4.4681670081657145</x:v>
      </x:c>
      <x:c r="D621" s="13" t="n">
        <x:f>LN('Source Data'!D621/'Source Data'!D$8)</x:f>
        <x:v>-4.439190042043959</x:v>
      </x:c>
      <x:c r="E621" s="13" t="n">
        <x:f>LN('Source Data'!E621/'Source Data'!E$8)</x:f>
        <x:v>-4.38330389664568</x:v>
      </x:c>
      <x:c r="F621" s="13" t="n">
        <x:f>SLOPE(C621:E621,'Source Data'!C$7:E$7)</x:f>
        <x:v>0.042431555760017226</x:v>
      </x:c>
      <x:c r="G621" s="14" t="n">
        <x:f>EXP(F621)-1</x:f>
        <x:v>0.04334464299865881</x:v>
      </x:c>
      <x:c r="H621" s="8" t="n">
        <x:f>'Source Data'!F621</x:f>
        <x:v>195490</x:v>
      </x:c>
      <x:c r="I621" s="8" t="n">
        <x:f>'Source Data'!H621</x:f>
        <x:v>184686</x:v>
      </x:c>
      <x:c r="J621" s="14" t="n">
        <x:f>I621/H621-1</x:f>
        <x:v>-0.05526625402833907</x:v>
      </x:c>
      <x:c r="K621" s="8" t="n">
        <x:f>H621*('Source Data'!H$8/'Source Data'!F$8)*EXP(F621*('Source Data'!H$7-'Source Data'!F$7))</x:f>
        <x:v>235762.14941759952</x:v>
      </x:c>
      <x:c r="L621" s="14" t="n">
        <x:f>I621/K621-1</x:f>
        <x:v>-0.21664270343552738</x:v>
      </x:c>
      <x:c r="M621" s="8" t="n">
        <x:f>'Source Data'!G621</x:f>
        <x:v>206211</x:v>
      </x:c>
      <x:c r="N621" s="8" t="n">
        <x:f>M621*('Source Data'!H$8/'Source Data'!G$8)*EXP(F621*('Source Data'!H$7-'Source Data'!G$7))</x:f>
        <x:v>237867.0552635255</x:v>
      </x:c>
      <x:c r="O621" s="14" t="n">
        <x:f>I621/N621-1</x:f>
        <x:v>-0.22357469891998227</x:v>
      </x:c>
      <x:c r="P621" s="2" t="str">
        <x:v>Selected</x:v>
      </x:c>
    </x:row>
    <x:row r="622">
      <x:c r="A622" s="2" t="str">
        <x:f>'Source Data'!A622</x:f>
        <x:v>541512</x:v>
      </x:c>
      <x:c r="B622" s="2" t="str">
        <x:f>'Source Data'!B622</x:f>
        <x:v>Computer Systems Design Services</x:v>
      </x:c>
      <x:c r="C622" s="13" t="n">
        <x:f>LN('Source Data'!C622/'Source Data'!C$8)</x:f>
        <x:v>-4.850800969469876</x:v>
      </x:c>
      <x:c r="D622" s="13" t="n">
        <x:f>LN('Source Data'!D622/'Source Data'!D$8)</x:f>
        <x:v>-4.840673724852939</x:v>
      </x:c>
      <x:c r="E622" s="13" t="n">
        <x:f>LN('Source Data'!E622/'Source Data'!E$8)</x:f>
        <x:v>-4.819767691859472</x:v>
      </x:c>
      <x:c r="F622" s="13" t="n">
        <x:f>SLOPE(C622:E622,'Source Data'!C$7:E$7)</x:f>
        <x:v>0.015516638805202376</x:v>
      </x:c>
      <x:c r="G622" s="14" t="n">
        <x:f>EXP(F622)-1</x:f>
        <x:v>0.015637646914685277</x:v>
      </x:c>
      <x:c r="H622" s="8" t="n">
        <x:f>'Source Data'!F622</x:f>
        <x:v>120184</x:v>
      </x:c>
      <x:c r="I622" s="8" t="n">
        <x:f>'Source Data'!H622</x:f>
        <x:v>110076</x:v>
      </x:c>
      <x:c r="J622" s="14" t="n">
        <x:f>I622/H622-1</x:f>
        <x:v>-0.08410437329428211</x:v>
      </x:c>
      <x:c r="K622" s="8" t="n">
        <x:f>H622*('Source Data'!H$8/'Source Data'!F$8)*EXP(F622*('Source Data'!H$7-'Source Data'!F$7))</x:f>
        <x:v>130148.8066131803</x:v>
      </x:c>
      <x:c r="L622" s="14" t="n">
        <x:f>I622/K622-1</x:f>
        <x:v>-0.15422966322572118</x:v>
      </x:c>
      <x:c r="M622" s="8" t="n">
        <x:f>'Source Data'!G622</x:f>
        <x:v>114034</x:v>
      </x:c>
      <x:c r="N622" s="8" t="n">
        <x:f>M622*('Source Data'!H$8/'Source Data'!G$8)*EXP(F622*('Source Data'!H$7-'Source Data'!G$7))</x:f>
        <x:v>121336.04268289871</x:v>
      </x:c>
      <x:c r="O622" s="14" t="n">
        <x:f>I622/N622-1</x:f>
        <x:v>-0.09280047736784902</x:v>
      </x:c>
      <x:c r="P622" s="2" t="str"/>
    </x:row>
    <x:row r="623">
      <x:c r="A623" s="2" t="str">
        <x:f>'Source Data'!A623</x:f>
        <x:v>541513</x:v>
      </x:c>
      <x:c r="B623" s="2" t="str">
        <x:f>'Source Data'!B623</x:f>
        <x:v>Computer Facilities Management Services</x:v>
      </x:c>
      <x:c r="C623" s="13" t="n">
        <x:f>LN('Source Data'!C623/'Source Data'!C$8)</x:f>
        <x:v>-7.6574183393114685</x:v>
      </x:c>
      <x:c r="D623" s="13" t="n">
        <x:f>LN('Source Data'!D623/'Source Data'!D$8)</x:f>
        <x:v>-7.567732166872999</x:v>
      </x:c>
      <x:c r="E623" s="13" t="n">
        <x:f>LN('Source Data'!E623/'Source Data'!E$8)</x:f>
        <x:v>-7.471792784243742</x:v>
      </x:c>
      <x:c r="F623" s="13" t="n">
        <x:f>SLOPE(C623:E623,'Source Data'!C$7:E$7)</x:f>
        <x:v>0.09281277753386341</x:v>
      </x:c>
      <x:c r="G623" s="14" t="n">
        <x:f>EXP(F623)-1</x:f>
        <x:v>0.09725628500856676</x:v>
      </x:c>
      <x:c r="H623" s="8" t="n">
        <x:f>'Source Data'!F623</x:f>
        <x:v>11044</x:v>
      </x:c>
      <x:c r="I623" s="8" t="n">
        <x:f>'Source Data'!H623</x:f>
        <x:v>11113</x:v>
      </x:c>
      <x:c r="J623" s="14" t="n">
        <x:f>I623/H623-1</x:f>
        <x:v>0.006247736327417597</x:v>
      </x:c>
      <x:c r="K623" s="8" t="n">
        <x:f>H623*('Source Data'!H$8/'Source Data'!F$8)*EXP(F623*('Source Data'!H$7-'Source Data'!F$7))</x:f>
        <x:v>16292.850782570964</x:v>
      </x:c>
      <x:c r="L623" s="14" t="n">
        <x:f>I623/K623-1</x:f>
        <x:v>-0.31792169778612545</x:v>
      </x:c>
      <x:c r="M623" s="8" t="n">
        <x:f>'Source Data'!G623</x:f>
        <x:v>11813</x:v>
      </x:c>
      <x:c r="N623" s="8" t="n">
        <x:f>M623*('Source Data'!H$8/'Source Data'!G$8)*EXP(F623*('Source Data'!H$7-'Source Data'!G$7))</x:f>
        <x:v>15849.790699126183</x:v>
      </x:c>
      <x:c r="O623" s="14" t="n">
        <x:f>I623/N623-1</x:f>
        <x:v>-0.29885509462199566</x:v>
      </x:c>
      <x:c r="P623" s="2" t="str"/>
    </x:row>
    <x:row r="624">
      <x:c r="A624" s="2" t="str">
        <x:f>'Source Data'!A624</x:f>
        <x:v>541519</x:v>
      </x:c>
      <x:c r="B624" s="2" t="str">
        <x:f>'Source Data'!B624</x:f>
        <x:v>Other Computer Related Services</x:v>
      </x:c>
      <x:c r="C624" s="13" t="n">
        <x:f>LN('Source Data'!C624/'Source Data'!C$8)</x:f>
        <x:v>-6.562415895087506</x:v>
      </x:c>
      <x:c r="D624" s="13" t="n">
        <x:f>LN('Source Data'!D624/'Source Data'!D$8)</x:f>
        <x:v>-6.556371911706642</x:v>
      </x:c>
      <x:c r="E624" s="13" t="n">
        <x:f>LN('Source Data'!E624/'Source Data'!E$8)</x:f>
        <x:v>-6.515218828048523</x:v>
      </x:c>
      <x:c r="F624" s="13" t="n">
        <x:f>SLOPE(C624:E624,'Source Data'!C$7:E$7)</x:f>
        <x:v>0.023598533519491482</x:v>
      </x:c>
      <x:c r="G624" s="14" t="n">
        <x:f>EXP(F624)-1</x:f>
        <x:v>0.02387918219580132</x:v>
      </x:c>
      <x:c r="H624" s="8" t="n">
        <x:f>'Source Data'!F624</x:f>
        <x:v>22284</x:v>
      </x:c>
      <x:c r="I624" s="8" t="n">
        <x:f>'Source Data'!H624</x:f>
        <x:v>13664</x:v>
      </x:c>
      <x:c r="J624" s="14" t="n">
        <x:f>I624/H624-1</x:f>
        <x:v>-0.38682462753545144</x:v>
      </x:c>
      <x:c r="K624" s="8" t="n">
        <x:f>H624*('Source Data'!H$8/'Source Data'!F$8)*EXP(F624*('Source Data'!H$7-'Source Data'!F$7))</x:f>
        <x:v>24924.495410636202</x:v>
      </x:c>
      <x:c r="L624" s="14" t="n">
        <x:f>I624/K624-1</x:f>
        <x:v>-0.45178428791103764</x:v>
      </x:c>
      <x:c r="M624" s="8" t="n">
        <x:f>'Source Data'!G624</x:f>
        <x:v>10406</x:v>
      </x:c>
      <x:c r="N624" s="8" t="n">
        <x:f>M624*('Source Data'!H$8/'Source Data'!G$8)*EXP(F624*('Source Data'!H$7-'Source Data'!G$7))</x:f>
        <x:v>11344.07414692341</x:v>
      </x:c>
      <x:c r="O624" s="14" t="n">
        <x:f>I624/N624-1</x:f>
        <x:v>0.20450552623598361</x:v>
      </x:c>
      <x:c r="P624" s="2" t="str"/>
    </x:row>
    <x:row r="625">
      <x:c r="A625" s="2" t="str">
        <x:f>'Source Data'!A625</x:f>
        <x:v>541611</x:v>
      </x:c>
      <x:c r="B625" s="2" t="str">
        <x:f>'Source Data'!B625</x:f>
        <x:v>Administrative Management and General Management Consulting Services</x:v>
      </x:c>
      <x:c r="C625" s="13" t="n">
        <x:f>LN('Source Data'!C625/'Source Data'!C$8)</x:f>
        <x:v>-5.545738853180058</x:v>
      </x:c>
      <x:c r="D625" s="13" t="n">
        <x:f>LN('Source Data'!D625/'Source Data'!D$8)</x:f>
        <x:v>-5.494447043725201</x:v>
      </x:c>
      <x:c r="E625" s="13" t="n">
        <x:f>LN('Source Data'!E625/'Source Data'!E$8)</x:f>
        <x:v>-5.4372708947897905</x:v>
      </x:c>
      <x:c r="F625" s="13" t="n">
        <x:f>SLOPE(C625:E625,'Source Data'!C$7:E$7)</x:f>
        <x:v>0.05423397919513384</x:v>
      </x:c>
      <x:c r="G625" s="14" t="n">
        <x:f>EXP(F625)-1</x:f>
        <x:v>0.05573159248694126</x:v>
      </x:c>
      <x:c r="H625" s="8" t="n">
        <x:f>'Source Data'!F625</x:f>
        <x:v>82866</x:v>
      </x:c>
      <x:c r="I625" s="8" t="n">
        <x:f>'Source Data'!H625</x:f>
        <x:v>89737</x:v>
      </x:c>
      <x:c r="J625" s="14" t="n">
        <x:f>I625/H625-1</x:f>
        <x:v>0.08291699852774359</x:v>
      </x:c>
      <x:c r="K625" s="8" t="n">
        <x:f>H625*('Source Data'!H$8/'Source Data'!F$8)*EXP(F625*('Source Data'!H$7-'Source Data'!F$7))</x:f>
        <x:v>104768.04038332433</x:v>
      </x:c>
      <x:c r="L625" s="14" t="n">
        <x:f>I625/K625-1</x:f>
        <x:v>-0.14346971011702525</x:v>
      </x:c>
      <x:c r="M625" s="8" t="n">
        <x:f>'Source Data'!G625</x:f>
        <x:v>86547</x:v>
      </x:c>
      <x:c r="N625" s="8" t="n">
        <x:f>M625*('Source Data'!H$8/'Source Data'!G$8)*EXP(F625*('Source Data'!H$7-'Source Data'!G$7))</x:f>
        <x:v>103431.22500505327</x:v>
      </x:c>
      <x:c r="O625" s="14" t="n">
        <x:f>I625/N625-1</x:f>
        <x:v>-0.13239933109546198</x:v>
      </x:c>
      <x:c r="P625" s="2" t="str"/>
    </x:row>
    <x:row r="626">
      <x:c r="A626" s="2" t="str">
        <x:f>'Source Data'!A626</x:f>
        <x:v>541612</x:v>
      </x:c>
      <x:c r="B626" s="2" t="str">
        <x:f>'Source Data'!B626</x:f>
        <x:v>Human Resources Consulting Services</x:v>
      </x:c>
      <x:c r="C626" s="13" t="n">
        <x:f>LN('Source Data'!C626/'Source Data'!C$8)</x:f>
        <x:v>-7.448622749985881</x:v>
      </x:c>
      <x:c r="D626" s="13" t="n">
        <x:f>LN('Source Data'!D626/'Source Data'!D$8)</x:f>
        <x:v>-7.3579114878147625</x:v>
      </x:c>
      <x:c r="E626" s="13" t="n">
        <x:f>LN('Source Data'!E626/'Source Data'!E$8)</x:f>
        <x:v>-7.329660990183149</x:v>
      </x:c>
      <x:c r="F626" s="13" t="n">
        <x:f>SLOPE(C626:E626,'Source Data'!C$7:E$7)</x:f>
        <x:v>0.059480879901365746</x:v>
      </x:c>
      <x:c r="G626" s="14" t="n">
        <x:f>EXP(F626)-1</x:f>
        <x:v>0.06128546890269937</x:v>
      </x:c>
      <x:c r="H626" s="8" t="n">
        <x:f>'Source Data'!F626</x:f>
        <x:v>9012</x:v>
      </x:c>
      <x:c r="I626" s="8" t="n">
        <x:f>'Source Data'!H626</x:f>
        <x:v>8913</x:v>
      </x:c>
      <x:c r="J626" s="14" t="n">
        <x:f>I626/H626-1</x:f>
        <x:v>-0.010985352862849518</x:v>
      </x:c>
      <x:c r="K626" s="8" t="n">
        <x:f>H626*('Source Data'!H$8/'Source Data'!F$8)*EXP(F626*('Source Data'!H$7-'Source Data'!F$7))</x:f>
        <x:v>11635.590497286188</x:v>
      </x:c>
      <x:c r="L626" s="14" t="n">
        <x:f>I626/K626-1</x:f>
        <x:v>-0.23398816741799122</x:v>
      </x:c>
      <x:c r="M626" s="8" t="n">
        <x:f>'Source Data'!G626</x:f>
        <x:v>9405</x:v>
      </x:c>
      <x:c r="N626" s="8" t="n">
        <x:f>M626*('Source Data'!H$8/'Source Data'!G$8)*EXP(F626*('Source Data'!H$7-'Source Data'!G$7))</x:f>
        <x:v>11418.11860487067</x:v>
      </x:c>
      <x:c r="O626" s="14" t="n">
        <x:f>I626/N626-1</x:f>
        <x:v>-0.21939854467810938</x:v>
      </x:c>
      <x:c r="P626" s="2" t="str"/>
    </x:row>
    <x:row r="627">
      <x:c r="A627" s="2" t="str">
        <x:f>'Source Data'!A627</x:f>
        <x:v>541613</x:v>
      </x:c>
      <x:c r="B627" s="2" t="str">
        <x:f>'Source Data'!B627</x:f>
        <x:v>Marketing Consulting Services</x:v>
      </x:c>
      <x:c r="C627" s="13" t="n">
        <x:f>LN('Source Data'!C627/'Source Data'!C$8)</x:f>
        <x:v>-6.266138646867067</x:v>
      </x:c>
      <x:c r="D627" s="13" t="n">
        <x:f>LN('Source Data'!D627/'Source Data'!D$8)</x:f>
        <x:v>-5.959910170233108</x:v>
      </x:c>
      <x:c r="E627" s="13" t="n">
        <x:f>LN('Source Data'!E627/'Source Data'!E$8)</x:f>
        <x:v>-5.9354566084883995</x:v>
      </x:c>
      <x:c r="F627" s="13" t="n">
        <x:f>SLOPE(C627:E627,'Source Data'!C$7:E$7)</x:f>
        <x:v>0.16534101918933386</x:v>
      </x:c>
      <x:c r="G627" s="14" t="n">
        <x:f>EXP(F627)-1</x:f>
        <x:v>0.17979538298265885</x:v>
      </x:c>
      <x:c r="H627" s="8" t="n">
        <x:f>'Source Data'!F627</x:f>
        <x:v>41958</x:v>
      </x:c>
      <x:c r="I627" s="8" t="n">
        <x:f>'Source Data'!H627</x:f>
        <x:v>41306</x:v>
      </x:c>
      <x:c r="J627" s="14" t="n">
        <x:f>I627/H627-1</x:f>
        <x:v>-0.015539348872682157</x:v>
      </x:c>
      <x:c r="K627" s="8" t="n">
        <x:f>H627*('Source Data'!H$8/'Source Data'!F$8)*EXP(F627*('Source Data'!H$7-'Source Data'!F$7))</x:f>
        <x:v>82733.21880596514</x:v>
      </x:c>
      <x:c r="L627" s="14" t="n">
        <x:f>I627/K627-1</x:f>
        <x:v>-0.5007325884796616</x:v>
      </x:c>
      <x:c r="M627" s="8" t="n">
        <x:f>'Source Data'!G627</x:f>
        <x:v>43285</x:v>
      </x:c>
      <x:c r="N627" s="8" t="n">
        <x:f>M627*('Source Data'!H$8/'Source Data'!G$8)*EXP(F627*('Source Data'!H$7-'Source Data'!G$7))</x:f>
        <x:v>72193.25025829572</x:v>
      </x:c>
      <x:c r="O627" s="14" t="n">
        <x:f>I627/N627-1</x:f>
        <x:v>-0.42784124759290043</x:v>
      </x:c>
      <x:c r="P627" s="2" t="str">
        <x:v>Selected</x:v>
      </x:c>
    </x:row>
    <x:row r="628">
      <x:c r="A628" s="2" t="str">
        <x:f>'Source Data'!A628</x:f>
        <x:v>541614</x:v>
      </x:c>
      <x:c r="B628" s="2" t="str">
        <x:f>'Source Data'!B628</x:f>
        <x:v>Process, Physical Distribution, and Logistics Consulting Services</x:v>
      </x:c>
      <x:c r="C628" s="13" t="n">
        <x:f>LN('Source Data'!C628/'Source Data'!C$8)</x:f>
        <x:v>-6.925067532167345</x:v>
      </x:c>
      <x:c r="D628" s="13" t="n">
        <x:f>LN('Source Data'!D628/'Source Data'!D$8)</x:f>
        <x:v>-6.850460650953933</x:v>
      </x:c>
      <x:c r="E628" s="13" t="n">
        <x:f>LN('Source Data'!E628/'Source Data'!E$8)</x:f>
        <x:v>-6.834387586692031</x:v>
      </x:c>
      <x:c r="F628" s="13" t="n">
        <x:f>SLOPE(C628:E628,'Source Data'!C$7:E$7)</x:f>
        <x:v>0.045339972737656886</x:v>
      </x:c>
      <x:c r="G628" s="14" t="n">
        <x:f>EXP(F628)-1</x:f>
        <x:v>0.04638354132148148</x:v>
      </x:c>
      <x:c r="H628" s="8" t="n">
        <x:f>'Source Data'!F628</x:f>
        <x:v>17748</x:v>
      </x:c>
      <x:c r="I628" s="8" t="n">
        <x:f>'Source Data'!H628</x:f>
        <x:v>18771</x:v>
      </x:c>
      <x:c r="J628" s="14" t="n">
        <x:f>I628/H628-1</x:f>
        <x:v>0.05764029749830968</x:v>
      </x:c>
      <x:c r="K628" s="8" t="n">
        <x:f>H628*('Source Data'!H$8/'Source Data'!F$8)*EXP(F628*('Source Data'!H$7-'Source Data'!F$7))</x:f>
        <x:v>21654.661208002675</x:v>
      </x:c>
      <x:c r="L628" s="14" t="n">
        <x:f>I628/K628-1</x:f>
        <x:v>-0.13316584269335008</x:v>
      </x:c>
      <x:c r="M628" s="8" t="n">
        <x:f>'Source Data'!G628</x:f>
        <x:v>18369</x:v>
      </x:c>
      <x:c r="N628" s="8" t="n">
        <x:f>M628*('Source Data'!H$8/'Source Data'!G$8)*EXP(F628*('Source Data'!H$7-'Source Data'!G$7))</x:f>
        <x:v>21374.566244085818</x:v>
      </x:c>
      <x:c r="O628" s="14" t="n">
        <x:f>I628/N628-1</x:f>
        <x:v>-0.12180674051367968</x:v>
      </x:c>
      <x:c r="P628" s="2" t="str"/>
    </x:row>
    <x:row r="629">
      <x:c r="A629" s="2" t="str">
        <x:f>'Source Data'!A629</x:f>
        <x:v>541618</x:v>
      </x:c>
      <x:c r="B629" s="2" t="str">
        <x:f>'Source Data'!B629</x:f>
        <x:v>Other Management Consulting Services</x:v>
      </x:c>
      <x:c r="C629" s="13" t="n">
        <x:f>LN('Source Data'!C629/'Source Data'!C$8)</x:f>
        <x:v>-7.226850165658499</x:v>
      </x:c>
      <x:c r="D629" s="13" t="n">
        <x:f>LN('Source Data'!D629/'Source Data'!D$8)</x:f>
        <x:v>-7.164298412963018</x:v>
      </x:c>
      <x:c r="E629" s="13" t="n">
        <x:f>LN('Source Data'!E629/'Source Data'!E$8)</x:f>
        <x:v>-7.2283973890918505</x:v>
      </x:c>
      <x:c r="F629" s="13" t="n">
        <x:f>SLOPE(C629:E629,'Source Data'!C$7:E$7)</x:f>
        <x:v>-0.0007736117166756706</x:v>
      </x:c>
      <x:c r="G629" s="14" t="n">
        <x:f>EXP(F629)-1</x:f>
        <x:v>-0.0007733125562812138</x:v>
      </x:c>
      <x:c r="H629" s="8" t="n">
        <x:f>'Source Data'!F629</x:f>
        <x:v>11116</x:v>
      </x:c>
      <x:c r="I629" s="8" t="n">
        <x:f>'Source Data'!H629</x:f>
        <x:v>9978</x:v>
      </x:c>
      <x:c r="J629" s="14" t="n">
        <x:f>I629/H629-1</x:f>
        <x:v>-0.10237495501979132</x:v>
      </x:c>
      <x:c r="K629" s="8" t="n">
        <x:f>H629*('Source Data'!H$8/'Source Data'!F$8)*EXP(F629*('Source Data'!H$7-'Source Data'!F$7))</x:f>
        <x:v>11278.283585802503</x:v>
      </x:c>
      <x:c r="L629" s="14" t="n">
        <x:f>I629/K629-1</x:f>
        <x:v>-0.11529091070553898</x:v>
      </x:c>
      <x:c r="M629" s="8" t="n">
        <x:f>'Source Data'!G629</x:f>
        <x:v>11275</x:v>
      </x:c>
      <x:c r="N629" s="8" t="n">
        <x:f>M629*('Source Data'!H$8/'Source Data'!G$8)*EXP(F629*('Source Data'!H$7-'Source Data'!G$7))</x:f>
        <x:v>11424.776712257612</x:v>
      </x:c>
      <x:c r="O629" s="14" t="n">
        <x:f>I629/N629-1</x:f>
        <x:v>-0.12663500991711885</x:v>
      </x:c>
      <x:c r="P629" s="2" t="str"/>
    </x:row>
    <x:row r="630">
      <x:c r="A630" s="2" t="str">
        <x:f>'Source Data'!A630</x:f>
        <x:v>541620</x:v>
      </x:c>
      <x:c r="B630" s="2" t="str">
        <x:f>'Source Data'!B630</x:f>
        <x:v>Environmental Consulting Services</x:v>
      </x:c>
      <x:c r="C630" s="13" t="n">
        <x:f>LN('Source Data'!C630/'Source Data'!C$8)</x:f>
        <x:v>-6.961756922420045</x:v>
      </x:c>
      <x:c r="D630" s="13" t="n">
        <x:f>LN('Source Data'!D630/'Source Data'!D$8)</x:f>
        <x:v>-6.974358526612848</x:v>
      </x:c>
      <x:c r="E630" s="13" t="n">
        <x:f>LN('Source Data'!E630/'Source Data'!E$8)</x:f>
        <x:v>-6.916336693880363</x:v>
      </x:c>
      <x:c r="F630" s="13" t="n">
        <x:f>SLOPE(C630:E630,'Source Data'!C$7:E$7)</x:f>
        <x:v>0.02271011426984071</x:v>
      </x:c>
      <x:c r="G630" s="14" t="n">
        <x:f>EXP(F630)-1</x:f>
        <x:v>0.022969952169554553</x:v>
      </x:c>
      <x:c r="H630" s="8" t="n">
        <x:f>'Source Data'!F630</x:f>
        <x:v>17399</x:v>
      </x:c>
      <x:c r="I630" s="8" t="n">
        <x:f>'Source Data'!H630</x:f>
        <x:v>16674</x:v>
      </x:c>
      <x:c r="J630" s="14" t="n">
        <x:f>I630/H630-1</x:f>
        <x:v>-0.04166906144031268</x:v>
      </x:c>
      <x:c r="K630" s="8" t="n">
        <x:f>H630*('Source Data'!H$8/'Source Data'!F$8)*EXP(F630*('Source Data'!H$7-'Source Data'!F$7))</x:f>
        <x:v>19391.623519532448</x:v>
      </x:c>
      <x:c r="L630" s="14" t="n">
        <x:f>I630/K630-1</x:f>
        <x:v>-0.14014419766323782</x:v>
      </x:c>
      <x:c r="M630" s="8" t="n">
        <x:f>'Source Data'!G630</x:f>
        <x:v>16341</x:v>
      </x:c>
      <x:c r="N630" s="8" t="n">
        <x:f>M630*('Source Data'!H$8/'Source Data'!G$8)*EXP(F630*('Source Data'!H$7-'Source Data'!G$7))</x:f>
        <x:v>17766.683188628947</x:v>
      </x:c>
      <x:c r="O630" s="14" t="n">
        <x:f>I630/N630-1</x:f>
        <x:v>-0.06150181083480388</x:v>
      </x:c>
      <x:c r="P630" s="2" t="str"/>
    </x:row>
    <x:row r="631">
      <x:c r="A631" s="2" t="str">
        <x:f>'Source Data'!A631</x:f>
        <x:v>541690</x:v>
      </x:c>
      <x:c r="B631" s="2" t="str">
        <x:f>'Source Data'!B631</x:f>
        <x:v>Other Scientific and Technical Consulting Services</x:v>
      </x:c>
      <x:c r="C631" s="13" t="n">
        <x:f>LN('Source Data'!C631/'Source Data'!C$8)</x:f>
        <x:v>-5.505876561957075</x:v>
      </x:c>
      <x:c r="D631" s="13" t="n">
        <x:f>LN('Source Data'!D631/'Source Data'!D$8)</x:f>
        <x:v>-5.619442637977346</x:v>
      </x:c>
      <x:c r="E631" s="13" t="n">
        <x:f>LN('Source Data'!E631/'Source Data'!E$8)</x:f>
        <x:v>-5.692652966420684</x:v>
      </x:c>
      <x:c r="F631" s="13" t="n">
        <x:f>SLOPE(C631:E631,'Source Data'!C$7:E$7)</x:f>
        <x:v>-0.09338820223180422</x:v>
      </x:c>
      <x:c r="G631" s="14" t="n">
        <x:f>EXP(F631)-1</x:f>
        <x:v>-0.08916015840429015</x:v>
      </x:c>
      <x:c r="H631" s="8" t="n">
        <x:f>'Source Data'!F631</x:f>
        <x:v>43554</x:v>
      </x:c>
      <x:c r="I631" s="8" t="n">
        <x:f>'Source Data'!H631</x:f>
        <x:v>32677</x:v>
      </x:c>
      <x:c r="J631" s="14" t="n">
        <x:f>I631/H631-1</x:f>
        <x:v>-0.24973595995775355</x:v>
      </x:c>
      <x:c r="K631" s="8" t="n">
        <x:f>H631*('Source Data'!H$8/'Source Data'!F$8)*EXP(F631*('Source Data'!H$7-'Source Data'!F$7))</x:f>
        <x:v>30509.4582989638</x:v>
      </x:c>
      <x:c r="L631" s="14" t="n">
        <x:f>I631/K631-1</x:f>
        <x:v>0.07104490941125019</x:v>
      </x:c>
      <x:c r="M631" s="8" t="n">
        <x:f>'Source Data'!G631</x:f>
        <x:v>39512</x:v>
      </x:c>
      <x:c r="N631" s="8" t="n">
        <x:f>M631*('Source Data'!H$8/'Source Data'!G$8)*EXP(F631*('Source Data'!H$7-'Source Data'!G$7))</x:f>
        <x:v>30324.536160792188</x:v>
      </x:c>
      <x:c r="O631" s="14" t="n">
        <x:f>I631/N631-1</x:f>
        <x:v>0.07757625134756085</x:v>
      </x:c>
      <x:c r="P631" s="2" t="str"/>
    </x:row>
    <x:row r="632">
      <x:c r="A632" s="2" t="str">
        <x:f>'Source Data'!A632</x:f>
        <x:v>541713</x:v>
      </x:c>
      <x:c r="B632" s="2" t="str">
        <x:f>'Source Data'!B632</x:f>
        <x:v>Research and Development in Nanotechnology</x:v>
      </x:c>
      <x:c r="C632" s="13" t="n">
        <x:f>LN('Source Data'!C632/'Source Data'!C$8)</x:f>
        <x:v>-8.721966199001969</x:v>
      </x:c>
      <x:c r="D632" s="13" t="n">
        <x:f>LN('Source Data'!D632/'Source Data'!D$8)</x:f>
        <x:v>-8.62195023599809</x:v>
      </x:c>
      <x:c r="E632" s="13" t="n">
        <x:f>LN('Source Data'!E632/'Source Data'!E$8)</x:f>
        <x:v>-8.617938054597705</x:v>
      </x:c>
      <x:c r="F632" s="13" t="n">
        <x:f>SLOPE(C632:E632,'Source Data'!C$7:E$7)</x:f>
        <x:v>0.052014072202132056</x:v>
      </x:c>
      <x:c r="G632" s="14" t="n">
        <x:f>EXP(F632)-1</x:f>
        <x:v>0.05339056593403324</x:v>
      </x:c>
      <x:c r="H632" s="8" t="n">
        <x:f>'Source Data'!F632</x:f>
        <x:v>4392</x:v>
      </x:c>
      <x:c r="I632" s="8" t="n">
        <x:f>'Source Data'!H632</x:f>
        <x:v>2973</x:v>
      </x:c>
      <x:c r="J632" s="14" t="n">
        <x:f>I632/H632-1</x:f>
        <x:v>-0.3230874316939891</x:v>
      </x:c>
      <x:c r="K632" s="8" t="n">
        <x:f>H632*('Source Data'!H$8/'Source Data'!F$8)*EXP(F632*('Source Data'!H$7-'Source Data'!F$7))</x:f>
        <x:v>5503.746257599351</x:v>
      </x:c>
      <x:c r="L632" s="14" t="n">
        <x:f>I632/K632-1</x:f>
        <x:v>-0.45982248075208754</x:v>
      </x:c>
      <x:c r="M632" s="8" t="n">
        <x:f>'Source Data'!G632</x:f>
        <x:v>3924</x:v>
      </x:c>
      <x:c r="N632" s="8" t="n">
        <x:f>M632*('Source Data'!H$8/'Source Data'!G$8)*EXP(F632*('Source Data'!H$7-'Source Data'!G$7))</x:f>
        <x:v>4658.395618005519</x:v>
      </x:c>
      <x:c r="O632" s="14" t="n">
        <x:f>I632/N632-1</x:f>
        <x:v>-0.3617974419113672</x:v>
      </x:c>
      <x:c r="P632" s="2" t="str"/>
    </x:row>
    <x:row r="633">
      <x:c r="A633" s="2" t="str">
        <x:f>'Source Data'!A633</x:f>
        <x:v>541714</x:v>
      </x:c>
      <x:c r="B633" s="2" t="str">
        <x:f>'Source Data'!B633</x:f>
        <x:v>Research and Development in Biotechnology (except Nanobiotechnology)</x:v>
      </x:c>
      <x:c r="C633" s="13" t="n">
        <x:f>LN('Source Data'!C633/'Source Data'!C$8)</x:f>
        <x:v>-5.9228956835261775</x:v>
      </x:c>
      <x:c r="D633" s="13" t="n">
        <x:f>LN('Source Data'!D633/'Source Data'!D$8)</x:f>
        <x:v>-5.8268759981560265</x:v>
      </x:c>
      <x:c r="E633" s="13" t="n">
        <x:f>LN('Source Data'!E633/'Source Data'!E$8)</x:f>
        <x:v>-5.701242553615826</x:v>
      </x:c>
      <x:c r="F633" s="13" t="n">
        <x:f>SLOPE(C633:E633,'Source Data'!C$7:E$7)</x:f>
        <x:v>0.11082656495517584</x:v>
      </x:c>
      <x:c r="G633" s="14" t="n">
        <x:f>EXP(F633)-1</x:f>
        <x:v>0.11720112822319018</x:v>
      </x:c>
      <x:c r="H633" s="8" t="n">
        <x:f>'Source Data'!F633</x:f>
        <x:v>67716</x:v>
      </x:c>
      <x:c r="I633" s="8" t="n">
        <x:f>'Source Data'!H633</x:f>
        <x:v>64730</x:v>
      </x:c>
      <x:c r="J633" s="14" t="n">
        <x:f>I633/H633-1</x:f>
        <x:v>-0.04409593006084234</x:v>
      </x:c>
      <x:c r="K633" s="8" t="n">
        <x:f>H633*('Source Data'!H$8/'Source Data'!F$8)*EXP(F633*('Source Data'!H$7-'Source Data'!F$7))</x:f>
        <x:v>107363.12212479595</x:v>
      </x:c>
      <x:c r="L633" s="14" t="n">
        <x:f>I633/K633-1</x:f>
        <x:v>-0.3970927938854123</x:v>
      </x:c>
      <x:c r="M633" s="8" t="n">
        <x:f>'Source Data'!G633</x:f>
        <x:v>70647</x:v>
      </x:c>
      <x:c r="N633" s="8" t="n">
        <x:f>M633*('Source Data'!H$8/'Source Data'!G$8)*EXP(F633*('Source Data'!H$7-'Source Data'!G$7))</x:f>
        <x:v>100052.26333523131</x:v>
      </x:c>
      <x:c r="O633" s="14" t="n">
        <x:f>I633/N633-1</x:f>
        <x:v>-0.3530381238541489</x:v>
      </x:c>
      <x:c r="P633" s="2" t="str"/>
    </x:row>
    <x:row r="634">
      <x:c r="A634" s="2" t="str">
        <x:f>'Source Data'!A634</x:f>
        <x:v>541715</x:v>
      </x:c>
      <x:c r="B634" s="2" t="str">
        <x:f>'Source Data'!B634</x:f>
        <x:v>Research and Development in the Physical, Engineering, and Life Sciences (except Nanotechnology and Biotechnology)</x:v>
      </x:c>
      <x:c r="C634" s="13" t="n">
        <x:f>LN('Source Data'!C634/'Source Data'!C$8)</x:f>
        <x:v>-5.206934218196008</x:v>
      </x:c>
      <x:c r="D634" s="13" t="n">
        <x:f>LN('Source Data'!D634/'Source Data'!D$8)</x:f>
        <x:v>-5.149578122108057</x:v>
      </x:c>
      <x:c r="E634" s="13" t="n">
        <x:f>LN('Source Data'!E634/'Source Data'!E$8)</x:f>
        <x:v>-5.139142135532867</x:v>
      </x:c>
      <x:c r="F634" s="13" t="n">
        <x:f>SLOPE(C634:E634,'Source Data'!C$7:E$7)</x:f>
        <x:v>0.03389604133157054</x:v>
      </x:c>
      <x:c r="G634" s="14" t="n">
        <x:f>EXP(F634)-1</x:f>
        <x:v>0.03447705828041836</x:v>
      </x:c>
      <x:c r="H634" s="8" t="n">
        <x:f>'Source Data'!F634</x:f>
        <x:v>107232</x:v>
      </x:c>
      <x:c r="I634" s="8" t="n">
        <x:f>'Source Data'!H634</x:f>
        <x:v>108956</x:v>
      </x:c>
      <x:c r="J634" s="14" t="n">
        <x:f>I634/H634-1</x:f>
        <x:v>0.016077290361086183</x:v>
      </x:c>
      <x:c r="K634" s="8" t="n">
        <x:f>H634*('Source Data'!H$8/'Source Data'!F$8)*EXP(F634*('Source Data'!H$7-'Source Data'!F$7))</x:f>
        <x:v>124981.64443257121</x:v>
      </x:c>
      <x:c r="L634" s="14" t="n">
        <x:f>I634/K634-1</x:f>
        <x:v>-0.1282239844525105</x:v>
      </x:c>
      <x:c r="M634" s="8" t="n">
        <x:f>'Source Data'!G634</x:f>
        <x:v>110968</x:v>
      </x:c>
      <x:c r="N634" s="8" t="n">
        <x:f>M634*('Source Data'!H$8/'Source Data'!G$8)*EXP(F634*('Source Data'!H$7-'Source Data'!G$7))</x:f>
        <x:v>124766.91766989233</x:v>
      </x:c>
      <x:c r="O634" s="14" t="n">
        <x:f>I634/N634-1</x:f>
        <x:v>-0.1267236376851496</x:v>
      </x:c>
      <x:c r="P634" s="2" t="str"/>
    </x:row>
    <x:row r="635">
      <x:c r="A635" s="2" t="str">
        <x:f>'Source Data'!A635</x:f>
        <x:v>541720</x:v>
      </x:c>
      <x:c r="B635" s="2" t="str">
        <x:f>'Source Data'!B635</x:f>
        <x:v>Research and Development in the Social Sciences and Humanities</x:v>
      </x:c>
      <x:c r="C635" s="13" t="n">
        <x:f>LN('Source Data'!C635/'Source Data'!C$8)</x:f>
        <x:v>-7.633278479389197</x:v>
      </x:c>
      <x:c r="D635" s="13" t="n">
        <x:f>LN('Source Data'!D635/'Source Data'!D$8)</x:f>
        <x:v>-7.582800123134488</x:v>
      </x:c>
      <x:c r="E635" s="13" t="n">
        <x:f>LN('Source Data'!E635/'Source Data'!E$8)</x:f>
        <x:v>-7.563130237391026</x:v>
      </x:c>
      <x:c r="F635" s="13" t="n">
        <x:f>SLOPE(C635:E635,'Source Data'!C$7:E$7)</x:f>
        <x:v>0.035074120999085245</x:v>
      </x:c>
      <x:c r="G635" s="14" t="n">
        <x:f>EXP(F635)-1</x:f>
        <x:v>0.03569647281198929</x:v>
      </x:c>
      <x:c r="H635" s="8" t="n">
        <x:f>'Source Data'!F635</x:f>
        <x:v>7520</x:v>
      </x:c>
      <x:c r="I635" s="8" t="n">
        <x:f>'Source Data'!H635</x:f>
        <x:v>6339</x:v>
      </x:c>
      <x:c r="J635" s="14" t="n">
        <x:f>I635/H635-1</x:f>
        <x:v>-0.1570478723404255</x:v>
      </x:c>
      <x:c r="K635" s="8" t="n">
        <x:f>H635*('Source Data'!H$8/'Source Data'!F$8)*EXP(F635*('Source Data'!H$7-'Source Data'!F$7))</x:f>
        <x:v>8806.152518805939</x:v>
      </x:c>
      <x:c r="L635" s="14" t="n">
        <x:f>I635/K635-1</x:f>
        <x:v>-0.28016236529372185</x:v>
      </x:c>
      <x:c r="M635" s="8" t="n">
        <x:f>'Source Data'!G635</x:f>
        <x:v>7208</x:v>
      </x:c>
      <x:c r="N635" s="8" t="n">
        <x:f>M635*('Source Data'!H$8/'Source Data'!G$8)*EXP(F635*('Source Data'!H$7-'Source Data'!G$7))</x:f>
        <x:v>8133.011115251282</x:v>
      </x:c>
      <x:c r="O635" s="14" t="n">
        <x:f>I635/N635-1</x:f>
        <x:v>-0.22058387598746731</x:v>
      </x:c>
      <x:c r="P635" s="2" t="str"/>
    </x:row>
    <x:row r="636">
      <x:c r="A636" s="2" t="str">
        <x:f>'Source Data'!A636</x:f>
        <x:v>541810</x:v>
      </x:c>
      <x:c r="B636" s="2" t="str">
        <x:f>'Source Data'!B636</x:f>
        <x:v>Advertising Agencies</x:v>
      </x:c>
      <x:c r="C636" s="13" t="n">
        <x:f>LN('Source Data'!C636/'Source Data'!C$8)</x:f>
        <x:v>-6.202111362588372</x:v>
      </x:c>
      <x:c r="D636" s="13" t="n">
        <x:f>LN('Source Data'!D636/'Source Data'!D$8)</x:f>
        <x:v>-6.202130850528523</x:v>
      </x:c>
      <x:c r="E636" s="13" t="n">
        <x:f>LN('Source Data'!E636/'Source Data'!E$8)</x:f>
        <x:v>-6.201898202596458</x:v>
      </x:c>
      <x:c r="F636" s="13" t="n">
        <x:f>SLOPE(C636:E636,'Source Data'!C$7:E$7)</x:f>
        <x:v>0.00010657999595720113</x:v>
      </x:c>
      <x:c r="G636" s="14" t="n">
        <x:f>EXP(F636)-1</x:f>
        <x:v>0.00010658567580668077</x:v>
      </x:c>
      <x:c r="H636" s="8" t="n">
        <x:f>'Source Data'!F636</x:f>
        <x:v>29932</x:v>
      </x:c>
      <x:c r="I636" s="8" t="n">
        <x:f>'Source Data'!H636</x:f>
        <x:v>26310</x:v>
      </x:c>
      <x:c r="J636" s="14" t="n">
        <x:f>I636/H636-1</x:f>
        <x:v>-0.12100761726580245</x:v>
      </x:c>
      <x:c r="K636" s="8" t="n">
        <x:f>H636*('Source Data'!H$8/'Source Data'!F$8)*EXP(F636*('Source Data'!H$7-'Source Data'!F$7))</x:f>
        <x:v>30476.090778696256</x:v>
      </x:c>
      <x:c r="L636" s="14" t="n">
        <x:f>I636/K636-1</x:f>
        <x:v>-0.13670030086694995</x:v>
      </x:c>
      <x:c r="M636" s="8" t="n">
        <x:f>'Source Data'!G636</x:f>
        <x:v>30264</x:v>
      </x:c>
      <x:c r="N636" s="8" t="n">
        <x:f>M636*('Source Data'!H$8/'Source Data'!G$8)*EXP(F636*('Source Data'!H$7-'Source Data'!G$7))</x:f>
        <x:v>30747.108886596066</x:v>
      </x:c>
      <x:c r="O636" s="14" t="n">
        <x:f>I636/N636-1</x:f>
        <x:v>-0.1443097919534927</x:v>
      </x:c>
      <x:c r="P636" s="2" t="str">
        <x:v>Selected</x:v>
      </x:c>
    </x:row>
    <x:row r="637">
      <x:c r="A637" s="2" t="str">
        <x:f>'Source Data'!A637</x:f>
        <x:v>541820</x:v>
      </x:c>
      <x:c r="B637" s="2" t="str">
        <x:f>'Source Data'!B637</x:f>
        <x:v>Public Relations Agencies</x:v>
      </x:c>
      <x:c r="C637" s="13" t="n">
        <x:f>LN('Source Data'!C637/'Source Data'!C$8)</x:f>
        <x:v>-7.395384466931245</x:v>
      </x:c>
      <x:c r="D637" s="13" t="n">
        <x:f>LN('Source Data'!D637/'Source Data'!D$8)</x:f>
        <x:v>-7.392183094632882</x:v>
      </x:c>
      <x:c r="E637" s="13" t="n">
        <x:f>LN('Source Data'!E637/'Source Data'!E$8)</x:f>
        <x:v>-7.415192312727032</x:v>
      </x:c>
      <x:c r="F637" s="13" t="n">
        <x:f>SLOPE(C637:E637,'Source Data'!C$7:E$7)</x:f>
        <x:v>-0.009903922897893658</x:v>
      </x:c>
      <x:c r="G637" s="14" t="n">
        <x:f>EXP(F637)-1</x:f>
        <x:v>-0.009855040562237405</x:v>
      </x:c>
      <x:c r="H637" s="8" t="n">
        <x:f>'Source Data'!F637</x:f>
        <x:v>9526</x:v>
      </x:c>
      <x:c r="I637" s="8" t="n">
        <x:f>'Source Data'!H637</x:f>
        <x:v>8678</x:v>
      </x:c>
      <x:c r="J637" s="14" t="n">
        <x:f>I637/H637-1</x:f>
        <x:v>-0.08901952550913295</x:v>
      </x:c>
      <x:c r="K637" s="8" t="n">
        <x:f>H637*('Source Data'!H$8/'Source Data'!F$8)*EXP(F637*('Source Data'!H$7-'Source Data'!F$7))</x:f>
        <x:v>9318.45848009454</x:v>
      </x:c>
      <x:c r="L637" s="14" t="n">
        <x:f>I637/K637-1</x:f>
        <x:v>-0.06873008893720389</x:v>
      </x:c>
      <x:c r="M637" s="8" t="n">
        <x:f>'Source Data'!G637</x:f>
        <x:v>9365</x:v>
      </x:c>
      <x:c r="N637" s="8" t="n">
        <x:f>M637*('Source Data'!H$8/'Source Data'!G$8)*EXP(F637*('Source Data'!H$7-'Source Data'!G$7))</x:f>
        <x:v>9233.008189467437</x:v>
      </x:c>
      <x:c r="O637" s="14" t="n">
        <x:f>I637/N637-1</x:f>
        <x:v>-0.060111306962833955</x:v>
      </x:c>
      <x:c r="P637" s="2" t="str"/>
    </x:row>
    <x:row r="638">
      <x:c r="A638" s="2" t="str">
        <x:f>'Source Data'!A638</x:f>
        <x:v>541830</x:v>
      </x:c>
      <x:c r="B638" s="2" t="str">
        <x:f>'Source Data'!B638</x:f>
        <x:v>Media Buying Agencies</x:v>
      </x:c>
      <x:c r="C638" s="13" t="n">
        <x:f>LN('Source Data'!C638/'Source Data'!C$8)</x:f>
        <x:v>-8.422545650070743</x:v>
      </x:c>
      <x:c r="D638" s="13" t="n">
        <x:f>LN('Source Data'!D638/'Source Data'!D$8)</x:f>
        <x:v>-8.368949253368761</x:v>
      </x:c>
      <x:c r="E638" s="13" t="n">
        <x:f>LN('Source Data'!E638/'Source Data'!E$8)</x:f>
        <x:v>-8.469377104249233</x:v>
      </x:c>
      <x:c r="F638" s="13" t="n">
        <x:f>SLOPE(C638:E638,'Source Data'!C$7:E$7)</x:f>
        <x:v>-0.023415727089244776</x:v>
      </x:c>
      <x:c r="G638" s="14" t="n">
        <x:f>EXP(F638)-1</x:f>
        <x:v>-0.02314370627657647</x:v>
      </x:c>
      <x:c r="H638" s="8" t="n">
        <x:f>'Source Data'!F638</x:f>
        <x:v>3121</x:v>
      </x:c>
      <x:c r="I638" s="8" t="n">
        <x:f>'Source Data'!H638</x:f>
        <x:v>2480</x:v>
      </x:c>
      <x:c r="J638" s="14" t="n">
        <x:f>I638/H638-1</x:f>
        <x:v>-0.2053828900993271</x:v>
      </x:c>
      <x:c r="K638" s="8" t="n">
        <x:f>H638*('Source Data'!H$8/'Source Data'!F$8)*EXP(F638*('Source Data'!H$7-'Source Data'!F$7))</x:f>
        <x:v>2892.3767241177775</x:v>
      </x:c>
      <x:c r="L638" s="14" t="n">
        <x:f>I638/K638-1</x:f>
        <x:v>-0.1425736560107187</x:v>
      </x:c>
      <x:c r="M638" s="8" t="n">
        <x:f>'Source Data'!G638</x:f>
        <x:v>2964</x:v>
      </x:c>
      <x:c r="N638" s="8" t="n">
        <x:f>M638*('Source Data'!H$8/'Source Data'!G$8)*EXP(F638*('Source Data'!H$7-'Source Data'!G$7))</x:f>
        <x:v>2806.139986558284</x:v>
      </x:c>
      <x:c r="O638" s="14" t="n">
        <x:f>I638/N638-1</x:f>
        <x:v>-0.11622370520377812</x:v>
      </x:c>
      <x:c r="P638" s="2" t="str"/>
    </x:row>
    <x:row r="639">
      <x:c r="A639" s="2" t="str">
        <x:f>'Source Data'!A639</x:f>
        <x:v>541840</x:v>
      </x:c>
      <x:c r="B639" s="2" t="str">
        <x:f>'Source Data'!B639</x:f>
        <x:v>Media Representatives</x:v>
      </x:c>
      <x:c r="C639" s="13" t="n">
        <x:f>LN('Source Data'!C639/'Source Data'!C$8)</x:f>
        <x:v>-8.103918332954377</x:v>
      </x:c>
      <x:c r="D639" s="13" t="n">
        <x:f>LN('Source Data'!D639/'Source Data'!D$8)</x:f>
        <x:v>-8.385301632015763</x:v>
      </x:c>
      <x:c r="E639" s="13" t="n">
        <x:f>LN('Source Data'!E639/'Source Data'!E$8)</x:f>
        <x:v>-8.474515201615977</x:v>
      </x:c>
      <x:c r="F639" s="13" t="n">
        <x:f>SLOPE(C639:E639,'Source Data'!C$7:E$7)</x:f>
        <x:v>-0.18529843433080018</x:v>
      </x:c>
      <x:c r="G639" s="14" t="n">
        <x:f>EXP(F639)-1</x:f>
        <x:v>-0.16914370919199118</x:v>
      </x:c>
      <x:c r="H639" s="8" t="n">
        <x:f>'Source Data'!F639</x:f>
        <x:v>2845</x:v>
      </x:c>
      <x:c r="I639" s="8" t="n">
        <x:f>'Source Data'!H639</x:f>
        <x:v>2084</x:v>
      </x:c>
      <x:c r="J639" s="14" t="n">
        <x:f>I639/H639-1</x:f>
        <x:v>-0.26748681898066784</x:v>
      </x:c>
      <x:c r="K639" s="8" t="n">
        <x:f>H639*('Source Data'!H$8/'Source Data'!F$8)*EXP(F639*('Source Data'!H$7-'Source Data'!F$7))</x:f>
        <x:v>1379.8259049177175</x:v>
      </x:c>
      <x:c r="L639" s="14" t="n">
        <x:f>I639/K639-1</x:f>
        <x:v>0.5103354652007885</x:v>
      </x:c>
      <x:c r="M639" s="8" t="n">
        <x:f>'Source Data'!G639</x:f>
        <x:v>2819</x:v>
      </x:c>
      <x:c r="N639" s="8" t="n">
        <x:f>M639*('Source Data'!H$8/'Source Data'!G$8)*EXP(F639*('Source Data'!H$7-'Source Data'!G$7))</x:f>
        <x:v>1642.1465397269342</x:v>
      </x:c>
      <x:c r="O639" s="14" t="n">
        <x:f>I639/N639-1</x:f>
        <x:v>0.2690706642700351</x:v>
      </x:c>
      <x:c r="P639" s="2" t="str"/>
    </x:row>
    <x:row r="640">
      <x:c r="A640" s="2" t="str">
        <x:f>'Source Data'!A640</x:f>
        <x:v>541850</x:v>
      </x:c>
      <x:c r="B640" s="2" t="str">
        <x:f>'Source Data'!B640</x:f>
        <x:v>Indoor and Outdoor Display Advertising</x:v>
      </x:c>
      <x:c r="C640" s="13" t="n">
        <x:f>LN('Source Data'!C640/'Source Data'!C$8)</x:f>
        <x:v>-8.468126456692904</x:v>
      </x:c>
      <x:c r="D640" s="13" t="n">
        <x:f>LN('Source Data'!D640/'Source Data'!D$8)</x:f>
        <x:v>-8.479533256978879</x:v>
      </x:c>
      <x:c r="E640" s="13" t="n">
        <x:f>LN('Source Data'!E640/'Source Data'!E$8)</x:f>
        <x:v>-8.520636682626733</x:v>
      </x:c>
      <x:c r="F640" s="13" t="n">
        <x:f>SLOPE(C640:E640,'Source Data'!C$7:E$7)</x:f>
        <x:v>-0.02625511296691485</x:v>
      </x:c>
      <x:c r="G640" s="14" t="n">
        <x:f>EXP(F640)-1</x:f>
        <x:v>-0.02591344420328301</x:v>
      </x:c>
      <x:c r="H640" s="8" t="n">
        <x:f>'Source Data'!F640</x:f>
        <x:v>2244</x:v>
      </x:c>
      <x:c r="I640" s="8" t="n">
        <x:f>'Source Data'!H640</x:f>
        <x:v>2615</x:v>
      </x:c>
      <x:c r="J640" s="14" t="n">
        <x:f>I640/H640-1</x:f>
        <x:v>0.1653297682709447</x:v>
      </x:c>
      <x:c r="K640" s="8" t="n">
        <x:f>H640*('Source Data'!H$8/'Source Data'!F$8)*EXP(F640*('Source Data'!H$7-'Source Data'!F$7))</x:f>
        <x:v>2056.1340417916927</x:v>
      </x:c>
      <x:c r="L640" s="14" t="n">
        <x:f>I640/K640-1</x:f>
        <x:v>0.2718042437161916</x:v>
      </x:c>
      <x:c r="M640" s="8" t="n">
        <x:f>'Source Data'!G640</x:f>
        <x:v>2306</x:v>
      </x:c>
      <x:c r="N640" s="8" t="n">
        <x:f>M640*('Source Data'!H$8/'Source Data'!G$8)*EXP(F640*('Source Data'!H$7-'Source Data'!G$7))</x:f>
        <x:v>2164.6667543340614</x:v>
      </x:c>
      <x:c r="O640" s="14" t="n">
        <x:f>I640/N640-1</x:f>
        <x:v>0.20803814017297984</x:v>
      </x:c>
      <x:c r="P640" s="2" t="str"/>
    </x:row>
    <x:row r="641">
      <x:c r="A641" s="2" t="str">
        <x:f>'Source Data'!A641</x:f>
        <x:v>541860</x:v>
      </x:c>
      <x:c r="B641" s="2" t="str">
        <x:f>'Source Data'!B641</x:f>
        <x:v>Direct Mail Advertising</x:v>
      </x:c>
      <x:c r="C641" s="13" t="n">
        <x:f>LN('Source Data'!C641/'Source Data'!C$8)</x:f>
        <x:v>-8.330481285438552</x:v>
      </x:c>
      <x:c r="D641" s="13" t="n">
        <x:f>LN('Source Data'!D641/'Source Data'!D$8)</x:f>
        <x:v>-8.350830698104406</x:v>
      </x:c>
      <x:c r="E641" s="13" t="n">
        <x:f>LN('Source Data'!E641/'Source Data'!E$8)</x:f>
        <x:v>-8.410902736953501</x:v>
      </x:c>
      <x:c r="F641" s="13" t="n">
        <x:f>SLOPE(C641:E641,'Source Data'!C$7:E$7)</x:f>
        <x:v>-0.04021072575747464</x:v>
      </x:c>
      <x:c r="G641" s="14" t="n">
        <x:f>EXP(F641)-1</x:f>
        <x:v>-0.03941300259942093</x:v>
      </x:c>
      <x:c r="H641" s="8" t="n">
        <x:f>'Source Data'!F641</x:f>
        <x:v>2933</x:v>
      </x:c>
      <x:c r="I641" s="8" t="n">
        <x:f>'Source Data'!H641</x:f>
        <x:v>2513</x:v>
      </x:c>
      <x:c r="J641" s="14" t="n">
        <x:f>I641/H641-1</x:f>
        <x:v>-0.14319809069212408</x:v>
      </x:c>
      <x:c r="K641" s="8" t="n">
        <x:f>H641*('Source Data'!H$8/'Source Data'!F$8)*EXP(F641*('Source Data'!H$7-'Source Data'!F$7))</x:f>
        <x:v>2541.541767759753</x:v>
      </x:c>
      <x:c r="L641" s="14" t="n">
        <x:f>I641/K641-1</x:f>
        <x:v>-0.011230099824372064</x:v>
      </x:c>
      <x:c r="M641" s="8" t="n">
        <x:f>'Source Data'!G641</x:f>
        <x:v>2661</x:v>
      </x:c>
      <x:c r="N641" s="8" t="n">
        <x:f>M641*('Source Data'!H$8/'Source Data'!G$8)*EXP(F641*('Source Data'!H$7-'Source Data'!G$7))</x:f>
        <x:v>2395.488453592705</x:v>
      </x:c>
      <x:c r="O641" s="14" t="n">
        <x:f>I641/N641-1</x:f>
        <x:v>0.04905535914024295</x:v>
      </x:c>
      <x:c r="P641" s="2" t="str"/>
    </x:row>
    <x:row r="642">
      <x:c r="A642" s="2" t="str">
        <x:f>'Source Data'!A642</x:f>
        <x:v>541870</x:v>
      </x:c>
      <x:c r="B642" s="2" t="str">
        <x:f>'Source Data'!B642</x:f>
        <x:v>Advertising Material Distribution Services</x:v>
      </x:c>
      <x:c r="C642" s="13" t="n">
        <x:f>LN('Source Data'!C642/'Source Data'!C$8)</x:f>
        <x:v>-9.384250646806327</x:v>
      </x:c>
      <x:c r="D642" s="13" t="n">
        <x:f>LN('Source Data'!D642/'Source Data'!D$8)</x:f>
        <x:v>-9.166114425767933</x:v>
      </x:c>
      <x:c r="E642" s="13" t="n">
        <x:f>LN('Source Data'!E642/'Source Data'!E$8)</x:f>
        <x:v>-9.122343110560772</x:v>
      </x:c>
      <x:c r="F642" s="13" t="n">
        <x:f>SLOPE(C642:E642,'Source Data'!C$7:E$7)</x:f>
        <x:v>0.1309537681227777</x:v>
      </x:c>
      <x:c r="G642" s="14" t="n">
        <x:f>EXP(F642)-1</x:f>
        <x:v>0.13991507967974437</x:v>
      </x:c>
      <x:c r="H642" s="8" t="n">
        <x:f>'Source Data'!F642</x:f>
        <x:v>1951</x:v>
      </x:c>
      <x:c r="I642" s="8" t="n">
        <x:f>'Source Data'!H642</x:f>
        <x:v>1616</x:v>
      </x:c>
      <x:c r="J642" s="14" t="n">
        <x:f>I642/H642-1</x:f>
        <x:v>-0.17170681701691437</x:v>
      </x:c>
      <x:c r="K642" s="8" t="n">
        <x:f>H642*('Source Data'!H$8/'Source Data'!F$8)*EXP(F642*('Source Data'!H$7-'Source Data'!F$7))</x:f>
        <x:v>3352.6300897737315</x:v>
      </x:c>
      <x:c r="L642" s="14" t="n">
        <x:f>I642/K642-1</x:f>
        <x:v>-0.5179903667484343</x:v>
      </x:c>
      <x:c r="M642" s="8" t="n">
        <x:f>'Source Data'!G642</x:f>
        <x:v>2025</x:v>
      </x:c>
      <x:c r="N642" s="8" t="n">
        <x:f>M642*('Source Data'!H$8/'Source Data'!G$8)*EXP(F642*('Source Data'!H$7-'Source Data'!G$7))</x:f>
        <x:v>3046.3627789393245</x:v>
      </x:c>
      <x:c r="O642" s="14" t="n">
        <x:f>I642/N642-1</x:f>
        <x:v>-0.4695313338345556</x:v>
      </x:c>
      <x:c r="P642" s="2" t="str"/>
    </x:row>
    <x:row r="643">
      <x:c r="A643" s="2" t="str">
        <x:f>'Source Data'!A643</x:f>
        <x:v>541890</x:v>
      </x:c>
      <x:c r="B643" s="2" t="str">
        <x:f>'Source Data'!B643</x:f>
        <x:v>Other Services Related to Advertising</x:v>
      </x:c>
      <x:c r="C643" s="13" t="n">
        <x:f>LN('Source Data'!C643/'Source Data'!C$8)</x:f>
        <x:v>-7.129153485488594</x:v>
      </x:c>
      <x:c r="D643" s="13" t="n">
        <x:f>LN('Source Data'!D643/'Source Data'!D$8)</x:f>
        <x:v>-7.151385940525876</x:v>
      </x:c>
      <x:c r="E643" s="13" t="n">
        <x:f>LN('Source Data'!E643/'Source Data'!E$8)</x:f>
        <x:v>-7.139243049523976</x:v>
      </x:c>
      <x:c r="F643" s="13" t="n">
        <x:f>SLOPE(C643:E643,'Source Data'!C$7:E$7)</x:f>
        <x:v>-0.005044782017690874</x:v>
      </x:c>
      <x:c r="G643" s="14" t="n">
        <x:f>EXP(F643)-1</x:f>
        <x:v>-0.005032078476064905</x:v>
      </x:c>
      <x:c r="H643" s="8" t="n">
        <x:f>'Source Data'!F643</x:f>
        <x:v>8977</x:v>
      </x:c>
      <x:c r="I643" s="8" t="n">
        <x:f>'Source Data'!H643</x:f>
        <x:v>12343</x:v>
      </x:c>
      <x:c r="J643" s="14" t="n">
        <x:f>I643/H643-1</x:f>
        <x:v>0.3749582265790352</x:v>
      </x:c>
      <x:c r="K643" s="8" t="n">
        <x:f>H643*('Source Data'!H$8/'Source Data'!F$8)*EXP(F643*('Source Data'!H$7-'Source Data'!F$7))</x:f>
        <x:v>8953.769598492989</x:v>
      </x:c>
      <x:c r="L643" s="14" t="n">
        <x:f>I643/K643-1</x:f>
        <x:v>0.3785255320929246</x:v>
      </x:c>
      <x:c r="M643" s="8" t="n">
        <x:f>'Source Data'!G643</x:f>
        <x:v>10492</x:v>
      </x:c>
      <x:c r="N643" s="8" t="n">
        <x:f>M643*('Source Data'!H$8/'Source Data'!G$8)*EXP(F643*('Source Data'!H$7-'Source Data'!G$7))</x:f>
        <x:v>10496.019169025</x:v>
      </x:c>
      <x:c r="O643" s="14" t="n">
        <x:f>I643/N643-1</x:f>
        <x:v>0.17596965108692442</x:v>
      </x:c>
      <x:c r="P643" s="2" t="str"/>
    </x:row>
    <x:row r="644">
      <x:c r="A644" s="2" t="str">
        <x:f>'Source Data'!A644</x:f>
        <x:v>541910</x:v>
      </x:c>
      <x:c r="B644" s="2" t="str">
        <x:f>'Source Data'!B644</x:f>
        <x:v>Marketing Research and Public Opinion Polling</x:v>
      </x:c>
      <x:c r="C644" s="13" t="n">
        <x:f>LN('Source Data'!C644/'Source Data'!C$8)</x:f>
        <x:v>-7.168782908713186</x:v>
      </x:c>
      <x:c r="D644" s="13" t="n">
        <x:f>LN('Source Data'!D644/'Source Data'!D$8)</x:f>
        <x:v>-7.241369087904664</x:v>
      </x:c>
      <x:c r="E644" s="13" t="n">
        <x:f>LN('Source Data'!E644/'Source Data'!E$8)</x:f>
        <x:v>-7.354141001130564</x:v>
      </x:c>
      <x:c r="F644" s="13" t="n">
        <x:f>SLOPE(C644:E644,'Source Data'!C$7:E$7)</x:f>
        <x:v>-0.09267904620868928</x:v>
      </x:c>
      <x:c r="G644" s="14" t="n">
        <x:f>EXP(F644)-1</x:f>
        <x:v>-0.0885140017586703</x:v>
      </x:c>
      <x:c r="H644" s="8" t="n">
        <x:f>'Source Data'!F644</x:f>
        <x:v>7930</x:v>
      </x:c>
      <x:c r="I644" s="8" t="n">
        <x:f>'Source Data'!H644</x:f>
        <x:v>6019</x:v>
      </x:c>
      <x:c r="J644" s="14" t="n">
        <x:f>I644/H644-1</x:f>
        <x:v>-0.24098360655737705</x:v>
      </x:c>
      <x:c r="K644" s="8" t="n">
        <x:f>H644*('Source Data'!H$8/'Source Data'!F$8)*EXP(F644*('Source Data'!H$7-'Source Data'!F$7))</x:f>
        <x:v>5570.723043908066</x:v>
      </x:c>
      <x:c r="L644" s="14" t="n">
        <x:f>I644/K644-1</x:f>
        <x:v>0.08047015666703317</x:v>
      </x:c>
      <x:c r="M644" s="8" t="n">
        <x:f>'Source Data'!G644</x:f>
        <x:v>7926</x:v>
      </x:c>
      <x:c r="N644" s="8" t="n">
        <x:f>M644*('Source Data'!H$8/'Source Data'!G$8)*EXP(F644*('Source Data'!H$7-'Source Data'!G$7))</x:f>
        <x:v>6095.974886503845</x:v>
      </x:c>
      <x:c r="O644" s="14" t="n">
        <x:f>I644/N644-1</x:f>
        <x:v>-0.012627165947527552</x:v>
      </x:c>
      <x:c r="P644" s="2" t="str"/>
    </x:row>
    <x:row r="645">
      <x:c r="A645" s="2" t="str">
        <x:f>'Source Data'!A645</x:f>
        <x:v>541921</x:v>
      </x:c>
      <x:c r="B645" s="2" t="str">
        <x:f>'Source Data'!B645</x:f>
        <x:v>Photography Studios, Portrait</x:v>
      </x:c>
      <x:c r="C645" s="13" t="n">
        <x:f>LN('Source Data'!C645/'Source Data'!C$8)</x:f>
        <x:v>-7.9692304697487835</x:v>
      </x:c>
      <x:c r="D645" s="13" t="n">
        <x:f>LN('Source Data'!D645/'Source Data'!D$8)</x:f>
        <x:v>-7.896295055644411</x:v>
      </x:c>
      <x:c r="E645" s="13" t="n">
        <x:f>LN('Source Data'!E645/'Source Data'!E$8)</x:f>
        <x:v>-8.062631586235025</x:v>
      </x:c>
      <x:c r="F645" s="13" t="n">
        <x:f>SLOPE(C645:E645,'Source Data'!C$7:E$7)</x:f>
        <x:v>-0.04670055824312058</x:v>
      </x:c>
      <x:c r="G645" s="14" t="n">
        <x:f>EXP(F645)-1</x:f>
        <x:v>-0.04562686602451038</x:v>
      </x:c>
      <x:c r="H645" s="8" t="n">
        <x:f>'Source Data'!F645</x:f>
        <x:v>4173</x:v>
      </x:c>
      <x:c r="I645" s="8" t="n">
        <x:f>'Source Data'!H645</x:f>
        <x:v>4784</x:v>
      </x:c>
      <x:c r="J645" s="14" t="n">
        <x:f>I645/H645-1</x:f>
        <x:v>0.14641744548286595</x:v>
      </x:c>
      <x:c r="K645" s="8" t="n">
        <x:f>H645*('Source Data'!H$8/'Source Data'!F$8)*EXP(F645*('Source Data'!H$7-'Source Data'!F$7))</x:f>
        <x:v>3523.3807666046755</x:v>
      </x:c>
      <x:c r="L645" s="14" t="n">
        <x:f>I645/K645-1</x:f>
        <x:v>0.3577868294405566</x:v>
      </x:c>
      <x:c r="M645" s="8" t="n">
        <x:f>'Source Data'!G645</x:f>
        <x:v>4561</x:v>
      </x:c>
      <x:c r="N645" s="8" t="n">
        <x:f>M645*('Source Data'!H$8/'Source Data'!G$8)*EXP(F645*('Source Data'!H$7-'Source Data'!G$7))</x:f>
        <x:v>4026.741811923184</x:v>
      </x:c>
      <x:c r="O645" s="14" t="n">
        <x:f>I645/N645-1</x:f>
        <x:v>0.18805729879044497</x:v>
      </x:c>
      <x:c r="P645" s="2" t="str"/>
    </x:row>
    <x:row r="646">
      <x:c r="A646" s="2" t="str">
        <x:f>'Source Data'!A646</x:f>
        <x:v>541922</x:v>
      </x:c>
      <x:c r="B646" s="2" t="str">
        <x:f>'Source Data'!B646</x:f>
        <x:v>Commercial Photography</x:v>
      </x:c>
      <x:c r="C646" s="13" t="n">
        <x:f>LN('Source Data'!C646/'Source Data'!C$8)</x:f>
        <x:v>-9.341864513990242</x:v>
      </x:c>
      <x:c r="D646" s="13" t="n">
        <x:f>LN('Source Data'!D646/'Source Data'!D$8)</x:f>
        <x:v>-9.208901700973142</x:v>
      </x:c>
      <x:c r="E646" s="13" t="n">
        <x:f>LN('Source Data'!E646/'Source Data'!E$8)</x:f>
        <x:v>-9.172179976177244</x:v>
      </x:c>
      <x:c r="F646" s="13" t="n">
        <x:f>SLOPE(C646:E646,'Source Data'!C$7:E$7)</x:f>
        <x:v>0.08484226890649893</x:v>
      </x:c>
      <x:c r="G646" s="14" t="n">
        <x:f>EXP(F646)-1</x:f>
        <x:v>0.0885453557073923</x:v>
      </x:c>
      <x:c r="H646" s="8" t="n">
        <x:f>'Source Data'!F646</x:f>
        <x:v>1782</x:v>
      </x:c>
      <x:c r="I646" s="8" t="n">
        <x:f>'Source Data'!H646</x:f>
        <x:v>1857</x:v>
      </x:c>
      <x:c r="J646" s="14" t="n">
        <x:f>I646/H646-1</x:f>
        <x:v>0.042087542087542174</x:v>
      </x:c>
      <x:c r="K646" s="8" t="n">
        <x:f>H646*('Source Data'!H$8/'Source Data'!F$8)*EXP(F646*('Source Data'!H$7-'Source Data'!F$7))</x:f>
        <x:v>2546.4326266919775</x:v>
      </x:c>
      <x:c r="L646" s="14" t="n">
        <x:f>I646/K646-1</x:f>
        <x:v>-0.27074449936953815</x:v>
      </x:c>
      <x:c r="M646" s="8" t="n">
        <x:f>'Source Data'!G646</x:f>
        <x:v>1761</x:v>
      </x:c>
      <x:c r="N646" s="8" t="n">
        <x:f>M646*('Source Data'!H$8/'Source Data'!G$8)*EXP(F646*('Source Data'!H$7-'Source Data'!G$7))</x:f>
        <x:v>2306.9492456531093</x:v>
      </x:c>
      <x:c r="O646" s="14" t="n">
        <x:f>I646/N646-1</x:f>
        <x:v>-0.19504080833201265</x:v>
      </x:c>
      <x:c r="P646" s="2" t="str"/>
    </x:row>
    <x:row r="647">
      <x:c r="A647" s="2" t="str">
        <x:f>'Source Data'!A647</x:f>
        <x:v>541930</x:v>
      </x:c>
      <x:c r="B647" s="2" t="str">
        <x:f>'Source Data'!B647</x:f>
        <x:v>Translation and Interpretation Services</x:v>
      </x:c>
      <x:c r="C647" s="13" t="n">
        <x:f>LN('Source Data'!C647/'Source Data'!C$8)</x:f>
        <x:v>-7.982874913176258</x:v>
      </x:c>
      <x:c r="D647" s="13" t="n">
        <x:f>LN('Source Data'!D647/'Source Data'!D$8)</x:f>
        <x:v>-7.915410419160454</x:v>
      </x:c>
      <x:c r="E647" s="13" t="n">
        <x:f>LN('Source Data'!E647/'Source Data'!E$8)</x:f>
        <x:v>-7.857260734152489</x:v>
      </x:c>
      <x:c r="F647" s="13" t="n">
        <x:f>SLOPE(C647:E647,'Source Data'!C$7:E$7)</x:f>
        <x:v>0.0628070895118844</x:v>
      </x:c>
      <x:c r="G647" s="14" t="n">
        <x:f>EXP(F647)-1</x:f>
        <x:v>0.0648214041998163</x:v>
      </x:c>
      <x:c r="H647" s="8" t="n">
        <x:f>'Source Data'!F647</x:f>
        <x:v>4723</x:v>
      </x:c>
      <x:c r="I647" s="8" t="n">
        <x:f>'Source Data'!H647</x:f>
        <x:v>3982</x:v>
      </x:c>
      <x:c r="J647" s="14" t="n">
        <x:f>I647/H647-1</x:f>
        <x:v>-0.15689180605547326</x:v>
      </x:c>
      <x:c r="K647" s="8" t="n">
        <x:f>H647*('Source Data'!H$8/'Source Data'!F$8)*EXP(F647*('Source Data'!H$7-'Source Data'!F$7))</x:f>
        <x:v>6179.643316705231</x:v>
      </x:c>
      <x:c r="L647" s="14" t="n">
        <x:f>I647/K647-1</x:f>
        <x:v>-0.3556262399100628</x:v>
      </x:c>
      <x:c r="M647" s="8" t="n">
        <x:f>'Source Data'!G647</x:f>
        <x:v>4729</x:v>
      </x:c>
      <x:c r="N647" s="8" t="n">
        <x:f>M647*('Source Data'!H$8/'Source Data'!G$8)*EXP(F647*('Source Data'!H$7-'Source Data'!G$7))</x:f>
        <x:v>5798.807974332384</x:v>
      </x:c>
      <x:c r="O647" s="14" t="n">
        <x:f>I647/N647-1</x:f>
        <x:v>-0.31330714560203266</x:v>
      </x:c>
      <x:c r="P647" s="2" t="str">
        <x:v>Selected</x:v>
      </x:c>
    </x:row>
    <x:row r="648">
      <x:c r="A648" s="2" t="str">
        <x:f>'Source Data'!A648</x:f>
        <x:v>541940</x:v>
      </x:c>
      <x:c r="B648" s="2" t="str">
        <x:f>'Source Data'!B648</x:f>
        <x:v>Veterinary Services</x:v>
      </x:c>
      <x:c r="C648" s="13" t="n">
        <x:f>LN('Source Data'!C648/'Source Data'!C$8)</x:f>
        <x:v>-5.90849537241267</x:v>
      </x:c>
      <x:c r="D648" s="13" t="n">
        <x:f>LN('Source Data'!D648/'Source Data'!D$8)</x:f>
        <x:v>-5.88971085445704</x:v>
      </x:c>
      <x:c r="E648" s="13" t="n">
        <x:f>LN('Source Data'!E648/'Source Data'!E$8)</x:f>
        <x:v>-5.86846849005543</x:v>
      </x:c>
      <x:c r="F648" s="13" t="n">
        <x:f>SLOPE(C648:E648,'Source Data'!C$7:E$7)</x:f>
        <x:v>0.020013441178619917</x:v>
      </x:c>
      <x:c r="G648" s="14" t="n">
        <x:f>EXP(F648)-1</x:f>
        <x:v>0.020215052827353253</x:v>
      </x:c>
      <x:c r="H648" s="8" t="n">
        <x:f>'Source Data'!F648</x:f>
        <x:v>47486</x:v>
      </x:c>
      <x:c r="I648" s="8" t="n">
        <x:f>'Source Data'!H648</x:f>
        <x:v>49387</x:v>
      </x:c>
      <x:c r="J648" s="14" t="n">
        <x:f>I648/H648-1</x:f>
        <x:v>0.040032851787895396</x:v>
      </x:c>
      <x:c r="K648" s="8" t="n">
        <x:f>H648*('Source Data'!H$8/'Source Data'!F$8)*EXP(F648*('Source Data'!H$7-'Source Data'!F$7))</x:f>
        <x:v>52356.531763693594</x:v>
      </x:c>
      <x:c r="L648" s="14" t="n">
        <x:f>I648/K648-1</x:f>
        <x:v>-0.056717503311646045</x:v>
      </x:c>
      <x:c r="M648" s="8" t="n">
        <x:f>'Source Data'!G648</x:f>
        <x:v>47817</x:v>
      </x:c>
      <x:c r="N648" s="8" t="n">
        <x:f>M648*('Source Data'!H$8/'Source Data'!G$8)*EXP(F648*('Source Data'!H$7-'Source Data'!G$7))</x:f>
        <x:v>51569.93723128766</x:v>
      </x:c>
      <x:c r="O648" s="14" t="n">
        <x:f>I648/N648-1</x:f>
        <x:v>-0.04232964685408347</x:v>
      </x:c>
      <x:c r="P648" s="2" t="str"/>
    </x:row>
    <x:row r="649">
      <x:c r="A649" s="2" t="str">
        <x:f>'Source Data'!A649</x:f>
        <x:v>541990</x:v>
      </x:c>
      <x:c r="B649" s="2" t="str">
        <x:f>'Source Data'!B649</x:f>
        <x:v>All Other Professional, Scientific, and Technical Services</x:v>
      </x:c>
      <x:c r="C649" s="13" t="n">
        <x:f>LN('Source Data'!C649/'Source Data'!C$8)</x:f>
        <x:v>-7.282678615211441</x:v>
      </x:c>
      <x:c r="D649" s="13" t="n">
        <x:f>LN('Source Data'!D649/'Source Data'!D$8)</x:f>
        <x:v>-7.268078629998393</x:v>
      </x:c>
      <x:c r="E649" s="13" t="n">
        <x:f>LN('Source Data'!E649/'Source Data'!E$8)</x:f>
        <x:v>-7.193813908054285</x:v>
      </x:c>
      <x:c r="F649" s="13" t="n">
        <x:f>SLOPE(C649:E649,'Source Data'!C$7:E$7)</x:f>
        <x:v>0.044432353578578</x:v>
      </x:c>
      <x:c r="G649" s="14" t="n">
        <x:f>EXP(F649)-1</x:f>
        <x:v>0.04543425443228366</x:v>
      </x:c>
      <x:c r="H649" s="8" t="n">
        <x:f>'Source Data'!F649</x:f>
        <x:v>14910</x:v>
      </x:c>
      <x:c r="I649" s="8" t="n">
        <x:f>'Source Data'!H649</x:f>
        <x:v>15957</x:v>
      </x:c>
      <x:c r="J649" s="14" t="n">
        <x:f>I649/H649-1</x:f>
        <x:v>0.07022132796780678</x:v>
      </x:c>
      <x:c r="K649" s="8" t="n">
        <x:f>H649*('Source Data'!H$8/'Source Data'!F$8)*EXP(F649*('Source Data'!H$7-'Source Data'!F$7))</x:f>
        <x:v>18126.039452321333</x:v>
      </x:c>
      <x:c r="L649" s="14" t="n">
        <x:f>I649/K649-1</x:f>
        <x:v>-0.11966427955907111</x:v>
      </x:c>
      <x:c r="M649" s="8" t="n">
        <x:f>'Source Data'!G649</x:f>
        <x:v>15288</x:v>
      </x:c>
      <x:c r="N649" s="8" t="n">
        <x:f>M649*('Source Data'!H$8/'Source Data'!G$8)*EXP(F649*('Source Data'!H$7-'Source Data'!G$7))</x:f>
        <x:v>17741.07566838043</x:v>
      </x:c>
      <x:c r="O649" s="14" t="n">
        <x:f>I649/N649-1</x:f>
        <x:v>-0.10056186567988945</x:v>
      </x:c>
      <x:c r="P649" s="2" t="str"/>
    </x:row>
    <x:row r="650">
      <x:c r="A650" s="2" t="str">
        <x:f>'Source Data'!A650</x:f>
        <x:v>551111</x:v>
      </x:c>
      <x:c r="B650" s="2" t="str">
        <x:f>'Source Data'!B650</x:f>
        <x:v>Offices of Bank Holding Companies</x:v>
      </x:c>
      <x:c r="C650" s="13" t="n">
        <x:f>LN('Source Data'!C650/'Source Data'!C$8)</x:f>
        <x:v>-9.697513875251193</x:v>
      </x:c>
      <x:c r="D650" s="13" t="n">
        <x:f>LN('Source Data'!D650/'Source Data'!D$8)</x:f>
        <x:v>-9.808230126315433</x:v>
      </x:c>
      <x:c r="E650" s="13" t="n">
        <x:f>LN('Source Data'!E650/'Source Data'!E$8)</x:f>
        <x:v>-10.015819164668756</x:v>
      </x:c>
      <x:c r="F650" s="13" t="n">
        <x:f>SLOPE(C650:E650,'Source Data'!C$7:E$7)</x:f>
        <x:v>-0.1591526447087812</x:v>
      </x:c>
      <x:c r="G650" s="14" t="n">
        <x:f>EXP(F650)-1</x:f>
        <x:v>-0.1471338364745991</x:v>
      </x:c>
      <x:c r="H650" s="8" t="n">
        <x:f>'Source Data'!F650</x:f>
        <x:v>777</x:v>
      </x:c>
      <x:c r="I650" s="8" t="n">
        <x:f>'Source Data'!H650</x:f>
        <x:v>156</x:v>
      </x:c>
      <x:c r="J650" s="14" t="n">
        <x:f>I650/H650-1</x:f>
        <x:v>-0.7992277992277992</x:v>
      </x:c>
      <x:c r="K650" s="8" t="n">
        <x:f>H650*('Source Data'!H$8/'Source Data'!F$8)*EXP(F650*('Source Data'!H$7-'Source Data'!F$7))</x:f>
        <x:v>418.39157513254213</x:v>
      </x:c>
      <x:c r="L650" s="14" t="n">
        <x:f>I650/K650-1</x:f>
        <x:v>-0.627143543818776</x:v>
      </x:c>
      <x:c r="M650" s="8" t="n">
        <x:f>'Source Data'!G650</x:f>
        <x:v>594</x:v>
      </x:c>
      <x:c r="N650" s="8" t="n">
        <x:f>M650*('Source Data'!H$8/'Source Data'!G$8)*EXP(F650*('Source Data'!H$7-'Source Data'!G$7))</x:f>
        <x:v>374.25550320042527</x:v>
      </x:c>
      <x:c r="O650" s="14" t="n">
        <x:f>I650/N650-1</x:f>
        <x:v>-0.5831724619518628</x:v>
      </x:c>
      <x:c r="P650" s="2" t="str"/>
    </x:row>
    <x:row r="651">
      <x:c r="A651" s="2" t="str">
        <x:f>'Source Data'!A651</x:f>
        <x:v>551112</x:v>
      </x:c>
      <x:c r="B651" s="2" t="str">
        <x:f>'Source Data'!B651</x:f>
        <x:v>Offices of Other Holding Companies</x:v>
      </x:c>
      <x:c r="C651" s="13" t="n">
        <x:f>LN('Source Data'!C651/'Source Data'!C$8)</x:f>
        <x:v>-8.099070118448074</x:v>
      </x:c>
      <x:c r="D651" s="13" t="n">
        <x:f>LN('Source Data'!D651/'Source Data'!D$8)</x:f>
        <x:v>-8.055790877678922</x:v>
      </x:c>
      <x:c r="E651" s="13" t="n">
        <x:f>LN('Source Data'!E651/'Source Data'!E$8)</x:f>
        <x:v>-8.066691854661668</x:v>
      </x:c>
      <x:c r="F651" s="13" t="n">
        <x:f>SLOPE(C651:E651,'Source Data'!C$7:E$7)</x:f>
        <x:v>0.016189131893202813</x:v>
      </x:c>
      <x:c r="G651" s="14" t="n">
        <x:f>EXP(F651)-1</x:f>
        <x:v>0.016320885923154282</x:v>
      </x:c>
      <x:c r="H651" s="8" t="n">
        <x:f>'Source Data'!F651</x:f>
        <x:v>5090</x:v>
      </x:c>
      <x:c r="I651" s="8" t="n">
        <x:f>'Source Data'!H651</x:f>
        <x:v>5636</x:v>
      </x:c>
      <x:c r="J651" s="14" t="n">
        <x:f>I651/H651-1</x:f>
        <x:v>0.10726915520628677</x:v>
      </x:c>
      <x:c r="K651" s="8" t="n">
        <x:f>H651*('Source Data'!H$8/'Source Data'!F$8)*EXP(F651*('Source Data'!H$7-'Source Data'!F$7))</x:f>
        <x:v>5526.87393268512</x:v>
      </x:c>
      <x:c r="L651" s="14" t="n">
        <x:f>I651/K651-1</x:f>
        <x:v>0.019744627549675764</x:v>
      </x:c>
      <x:c r="M651" s="8" t="n">
        <x:f>'Source Data'!G651</x:f>
        <x:v>5534</x:v>
      </x:c>
      <x:c r="N651" s="8" t="n">
        <x:f>M651*('Source Data'!H$8/'Source Data'!G$8)*EXP(F651*('Source Data'!H$7-'Source Data'!G$7))</x:f>
        <x:v>5900.255290843266</x:v>
      </x:c>
      <x:c r="O651" s="14" t="n">
        <x:f>I651/N651-1</x:f>
        <x:v>-0.04478709442511242</x:v>
      </x:c>
      <x:c r="P651" s="2" t="str"/>
    </x:row>
    <x:row r="652">
      <x:c r="A652" s="2" t="str">
        <x:f>'Source Data'!A652</x:f>
        <x:v>551114</x:v>
      </x:c>
      <x:c r="B652" s="2" t="str">
        <x:f>'Source Data'!B652</x:f>
        <x:v>Corporate, Subsidiary, and Regional Managing Offices</x:v>
      </x:c>
      <x:c r="C652" s="13" t="n">
        <x:f>LN('Source Data'!C652/'Source Data'!C$8)</x:f>
        <x:v>-4.149697191686051</x:v>
      </x:c>
      <x:c r="D652" s="13" t="n">
        <x:f>LN('Source Data'!D652/'Source Data'!D$8)</x:f>
        <x:v>-4.080459084933754</x:v>
      </x:c>
      <x:c r="E652" s="13" t="n">
        <x:f>LN('Source Data'!E652/'Source Data'!E$8)</x:f>
        <x:v>-4.083542067716098</x:v>
      </x:c>
      <x:c r="F652" s="13" t="n">
        <x:f>SLOPE(C652:E652,'Source Data'!C$7:E$7)</x:f>
        <x:v>0.033077561984976356</x:v>
      </x:c>
      <x:c r="G652" s="14" t="n">
        <x:f>EXP(F652)-1</x:f>
        <x:v>0.03363070658163125</x:v>
      </x:c>
      <x:c r="H652" s="8" t="n">
        <x:f>'Source Data'!F652</x:f>
        <x:v>238733</x:v>
      </x:c>
      <x:c r="I652" s="8" t="n">
        <x:f>'Source Data'!H652</x:f>
        <x:v>294807</x:v>
      </x:c>
      <x:c r="J652" s="14" t="n">
        <x:f>I652/H652-1</x:f>
        <x:v>0.2348816460229628</x:v>
      </x:c>
      <x:c r="K652" s="8" t="n">
        <x:f>H652*('Source Data'!H$8/'Source Data'!F$8)*EXP(F652*('Source Data'!H$7-'Source Data'!F$7))</x:f>
        <x:v>277339.9543360783</x:v>
      </x:c>
      <x:c r="L652" s="14" t="n">
        <x:f>I652/K652-1</x:f>
        <x:v>0.06298063221989025</x:v>
      </x:c>
      <x:c r="M652" s="8" t="n">
        <x:f>'Source Data'!G652</x:f>
        <x:v>239836</x:v>
      </x:c>
      <x:c r="N652" s="8" t="n">
        <x:f>M652*('Source Data'!H$8/'Source Data'!G$8)*EXP(F652*('Source Data'!H$7-'Source Data'!G$7))</x:f>
        <x:v>268998.38744365814</x:v>
      </x:c>
      <x:c r="O652" s="14" t="n">
        <x:f>I652/N652-1</x:f>
        <x:v>0.09594337275255027</x:v>
      </x:c>
      <x:c r="P652" s="2" t="str"/>
    </x:row>
    <x:row r="653">
      <x:c r="A653" s="2" t="str">
        <x:f>'Source Data'!A653</x:f>
        <x:v>561110</x:v>
      </x:c>
      <x:c r="B653" s="2" t="str">
        <x:f>'Source Data'!B653</x:f>
        <x:v>Office Administrative Services</x:v>
      </x:c>
      <x:c r="C653" s="13" t="n">
        <x:f>LN('Source Data'!C653/'Source Data'!C$8)</x:f>
        <x:v>-5.255814431633947</x:v>
      </x:c>
      <x:c r="D653" s="13" t="n">
        <x:f>LN('Source Data'!D653/'Source Data'!D$8)</x:f>
        <x:v>-5.3260711714496045</x:v>
      </x:c>
      <x:c r="E653" s="13" t="n">
        <x:f>LN('Source Data'!E653/'Source Data'!E$8)</x:f>
        <x:v>-5.328951192591001</x:v>
      </x:c>
      <x:c r="F653" s="13" t="n">
        <x:f>SLOPE(C653:E653,'Source Data'!C$7:E$7)</x:f>
        <x:v>-0.03656838047852684</x:v>
      </x:c>
      <x:c r="G653" s="14" t="n">
        <x:f>EXP(F653)-1</x:f>
        <x:v>-0.035907833441415016</x:v>
      </x:c>
      <x:c r="H653" s="8" t="n">
        <x:f>'Source Data'!F653</x:f>
        <x:v>70258</x:v>
      </x:c>
      <x:c r="I653" s="8" t="n">
        <x:f>'Source Data'!H653</x:f>
        <x:v>57613</x:v>
      </x:c>
      <x:c r="J653" s="14" t="n">
        <x:f>I653/H653-1</x:f>
        <x:v>-0.17997950411341057</x:v>
      </x:c>
      <x:c r="K653" s="8" t="n">
        <x:f>H653*('Source Data'!H$8/'Source Data'!F$8)*EXP(F653*('Source Data'!H$7-'Source Data'!F$7))</x:f>
        <x:v>61774.37681965432</x:v>
      </x:c>
      <x:c r="L653" s="14" t="n">
        <x:f>I653/K653-1</x:f>
        <x:v>-0.06736412464027186</x:v>
      </x:c>
      <x:c r="M653" s="8" t="n">
        <x:f>'Source Data'!G653</x:f>
        <x:v>65437</x:v>
      </x:c>
      <x:c r="N653" s="8" t="n">
        <x:f>M653*('Source Data'!H$8/'Source Data'!G$8)*EXP(F653*('Source Data'!H$7-'Source Data'!G$7))</x:f>
        <x:v>59554.98770309067</x:v>
      </x:c>
      <x:c r="O653" s="14" t="n">
        <x:f>I653/N653-1</x:f>
        <x:v>-0.0326083133921945</x:v>
      </x:c>
      <x:c r="P653" s="2" t="str"/>
    </x:row>
    <x:row r="654">
      <x:c r="A654" s="2" t="str">
        <x:f>'Source Data'!A654</x:f>
        <x:v>561210</x:v>
      </x:c>
      <x:c r="B654" s="2" t="str">
        <x:f>'Source Data'!B654</x:f>
        <x:v>Facilities Support Services</x:v>
      </x:c>
      <x:c r="C654" s="13" t="n">
        <x:f>LN('Source Data'!C654/'Source Data'!C$8)</x:f>
        <x:v>-7.18813687213917</x:v>
      </x:c>
      <x:c r="D654" s="13" t="n">
        <x:f>LN('Source Data'!D654/'Source Data'!D$8)</x:f>
        <x:v>-7.232527465444242</x:v>
      </x:c>
      <x:c r="E654" s="13" t="n">
        <x:f>LN('Source Data'!E654/'Source Data'!E$8)</x:f>
        <x:v>-7.006198816030083</x:v>
      </x:c>
      <x:c r="F654" s="13" t="n">
        <x:f>SLOPE(C654:E654,'Source Data'!C$7:E$7)</x:f>
        <x:v>0.09096902805454343</x:v>
      </x:c>
      <x:c r="G654" s="14" t="n">
        <x:f>EXP(F654)-1</x:f>
        <x:v>0.09523508317189355</x:v>
      </x:c>
      <x:c r="H654" s="8" t="n">
        <x:f>'Source Data'!F654</x:f>
        <x:v>15448</x:v>
      </x:c>
      <x:c r="I654" s="8" t="n">
        <x:f>'Source Data'!H654</x:f>
        <x:v>25847</x:v>
      </x:c>
      <x:c r="J654" s="14" t="n">
        <x:f>I654/H654-1</x:f>
        <x:v>0.6731615743138271</x:v>
      </x:c>
      <x:c r="K654" s="8" t="n">
        <x:f>H654*('Source Data'!H$8/'Source Data'!F$8)*EXP(F654*('Source Data'!H$7-'Source Data'!F$7))</x:f>
        <x:v>22622.470052359065</x:v>
      </x:c>
      <x:c r="L654" s="14" t="n">
        <x:f>I654/K654-1</x:f>
        <x:v>0.1425365992386265</x:v>
      </x:c>
      <x:c r="M654" s="8" t="n">
        <x:f>'Source Data'!G654</x:f>
        <x:v>20143</x:v>
      </x:c>
      <x:c r="N654" s="8" t="n">
        <x:f>M654*('Source Data'!H$8/'Source Data'!G$8)*EXP(F654*('Source Data'!H$7-'Source Data'!G$7))</x:f>
        <x:v>26877.27839185014</x:v>
      </x:c>
      <x:c r="O654" s="14" t="n">
        <x:f>I654/N654-1</x:f>
        <x:v>-0.03833269041714238</x:v>
      </x:c>
      <x:c r="P654" s="2" t="str"/>
    </x:row>
    <x:row r="655">
      <x:c r="A655" s="2" t="str">
        <x:f>'Source Data'!A655</x:f>
        <x:v>561311</x:v>
      </x:c>
      <x:c r="B655" s="2" t="str">
        <x:f>'Source Data'!B655</x:f>
        <x:v>Employment Placement Agencies</x:v>
      </x:c>
      <x:c r="C655" s="13" t="n">
        <x:f>LN('Source Data'!C655/'Source Data'!C$8)</x:f>
        <x:v>-5.705076757499881</x:v>
      </x:c>
      <x:c r="D655" s="13" t="n">
        <x:f>LN('Source Data'!D655/'Source Data'!D$8)</x:f>
        <x:v>-5.849765127291963</x:v>
      </x:c>
      <x:c r="E655" s="13" t="n">
        <x:f>LN('Source Data'!E655/'Source Data'!E$8)</x:f>
        <x:v>-5.8283084373312946</x:v>
      </x:c>
      <x:c r="F655" s="13" t="n">
        <x:f>SLOPE(C655:E655,'Source Data'!C$7:E$7)</x:f>
        <x:v>-0.06161583991570696</x:v>
      </x:c>
      <x:c r="G655" s="14" t="n">
        <x:f>EXP(F655)-1</x:f>
        <x:v>-0.05975597835753965</x:v>
      </x:c>
      <x:c r="H655" s="8" t="n">
        <x:f>'Source Data'!F655</x:f>
        <x:v>43400</x:v>
      </x:c>
      <x:c r="I655" s="8" t="n">
        <x:f>'Source Data'!H655</x:f>
        <x:v>31480</x:v>
      </x:c>
      <x:c r="J655" s="14" t="n">
        <x:f>I655/H655-1</x:f>
        <x:v>-0.2746543778801843</x:v>
      </x:c>
      <x:c r="K655" s="8" t="n">
        <x:f>H655*('Source Data'!H$8/'Source Data'!F$8)*EXP(F655*('Source Data'!H$7-'Source Data'!F$7))</x:f>
        <x:v>34521.56104099277</x:v>
      </x:c>
      <x:c r="L655" s="14" t="n">
        <x:f>I655/K655-1</x:f>
        <x:v>-0.08810612699063791</x:v>
      </x:c>
      <x:c r="M655" s="8" t="n">
        <x:f>'Source Data'!G655</x:f>
        <x:v>41630</x:v>
      </x:c>
      <x:c r="N655" s="8" t="n">
        <x:f>M655*('Source Data'!H$8/'Source Data'!G$8)*EXP(F655*('Source Data'!H$7-'Source Data'!G$7))</x:f>
        <x:v>35145.29955608435</x:v>
      </x:c>
      <x:c r="O655" s="14" t="n">
        <x:f>I655/N655-1</x:f>
        <x:v>-0.10428989373771924</x:v>
      </x:c>
      <x:c r="P655" s="2" t="str"/>
    </x:row>
    <x:row r="656">
      <x:c r="A656" s="2" t="str">
        <x:f>'Source Data'!A656</x:f>
        <x:v>561312</x:v>
      </x:c>
      <x:c r="B656" s="2" t="str">
        <x:f>'Source Data'!B656</x:f>
        <x:v>Executive Search Services</x:v>
      </x:c>
      <x:c r="C656" s="13" t="n">
        <x:f>LN('Source Data'!C656/'Source Data'!C$8)</x:f>
        <x:v>-8.491720405879768</x:v>
      </x:c>
      <x:c r="D656" s="13" t="n">
        <x:f>LN('Source Data'!D656/'Source Data'!D$8)</x:f>
        <x:v>-8.4052841316031</x:v>
      </x:c>
      <x:c r="E656" s="13" t="n">
        <x:f>LN('Source Data'!E656/'Source Data'!E$8)</x:f>
        <x:v>-8.41029868981946</x:v>
      </x:c>
      <x:c r="F656" s="13" t="n">
        <x:f>SLOPE(C656:E656,'Source Data'!C$7:E$7)</x:f>
        <x:v>0.040710858030154284</x:v>
      </x:c>
      <x:c r="G656" s="14" t="n">
        <x:f>EXP(F656)-1</x:f>
        <x:v>0.04155090592221877</x:v>
      </x:c>
      <x:c r="H656" s="8" t="n">
        <x:f>'Source Data'!F656</x:f>
        <x:v>3839</x:v>
      </x:c>
      <x:c r="I656" s="8" t="n">
        <x:f>'Source Data'!H656</x:f>
        <x:v>2729</x:v>
      </x:c>
      <x:c r="J656" s="14" t="n">
        <x:f>I656/H656-1</x:f>
        <x:v>-0.28913779630112013</x:v>
      </x:c>
      <x:c r="K656" s="8" t="n">
        <x:f>H656*('Source Data'!H$8/'Source Data'!F$8)*EXP(F656*('Source Data'!H$7-'Source Data'!F$7))</x:f>
        <x:v>4598.100820978952</x:v>
      </x:c>
      <x:c r="L656" s="14" t="n">
        <x:f>I656/K656-1</x:f>
        <x:v>-0.40649409261561464</x:v>
      </x:c>
      <x:c r="M656" s="8" t="n">
        <x:f>'Source Data'!G656</x:f>
        <x:v>3457</x:v>
      </x:c>
      <x:c r="N656" s="8" t="n">
        <x:f>M656*('Source Data'!H$8/'Source Data'!G$8)*EXP(F656*('Source Data'!H$7-'Source Data'!G$7))</x:f>
        <x:v>3967.162396687571</x:v>
      </x:c>
      <x:c r="O656" s="14" t="n">
        <x:f>I656/N656-1</x:f>
        <x:v>-0.3121027759593077</x:v>
      </x:c>
      <x:c r="P656" s="2" t="str"/>
    </x:row>
    <x:row r="657">
      <x:c r="A657" s="2" t="str">
        <x:f>'Source Data'!A657</x:f>
        <x:v>561320</x:v>
      </x:c>
      <x:c r="B657" s="2" t="str">
        <x:f>'Source Data'!B657</x:f>
        <x:v>Temporary Help Services</x:v>
      </x:c>
      <x:c r="C657" s="13" t="n">
        <x:f>LN('Source Data'!C657/'Source Data'!C$8)</x:f>
        <x:v>-3.669833827013124</x:v>
      </x:c>
      <x:c r="D657" s="13" t="n">
        <x:f>LN('Source Data'!D657/'Source Data'!D$8)</x:f>
        <x:v>-3.649142626529634</x:v>
      </x:c>
      <x:c r="E657" s="13" t="n">
        <x:f>LN('Source Data'!E657/'Source Data'!E$8)</x:f>
        <x:v>-3.686087537211394</x:v>
      </x:c>
      <x:c r="F657" s="13" t="n">
        <x:f>SLOPE(C657:E657,'Source Data'!C$7:E$7)</x:f>
        <x:v>-0.008126855099135133</x:v>
      </x:c>
      <x:c r="G657" s="14" t="n">
        <x:f>EXP(F657)-1</x:f>
        <x:v>-0.008093921488182776</x:v>
      </x:c>
      <x:c r="H657" s="8" t="n">
        <x:f>'Source Data'!F657</x:f>
        <x:v>400196</x:v>
      </x:c>
      <x:c r="I657" s="8" t="n">
        <x:f>'Source Data'!H657</x:f>
        <x:v>332288</x:v>
      </x:c>
      <x:c r="J657" s="14" t="n">
        <x:f>I657/H657-1</x:f>
        <x:v>-0.16968685344181356</x:v>
      </x:c>
      <x:c r="K657" s="8" t="n">
        <x:f>H657*('Source Data'!H$8/'Source Data'!F$8)*EXP(F657*('Source Data'!H$7-'Source Data'!F$7))</x:f>
        <x:v>394269.6286019484</x:v>
      </x:c>
      <x:c r="L657" s="14" t="n">
        <x:f>I657/K657-1</x:f>
        <x:v>-0.15720619623106846</x:v>
      </x:c>
      <x:c r="M657" s="8" t="n">
        <x:f>'Source Data'!G657</x:f>
        <x:v>347048</x:v>
      </x:c>
      <x:c r="N657" s="8" t="n">
        <x:f>M657*('Source Data'!H$8/'Source Data'!G$8)*EXP(F657*('Source Data'!H$7-'Source Data'!G$7))</x:f>
        <x:v>343985.6275693377</x:v>
      </x:c>
      <x:c r="O657" s="14" t="n">
        <x:f>I657/N657-1</x:f>
        <x:v>-0.034006152094188336</x:v>
      </x:c>
      <x:c r="P657" s="2" t="str"/>
    </x:row>
    <x:row r="658">
      <x:c r="A658" s="2" t="str">
        <x:f>'Source Data'!A658</x:f>
        <x:v>561330</x:v>
      </x:c>
      <x:c r="B658" s="2" t="str">
        <x:f>'Source Data'!B658</x:f>
        <x:v>Professional Employer Organizations</x:v>
      </x:c>
      <x:c r="C658" s="13" t="n">
        <x:f>LN('Source Data'!C658/'Source Data'!C$8)</x:f>
        <x:v>-5.91640934326787</x:v>
      </x:c>
      <x:c r="D658" s="13" t="n">
        <x:f>LN('Source Data'!D658/'Source Data'!D$8)</x:f>
        <x:v>-5.844648936213132</x:v>
      </x:c>
      <x:c r="E658" s="13" t="n">
        <x:f>LN('Source Data'!E658/'Source Data'!E$8)</x:f>
        <x:v>-5.76915158533317</x:v>
      </x:c>
      <x:c r="F658" s="13" t="n">
        <x:f>SLOPE(C658:E658,'Source Data'!C$7:E$7)</x:f>
        <x:v>0.07362887896734982</x:v>
      </x:c>
      <x:c r="G658" s="14" t="n">
        <x:f>EXP(F658)-1</x:f>
        <x:v>0.0764072539881695</x:v>
      </x:c>
      <x:c r="H658" s="8" t="n">
        <x:f>'Source Data'!F658</x:f>
        <x:v>70771</x:v>
      </x:c>
      <x:c r="I658" s="8" t="n">
        <x:f>'Source Data'!H658</x:f>
        <x:v>39817</x:v>
      </x:c>
      <x:c r="J658" s="14" t="n">
        <x:f>I658/H658-1</x:f>
        <x:v>-0.43738254369727714</x:v>
      </x:c>
      <x:c r="K658" s="8" t="n">
        <x:f>H658*('Source Data'!H$8/'Source Data'!F$8)*EXP(F658*('Source Data'!H$7-'Source Data'!F$7))</x:f>
        <x:v>96694.14313362463</x:v>
      </x:c>
      <x:c r="L658" s="14" t="n">
        <x:f>I658/K658-1</x:f>
        <x:v>-0.5882170449044091</x:v>
      </x:c>
      <x:c r="M658" s="8" t="n">
        <x:f>'Source Data'!G658</x:f>
        <x:v>64184</x:v>
      </x:c>
      <x:c r="N658" s="8" t="n">
        <x:f>M658*('Source Data'!H$8/'Source Data'!G$8)*EXP(F658*('Source Data'!H$7-'Source Data'!G$7))</x:f>
        <x:v>81300.96921277758</x:v>
      </x:c>
      <x:c r="O658" s="14" t="n">
        <x:f>I658/N658-1</x:f>
        <x:v>-0.5102518409615441</x:v>
      </x:c>
      <x:c r="P658" s="2" t="str"/>
    </x:row>
    <x:row r="659">
      <x:c r="A659" s="2" t="str">
        <x:f>'Source Data'!A659</x:f>
        <x:v>561410</x:v>
      </x:c>
      <x:c r="B659" s="2" t="str">
        <x:f>'Source Data'!B659</x:f>
        <x:v>Document Preparation Services</x:v>
      </x:c>
      <x:c r="C659" s="13" t="n">
        <x:f>LN('Source Data'!C659/'Source Data'!C$8)</x:f>
        <x:v>-8.09699948616563</x:v>
      </x:c>
      <x:c r="D659" s="13" t="n">
        <x:f>LN('Source Data'!D659/'Source Data'!D$8)</x:f>
        <x:v>-8.024797099863932</x:v>
      </x:c>
      <x:c r="E659" s="13" t="n">
        <x:f>LN('Source Data'!E659/'Source Data'!E$8)</x:f>
        <x:v>-8.083753061075388</x:v>
      </x:c>
      <x:c r="F659" s="13" t="n">
        <x:f>SLOPE(C659:E659,'Source Data'!C$7:E$7)</x:f>
        <x:v>0.006623212545121326</x:v>
      </x:c>
      <x:c r="G659" s="14" t="n">
        <x:f>EXP(F659)-1</x:f>
        <x:v>0.006645194520965569</x:v>
      </x:c>
      <x:c r="H659" s="8" t="n">
        <x:f>'Source Data'!F659</x:f>
        <x:v>3690</x:v>
      </x:c>
      <x:c r="I659" s="8" t="n">
        <x:f>'Source Data'!H659</x:f>
        <x:v>2538</x:v>
      </x:c>
      <x:c r="J659" s="14" t="n">
        <x:f>I659/H659-1</x:f>
        <x:v>-0.31219512195121957</x:v>
      </x:c>
      <x:c r="K659" s="8" t="n">
        <x:f>H659*('Source Data'!H$8/'Source Data'!F$8)*EXP(F659*('Source Data'!H$7-'Source Data'!F$7))</x:f>
        <x:v>3856.2966788789286</x:v>
      </x:c>
      <x:c r="L659" s="14" t="n">
        <x:f>I659/K659-1</x:f>
        <x:v>-0.3418556165813915</x:v>
      </x:c>
      <x:c r="M659" s="8" t="n">
        <x:f>'Source Data'!G659</x:f>
        <x:v>3627</x:v>
      </x:c>
      <x:c r="N659" s="8" t="n">
        <x:f>M659*('Source Data'!H$8/'Source Data'!G$8)*EXP(F659*('Source Data'!H$7-'Source Data'!G$7))</x:f>
        <x:v>3757.6465373042884</x:v>
      </x:c>
      <x:c r="O659" s="14" t="n">
        <x:f>I659/N659-1</x:f>
        <x:v>-0.32457723875733535</x:v>
      </x:c>
      <x:c r="P659" s="2" t="str">
        <x:v>Selected</x:v>
      </x:c>
    </x:row>
    <x:row r="660">
      <x:c r="A660" s="2" t="str">
        <x:f>'Source Data'!A660</x:f>
        <x:v>561421</x:v>
      </x:c>
      <x:c r="B660" s="2" t="str">
        <x:f>'Source Data'!B660</x:f>
        <x:v>Telephone Answering Services</x:v>
      </x:c>
      <x:c r="C660" s="13" t="n">
        <x:f>LN('Source Data'!C660/'Source Data'!C$8)</x:f>
        <x:v>-8.800542971521947</x:v>
      </x:c>
      <x:c r="D660" s="13" t="n">
        <x:f>LN('Source Data'!D660/'Source Data'!D$8)</x:f>
        <x:v>-8.761085713040904</x:v>
      </x:c>
      <x:c r="E660" s="13" t="n">
        <x:f>LN('Source Data'!E660/'Source Data'!E$8)</x:f>
        <x:v>-8.870686860365753</x:v>
      </x:c>
      <x:c r="F660" s="13" t="n">
        <x:f>SLOPE(C660:E660,'Source Data'!C$7:E$7)</x:f>
        <x:v>-0.035071944421902757</x:v>
      </x:c>
      <x:c r="G660" s="14" t="n">
        <x:f>EXP(F660)-1</x:f>
        <x:v>-0.03446405116696549</x:v>
      </x:c>
      <x:c r="H660" s="8" t="n">
        <x:f>'Source Data'!F660</x:f>
        <x:v>1788</x:v>
      </x:c>
      <x:c r="I660" s="8" t="n">
        <x:f>'Source Data'!H660</x:f>
        <x:v>1290</x:v>
      </x:c>
      <x:c r="J660" s="14" t="n">
        <x:f>I660/H660-1</x:f>
        <x:v>-0.2785234899328859</x:v>
      </x:c>
      <x:c r="K660" s="8" t="n">
        <x:f>H660*('Source Data'!H$8/'Source Data'!F$8)*EXP(F660*('Source Data'!H$7-'Source Data'!F$7))</x:f>
        <x:v>1581.5381785020268</x:v>
      </x:c>
      <x:c r="L660" s="14" t="n">
        <x:f>I660/K660-1</x:f>
        <x:v>-0.1843383754277501</x:v>
      </x:c>
      <x:c r="M660" s="8" t="n">
        <x:f>'Source Data'!G660</x:f>
        <x:v>1656</x:v>
      </x:c>
      <x:c r="N660" s="8" t="n">
        <x:f>M660*('Source Data'!H$8/'Source Data'!G$8)*EXP(F660*('Source Data'!H$7-'Source Data'!G$7))</x:f>
        <x:v>1513.9264369023626</x:v>
      </x:c>
      <x:c r="O660" s="14" t="n">
        <x:f>I660/N660-1</x:f>
        <x:v>-0.14791104207185746</x:v>
      </x:c>
      <x:c r="P660" s="2" t="str"/>
    </x:row>
    <x:row r="661">
      <x:c r="A661" s="2" t="str">
        <x:f>'Source Data'!A661</x:f>
        <x:v>561422</x:v>
      </x:c>
      <x:c r="B661" s="2" t="str">
        <x:f>'Source Data'!B661</x:f>
        <x:v>Telemarketing Bureaus and Other Contact Centers</x:v>
      </x:c>
      <x:c r="C661" s="13" t="n">
        <x:f>LN('Source Data'!C661/'Source Data'!C$8)</x:f>
        <x:v>-6.597042007700724</x:v>
      </x:c>
      <x:c r="D661" s="13" t="n">
        <x:f>LN('Source Data'!D661/'Source Data'!D$8)</x:f>
        <x:v>-6.633654560343812</x:v>
      </x:c>
      <x:c r="E661" s="13" t="n">
        <x:f>LN('Source Data'!E661/'Source Data'!E$8)</x:f>
        <x:v>-6.73264920942623</x:v>
      </x:c>
      <x:c r="F661" s="13" t="n">
        <x:f>SLOPE(C661:E661,'Source Data'!C$7:E$7)</x:f>
        <x:v>-0.06780360086275294</x:v>
      </x:c>
      <x:c r="G661" s="14" t="n">
        <x:f>EXP(F661)-1</x:f>
        <x:v>-0.06555602045219455</x:v>
      </x:c>
      <x:c r="H661" s="8" t="n">
        <x:f>'Source Data'!F661</x:f>
        <x:v>12077</x:v>
      </x:c>
      <x:c r="I661" s="8" t="n">
        <x:f>'Source Data'!H661</x:f>
        <x:v>6793</x:v>
      </x:c>
      <x:c r="J661" s="14" t="n">
        <x:f>I661/H661-1</x:f>
        <x:v>-0.43752587563136536</x:v>
      </x:c>
      <x:c r="K661" s="8" t="n">
        <x:f>H661*('Source Data'!H$8/'Source Data'!F$8)*EXP(F661*('Source Data'!H$7-'Source Data'!F$7))</x:f>
        <x:v>9371.530458589352</x:v>
      </x:c>
      <x:c r="L661" s="14" t="n">
        <x:f>I661/K661-1</x:f>
        <x:v>-0.2751450758212106</x:v>
      </x:c>
      <x:c r="M661" s="8" t="n">
        <x:f>'Source Data'!G661</x:f>
        <x:v>10712</x:v>
      </x:c>
      <x:c r="N661" s="8" t="n">
        <x:f>M661*('Source Data'!H$8/'Source Data'!G$8)*EXP(F661*('Source Data'!H$7-'Source Data'!G$7))</x:f>
        <x:v>8877.066455957287</x:v>
      </x:c>
      <x:c r="O661" s="14" t="n">
        <x:f>I661/N661-1</x:f>
        <x:v>-0.23476972559540732</x:v>
      </x:c>
      <x:c r="P661" s="2" t="str">
        <x:v>Selected</x:v>
      </x:c>
    </x:row>
    <x:row r="662">
      <x:c r="A662" s="2" t="str">
        <x:f>'Source Data'!A662</x:f>
        <x:v>561431</x:v>
      </x:c>
      <x:c r="B662" s="2" t="str">
        <x:f>'Source Data'!B662</x:f>
        <x:v>Private Mail Centers</x:v>
      </x:c>
      <x:c r="C662" s="13" t="n">
        <x:f>LN('Source Data'!C662/'Source Data'!C$8)</x:f>
        <x:v>-8.061551593726644</x:v>
      </x:c>
      <x:c r="D662" s="13" t="n">
        <x:f>LN('Source Data'!D662/'Source Data'!D$8)</x:f>
        <x:v>-8.033404269616817</x:v>
      </x:c>
      <x:c r="E662" s="13" t="n">
        <x:f>LN('Source Data'!E662/'Source Data'!E$8)</x:f>
        <x:v>-7.932250811654704</x:v>
      </x:c>
      <x:c r="F662" s="13" t="n">
        <x:f>SLOPE(C662:E662,'Source Data'!C$7:E$7)</x:f>
        <x:v>0.06465039103597015</x:v>
      </x:c>
      <x:c r="G662" s="14" t="n">
        <x:f>EXP(F662)-1</x:f>
        <x:v>0.06678600123314071</x:v>
      </x:c>
      <x:c r="H662" s="8" t="n">
        <x:f>'Source Data'!F662</x:f>
        <x:v>6849</x:v>
      </x:c>
      <x:c r="I662" s="8" t="n">
        <x:f>'Source Data'!H662</x:f>
        <x:v>6165</x:v>
      </x:c>
      <x:c r="J662" s="14" t="n">
        <x:f>I662/H662-1</x:f>
        <x:v>-0.099868593955322</x:v>
      </x:c>
      <x:c r="K662" s="8" t="n">
        <x:f>H662*('Source Data'!H$8/'Source Data'!F$8)*EXP(F662*('Source Data'!H$7-'Source Data'!F$7))</x:f>
        <x:v>9027.651223529365</x:v>
      </x:c>
      <x:c r="L662" s="14" t="n">
        <x:f>I662/K662-1</x:f>
        <x:v>-0.3170981191728196</x:v>
      </x:c>
      <x:c r="M662" s="8" t="n">
        <x:f>'Source Data'!G662</x:f>
        <x:v>6789</x:v>
      </x:c>
      <x:c r="N662" s="8" t="n">
        <x:f>M662*('Source Data'!H$8/'Source Data'!G$8)*EXP(F662*('Source Data'!H$7-'Source Data'!G$7))</x:f>
        <x:v>8370.990116493209</x:v>
      </x:c>
      <x:c r="O662" s="14" t="n">
        <x:f>I662/N662-1</x:f>
        <x:v>-0.26352798005898814</x:v>
      </x:c>
      <x:c r="P662" s="2" t="str"/>
    </x:row>
    <x:row r="663">
      <x:c r="A663" s="2" t="str">
        <x:f>'Source Data'!A663</x:f>
        <x:v>561439</x:v>
      </x:c>
      <x:c r="B663" s="2" t="str">
        <x:f>'Source Data'!B663</x:f>
        <x:v>Other Business Service Centers (including Copy Shops)</x:v>
      </x:c>
      <x:c r="C663" s="13" t="n">
        <x:f>LN('Source Data'!C663/'Source Data'!C$8)</x:f>
        <x:v>-7.381129219310511</x:v>
      </x:c>
      <x:c r="D663" s="13" t="n">
        <x:f>LN('Source Data'!D663/'Source Data'!D$8)</x:f>
        <x:v>-7.411692626977523</x:v>
      </x:c>
      <x:c r="E663" s="13" t="n">
        <x:f>LN('Source Data'!E663/'Source Data'!E$8)</x:f>
        <x:v>-7.422361605224675</x:v>
      </x:c>
      <x:c r="F663" s="13" t="n">
        <x:f>SLOPE(C663:E663,'Source Data'!C$7:E$7)</x:f>
        <x:v>-0.02061619295708228</x:v>
      </x:c>
      <x:c r="G663" s="14" t="n">
        <x:f>EXP(F663)-1</x:f>
        <x:v>-0.020405132162833683</x:v>
      </x:c>
      <x:c r="H663" s="8" t="n">
        <x:f>'Source Data'!F663</x:f>
        <x:v>7253</x:v>
      </x:c>
      <x:c r="I663" s="8" t="n">
        <x:f>'Source Data'!H663</x:f>
        <x:v>5279</x:v>
      </x:c>
      <x:c r="J663" s="14" t="n">
        <x:f>I663/H663-1</x:f>
        <x:v>-0.2721632427960844</x:v>
      </x:c>
      <x:c r="K663" s="8" t="n">
        <x:f>H663*('Source Data'!H$8/'Source Data'!F$8)*EXP(F663*('Source Data'!H$7-'Source Data'!F$7))</x:f>
        <x:v>6797.38792461016</x:v>
      </x:c>
      <x:c r="L663" s="14" t="n">
        <x:f>I663/K663-1</x:f>
        <x:v>-0.2233781478195157</x:v>
      </x:c>
      <x:c r="M663" s="8" t="n">
        <x:f>'Source Data'!G663</x:f>
        <x:v>6826</x:v>
      </x:c>
      <x:c r="N663" s="8" t="n">
        <x:f>M663*('Source Data'!H$8/'Source Data'!G$8)*EXP(F663*('Source Data'!H$7-'Source Data'!G$7))</x:f>
        <x:v>6516.957423461747</x:v>
      </x:c>
      <x:c r="O663" s="14" t="n">
        <x:f>I663/N663-1</x:f>
        <x:v>-0.18995941557097906</x:v>
      </x:c>
      <x:c r="P663" s="2" t="str"/>
    </x:row>
    <x:row r="664">
      <x:c r="A664" s="2" t="str">
        <x:f>'Source Data'!A664</x:f>
        <x:v>561440</x:v>
      </x:c>
      <x:c r="B664" s="2" t="str">
        <x:f>'Source Data'!B664</x:f>
        <x:v>Collection Agencies</x:v>
      </x:c>
      <x:c r="C664" s="13" t="n">
        <x:f>LN('Source Data'!C664/'Source Data'!C$8)</x:f>
        <x:v>-7.471229449233173</x:v>
      </x:c>
      <x:c r="D664" s="13" t="n">
        <x:f>LN('Source Data'!D664/'Source Data'!D$8)</x:f>
        <x:v>-7.5112577702263446</x:v>
      </x:c>
      <x:c r="E664" s="13" t="n">
        <x:f>LN('Source Data'!E664/'Source Data'!E$8)</x:f>
        <x:v>-7.61002624733496</x:v>
      </x:c>
      <x:c r="F664" s="13" t="n">
        <x:f>SLOPE(C664:E664,'Source Data'!C$7:E$7)</x:f>
        <x:v>-0.06939839905089373</x:v>
      </x:c>
      <x:c r="G664" s="14" t="n">
        <x:f>EXP(F664)-1</x:f>
        <x:v>-0.06704508232550332</x:v>
      </x:c>
      <x:c r="H664" s="8" t="n">
        <x:f>'Source Data'!F664</x:f>
        <x:v>5390</x:v>
      </x:c>
      <x:c r="I664" s="8" t="n">
        <x:f>'Source Data'!H664</x:f>
        <x:v>4515</x:v>
      </x:c>
      <x:c r="J664" s="14" t="n">
        <x:f>I664/H664-1</x:f>
        <x:v>-0.16233766233766234</x:v>
      </x:c>
      <x:c r="K664" s="8" t="n">
        <x:f>H664*('Source Data'!H$8/'Source Data'!F$8)*EXP(F664*('Source Data'!H$7-'Source Data'!F$7))</x:f>
        <x:v>4155.944811094108</x:v>
      </x:c>
      <x:c r="L664" s="14" t="n">
        <x:f>I664/K664-1</x:f>
        <x:v>0.0863955623153152</x:v>
      </x:c>
      <x:c r="M664" s="8" t="n">
        <x:f>'Source Data'!G664</x:f>
        <x:v>5369</x:v>
      </x:c>
      <x:c r="N664" s="8" t="n">
        <x:f>M664*('Source Data'!H$8/'Source Data'!G$8)*EXP(F664*('Source Data'!H$7-'Source Data'!G$7))</x:f>
        <x:v>4428.069971840019</x:v>
      </x:c>
      <x:c r="O664" s="14" t="n">
        <x:f>I664/N664-1</x:f>
        <x:v>0.01963158412419097</x:v>
      </x:c>
      <x:c r="P664" s="2" t="str"/>
    </x:row>
    <x:row r="665">
      <x:c r="A665" s="2" t="str">
        <x:f>'Source Data'!A665</x:f>
        <x:v>561450</x:v>
      </x:c>
      <x:c r="B665" s="2" t="str">
        <x:f>'Source Data'!B665</x:f>
        <x:v>Credit Bureaus</x:v>
      </x:c>
      <x:c r="C665" s="13" t="n">
        <x:f>LN('Source Data'!C665/'Source Data'!C$8)</x:f>
        <x:v>-8.467127621917003</x:v>
      </x:c>
      <x:c r="D665" s="13" t="n">
        <x:f>LN('Source Data'!D665/'Source Data'!D$8)</x:f>
        <x:v>-8.47920393044865</x:v>
      </x:c>
      <x:c r="E665" s="13" t="n">
        <x:f>LN('Source Data'!E665/'Source Data'!E$8)</x:f>
        <x:v>-8.41757144914854</x:v>
      </x:c>
      <x:c r="F665" s="13" t="n">
        <x:f>SLOPE(C665:E665,'Source Data'!C$7:E$7)</x:f>
        <x:v>0.024778086384231734</x:v>
      </x:c>
      <x:c r="G665" s="14" t="n">
        <x:f>EXP(F665)-1</x:f>
        <x:v>0.025087614383020318</x:v>
      </x:c>
      <x:c r="H665" s="8" t="n">
        <x:f>'Source Data'!F665</x:f>
        <x:v>3356</x:v>
      </x:c>
      <x:c r="I665" s="8" t="n">
        <x:f>'Source Data'!H665</x:f>
        <x:v>2613</x:v>
      </x:c>
      <x:c r="J665" s="14" t="n">
        <x:f>I665/H665-1</x:f>
        <x:v>-0.22139451728247916</x:v>
      </x:c>
      <x:c r="K665" s="8" t="n">
        <x:f>H665*('Source Data'!H$8/'Source Data'!F$8)*EXP(F665*('Source Data'!H$7-'Source Data'!F$7))</x:f>
        <x:v>3771.4145347402714</x:v>
      </x:c>
      <x:c r="L665" s="14" t="n">
        <x:f>I665/K665-1</x:f>
        <x:v>-0.30715651225013074</x:v>
      </x:c>
      <x:c r="M665" s="8" t="n">
        <x:f>'Source Data'!G665</x:f>
        <x:v>3284</x:v>
      </x:c>
      <x:c r="N665" s="8" t="n">
        <x:f>M665*('Source Data'!H$8/'Source Data'!G$8)*EXP(F665*('Source Data'!H$7-'Source Data'!G$7))</x:f>
        <x:v>3592.735152403305</x:v>
      </x:c>
      <x:c r="O665" s="14" t="n">
        <x:f>I665/N665-1</x:f>
        <x:v>-0.27269896355926104</x:v>
      </x:c>
      <x:c r="P665" s="2" t="str"/>
    </x:row>
    <x:row r="666">
      <x:c r="A666" s="2" t="str">
        <x:f>'Source Data'!A666</x:f>
        <x:v>561491</x:v>
      </x:c>
      <x:c r="B666" s="2" t="str">
        <x:f>'Source Data'!B666</x:f>
        <x:v>Repossession Services</x:v>
      </x:c>
      <x:c r="C666" s="13" t="n">
        <x:f>LN('Source Data'!C666/'Source Data'!C$8)</x:f>
        <x:v>-9.24459731547702</x:v>
      </x:c>
      <x:c r="D666" s="13" t="n">
        <x:f>LN('Source Data'!D666/'Source Data'!D$8)</x:f>
        <x:v>-9.118821267866094</x:v>
      </x:c>
      <x:c r="E666" s="13" t="n">
        <x:f>LN('Source Data'!E666/'Source Data'!E$8)</x:f>
        <x:v>-9.036306567541777</x:v>
      </x:c>
      <x:c r="F666" s="13" t="n">
        <x:f>SLOPE(C666:E666,'Source Data'!C$7:E$7)</x:f>
        <x:v>0.10414537396762125</x:v>
      </x:c>
      <x:c r="G666" s="14" t="n">
        <x:f>EXP(F666)-1</x:f>
        <x:v>0.10976177366167694</x:v>
      </x:c>
      <x:c r="H666" s="8" t="n">
        <x:f>'Source Data'!F666</x:f>
        <x:v>911</x:v>
      </x:c>
      <x:c r="I666" s="8" t="n">
        <x:f>'Source Data'!H666</x:f>
        <x:v>1058</x:v>
      </x:c>
      <x:c r="J666" s="14" t="n">
        <x:f>I666/H666-1</x:f>
        <x:v>0.16136114160263437</x:v>
      </x:c>
      <x:c r="K666" s="8" t="n">
        <x:f>H666*('Source Data'!H$8/'Source Data'!F$8)*EXP(F666*('Source Data'!H$7-'Source Data'!F$7))</x:f>
        <x:v>1406.2929366695648</x:v>
      </x:c>
      <x:c r="L666" s="14" t="n">
        <x:f>I666/K666-1</x:f>
        <x:v>-0.24766741522175673</x:v>
      </x:c>
      <x:c r="M666" s="8" t="n">
        <x:f>'Source Data'!G666</x:f>
        <x:v>977</x:v>
      </x:c>
      <x:c r="N666" s="8" t="n">
        <x:f>M666*('Source Data'!H$8/'Source Data'!G$8)*EXP(F666*('Source Data'!H$7-'Source Data'!G$7))</x:f>
        <x:v>1356.1975130862406</x:v>
      </x:c>
      <x:c r="O666" s="14" t="n">
        <x:f>I666/N666-1</x:f>
        <x:v>-0.21987764334388527</x:v>
      </x:c>
      <x:c r="P666" s="2" t="str"/>
    </x:row>
    <x:row r="667">
      <x:c r="A667" s="2" t="str">
        <x:f>'Source Data'!A667</x:f>
        <x:v>561492</x:v>
      </x:c>
      <x:c r="B667" s="2" t="str">
        <x:f>'Source Data'!B667</x:f>
        <x:v>Court Reporting and Stenotype Services</x:v>
      </x:c>
      <x:c r="C667" s="13" t="n">
        <x:f>LN('Source Data'!C667/'Source Data'!C$8)</x:f>
        <x:v>-9.04326855207851</x:v>
      </x:c>
      <x:c r="D667" s="13" t="n">
        <x:f>LN('Source Data'!D667/'Source Data'!D$8)</x:f>
        <x:v>-9.038490500274104</x:v>
      </x:c>
      <x:c r="E667" s="13" t="n">
        <x:f>LN('Source Data'!E667/'Source Data'!E$8)</x:f>
        <x:v>-8.982447397869048</x:v>
      </x:c>
      <x:c r="F667" s="13" t="n">
        <x:f>SLOPE(C667:E667,'Source Data'!C$7:E$7)</x:f>
        <x:v>0.03041057710473094</x:v>
      </x:c>
      <x:c r="G667" s="14" t="n">
        <x:f>EXP(F667)-1</x:f>
        <x:v>0.030877701858206263</x:v>
      </x:c>
      <x:c r="H667" s="8" t="n">
        <x:f>'Source Data'!F667</x:f>
        <x:v>1868</x:v>
      </x:c>
      <x:c r="I667" s="8" t="n">
        <x:f>'Source Data'!H667</x:f>
        <x:v>2142</x:v>
      </x:c>
      <x:c r="J667" s="14" t="n">
        <x:f>I667/H667-1</x:f>
        <x:v>0.14668094218415417</x:v>
      </x:c>
      <x:c r="K667" s="8" t="n">
        <x:f>H667*('Source Data'!H$8/'Source Data'!F$8)*EXP(F667*('Source Data'!H$7-'Source Data'!F$7))</x:f>
        <x:v>2147.0582584071117</x:v>
      </x:c>
      <x:c r="L667" s="14" t="n">
        <x:f>I667/K667-1</x:f>
        <x:v>-0.002355901796006421</x:v>
      </x:c>
      <x:c r="M667" s="8" t="n">
        <x:f>'Source Data'!G667</x:f>
        <x:v>2143</x:v>
      </x:c>
      <x:c r="N667" s="8" t="n">
        <x:f>M667*('Source Data'!H$8/'Source Data'!G$8)*EXP(F667*('Source Data'!H$7-'Source Data'!G$7))</x:f>
        <x:v>2384.419719087845</x:v>
      </x:c>
      <x:c r="O667" s="14" t="n">
        <x:f>I667/N667-1</x:f>
        <x:v>-0.1016682244099969</x:v>
      </x:c>
      <x:c r="P667" s="2" t="str"/>
    </x:row>
    <x:row r="668">
      <x:c r="A668" s="2" t="str">
        <x:f>'Source Data'!A668</x:f>
        <x:v>561499</x:v>
      </x:c>
      <x:c r="B668" s="2" t="str">
        <x:f>'Source Data'!B668</x:f>
        <x:v>All Other Business Support Services</x:v>
      </x:c>
      <x:c r="C668" s="13" t="n">
        <x:f>LN('Source Data'!C668/'Source Data'!C$8)</x:f>
        <x:v>-7.894429256666085</x:v>
      </x:c>
      <x:c r="D668" s="13" t="n">
        <x:f>LN('Source Data'!D668/'Source Data'!D$8)</x:f>
        <x:v>-7.789685320586153</x:v>
      </x:c>
      <x:c r="E668" s="13" t="n">
        <x:f>LN('Source Data'!E668/'Source Data'!E$8)</x:f>
        <x:v>-7.780724313277127</x:v>
      </x:c>
      <x:c r="F668" s="13" t="n">
        <x:f>SLOPE(C668:E668,'Source Data'!C$7:E$7)</x:f>
        <x:v>0.056852471694479156</x:v>
      </x:c>
      <x:c r="G668" s="14" t="n">
        <x:f>EXP(F668)-1</x:f>
        <x:v>0.058499640217706705</x:v>
      </x:c>
      <x:c r="H668" s="8" t="n">
        <x:f>'Source Data'!F668</x:f>
        <x:v>5164</x:v>
      </x:c>
      <x:c r="I668" s="8" t="n">
        <x:f>'Source Data'!H668</x:f>
        <x:v>4900</x:v>
      </x:c>
      <x:c r="J668" s="14" t="n">
        <x:f>I668/H668-1</x:f>
        <x:v>-0.051123160340821094</x:v>
      </x:c>
      <x:c r="K668" s="8" t="n">
        <x:f>H668*('Source Data'!H$8/'Source Data'!F$8)*EXP(F668*('Source Data'!H$7-'Source Data'!F$7))</x:f>
        <x:v>6597.622552774803</x:v>
      </x:c>
      <x:c r="L668" s="14" t="n">
        <x:f>I668/K668-1</x:f>
        <x:v>-0.25730822568211686</x:v>
      </x:c>
      <x:c r="M668" s="8" t="n">
        <x:f>'Source Data'!G668</x:f>
        <x:v>4750</x:v>
      </x:c>
      <x:c r="N668" s="8" t="n">
        <x:f>M668*('Source Data'!H$8/'Source Data'!G$8)*EXP(F668*('Source Data'!H$7-'Source Data'!G$7))</x:f>
        <x:v>5721.433441720116</x:v>
      </x:c>
      <x:c r="O668" s="14" t="n">
        <x:f>I668/N668-1</x:f>
        <x:v>-0.14357126585276803</x:v>
      </x:c>
      <x:c r="P668" s="2" t="str"/>
    </x:row>
    <x:row r="669">
      <x:c r="A669" s="2" t="str">
        <x:f>'Source Data'!A669</x:f>
        <x:v>561510</x:v>
      </x:c>
      <x:c r="B669" s="2" t="str">
        <x:f>'Source Data'!B669</x:f>
        <x:v>Travel Agencies</x:v>
      </x:c>
      <x:c r="C669" s="13" t="n">
        <x:f>LN('Source Data'!C669/'Source Data'!C$8)</x:f>
        <x:v>-7.124710388925482</x:v>
      </x:c>
      <x:c r="D669" s="13" t="n">
        <x:f>LN('Source Data'!D669/'Source Data'!D$8)</x:f>
        <x:v>-7.122313625559232</x:v>
      </x:c>
      <x:c r="E669" s="13" t="n">
        <x:f>LN('Source Data'!E669/'Source Data'!E$8)</x:f>
        <x:v>-7.152115653854753</x:v>
      </x:c>
      <x:c r="F669" s="13" t="n">
        <x:f>SLOPE(C669:E669,'Source Data'!C$7:E$7)</x:f>
        <x:v>-0.013702632464635212</x:v>
      </x:c>
      <x:c r="G669" s="14" t="n">
        <x:f>EXP(F669)-1</x:f>
        <x:v>-0.013609178737403194</x:v>
      </x:c>
      <x:c r="H669" s="8" t="n">
        <x:f>'Source Data'!F669</x:f>
        <x:v>7400</x:v>
      </x:c>
      <x:c r="I669" s="8" t="n">
        <x:f>'Source Data'!H669</x:f>
        <x:v>7219</x:v>
      </x:c>
      <x:c r="J669" s="14" t="n">
        <x:f>I669/H669-1</x:f>
        <x:v>-0.024459459459459487</x:v>
      </x:c>
      <x:c r="K669" s="8" t="n">
        <x:f>H669*('Source Data'!H$8/'Source Data'!F$8)*EXP(F669*('Source Data'!H$7-'Source Data'!F$7))</x:f>
        <x:v>7129.616708806398</x:v>
      </x:c>
      <x:c r="L669" s="14" t="n">
        <x:f>I669/K669-1</x:f>
        <x:v>0.012536899926639533</x:v>
      </x:c>
      <x:c r="M669" s="8" t="n">
        <x:f>'Source Data'!G669</x:f>
        <x:v>8526</x:v>
      </x:c>
      <x:c r="N669" s="8" t="n">
        <x:f>M669*('Source Data'!H$8/'Source Data'!G$8)*EXP(F669*('Source Data'!H$7-'Source Data'!G$7))</x:f>
        <x:v>8310.583005570224</x:v>
      </x:c>
      <x:c r="O669" s="14" t="n">
        <x:f>I669/N669-1</x:f>
        <x:v>-0.131348547368889</x:v>
      </x:c>
      <x:c r="P669" s="2" t="str"/>
    </x:row>
    <x:row r="670">
      <x:c r="A670" s="2" t="str">
        <x:f>'Source Data'!A670</x:f>
        <x:v>561520</x:v>
      </x:c>
      <x:c r="B670" s="2" t="str">
        <x:f>'Source Data'!B670</x:f>
        <x:v>Tour Operators</x:v>
      </x:c>
      <x:c r="C670" s="13" t="n">
        <x:f>LN('Source Data'!C670/'Source Data'!C$8)</x:f>
        <x:v>-8.363832465599577</x:v>
      </x:c>
      <x:c r="D670" s="13" t="n">
        <x:f>LN('Source Data'!D670/'Source Data'!D$8)</x:f>
        <x:v>-8.315549656235381</x:v>
      </x:c>
      <x:c r="E670" s="13" t="n">
        <x:f>LN('Source Data'!E670/'Source Data'!E$8)</x:f>
        <x:v>-8.370346638807746</x:v>
      </x:c>
      <x:c r="F670" s="13" t="n">
        <x:f>SLOPE(C670:E670,'Source Data'!C$7:E$7)</x:f>
        <x:v>-0.0032570866040844138</x:v>
      </x:c>
      <x:c r="G670" s="14" t="n">
        <x:f>EXP(F670)-1</x:f>
        <x:v>-0.00325178805168691</x:v>
      </x:c>
      <x:c r="H670" s="8" t="n">
        <x:f>'Source Data'!F670</x:f>
        <x:v>2253</x:v>
      </x:c>
      <x:c r="I670" s="8" t="n">
        <x:f>'Source Data'!H670</x:f>
        <x:v>2943</x:v>
      </x:c>
      <x:c r="J670" s="14" t="n">
        <x:f>I670/H670-1</x:f>
        <x:v>0.3062583222370172</x:v>
      </x:c>
      <x:c r="K670" s="8" t="n">
        <x:f>H670*('Source Data'!H$8/'Source Data'!F$8)*EXP(F670*('Source Data'!H$7-'Source Data'!F$7))</x:f>
        <x:v>2263.2963671330103</x:v>
      </x:c>
      <x:c r="L670" s="14" t="n">
        <x:f>I670/K670-1</x:f>
        <x:v>0.3003157883949559</x:v>
      </x:c>
      <x:c r="M670" s="8" t="n">
        <x:f>'Source Data'!G670</x:f>
        <x:v>2628</x:v>
      </x:c>
      <x:c r="N670" s="8" t="n">
        <x:f>M670*('Source Data'!H$8/'Source Data'!G$8)*EXP(F670*('Source Data'!H$7-'Source Data'!G$7))</x:f>
        <x:v>2643.144173645004</x:v>
      </x:c>
      <x:c r="O670" s="14" t="n">
        <x:f>I670/N670-1</x:f>
        <x:v>0.1134466403100074</x:v>
      </x:c>
      <x:c r="P670" s="2" t="str"/>
    </x:row>
    <x:row r="671">
      <x:c r="A671" s="2" t="str">
        <x:f>'Source Data'!A671</x:f>
        <x:v>561591</x:v>
      </x:c>
      <x:c r="B671" s="2" t="str">
        <x:f>'Source Data'!B671</x:f>
        <x:v>Convention and Visitors Bureaus</x:v>
      </x:c>
      <x:c r="C671" s="13" t="n">
        <x:f>LN('Source Data'!C671/'Source Data'!C$8)</x:f>
        <x:v>-9.875289969673474</x:v>
      </x:c>
      <x:c r="D671" s="13" t="n">
        <x:f>LN('Source Data'!D671/'Source Data'!D$8)</x:f>
        <x:v>-9.86582761809877</x:v>
      </x:c>
      <x:c r="E671" s="13" t="n">
        <x:f>LN('Source Data'!E671/'Source Data'!E$8)</x:f>
        <x:v>-9.105259107503587</x:v>
      </x:c>
      <x:c r="F671" s="13" t="n">
        <x:f>SLOPE(C671:E671,'Source Data'!C$7:E$7)</x:f>
        <x:v>0.38501543108494385</x:v>
      </x:c>
      <x:c r="G671" s="14" t="n">
        <x:f>EXP(F671)-1</x:f>
        <x:v>0.4696369993595453</x:v>
      </x:c>
      <x:c r="H671" s="8" t="n">
        <x:f>'Source Data'!F671</x:f>
        <x:v>629</x:v>
      </x:c>
      <x:c r="I671" s="8" t="n">
        <x:f>'Source Data'!H671</x:f>
        <x:v>779</x:v>
      </x:c>
      <x:c r="J671" s="14" t="n">
        <x:f>I671/H671-1</x:f>
        <x:v>0.23847376788553265</x:v>
      </x:c>
      <x:c r="K671" s="8" t="n">
        <x:f>H671*('Source Data'!H$8/'Source Data'!F$8)*EXP(F671*('Source Data'!H$7-'Source Data'!F$7))</x:f>
        <x:v>2986.271762373695</x:v>
      </x:c>
      <x:c r="L671" s="14" t="n">
        <x:f>I671/K671-1</x:f>
        <x:v>-0.7391396155516681</x:v>
      </x:c>
      <x:c r="M671" s="8" t="n">
        <x:f>'Source Data'!G671</x:f>
        <x:v>719</x:v>
      </x:c>
      <x:c r="N671" s="8" t="n">
        <x:f>M671*('Source Data'!H$8/'Source Data'!G$8)*EXP(F671*('Source Data'!H$7-'Source Data'!G$7))</x:f>
        <x:v>2317.918801052055</x:v>
      </x:c>
      <x:c r="O671" s="14" t="n">
        <x:f>I671/N671-1</x:f>
        <x:v>-0.6639226535259009</x:v>
      </x:c>
      <x:c r="P671" s="2" t="str"/>
    </x:row>
    <x:row r="672">
      <x:c r="A672" s="2" t="str">
        <x:f>'Source Data'!A672</x:f>
        <x:v>561599</x:v>
      </x:c>
      <x:c r="B672" s="2" t="str">
        <x:f>'Source Data'!B672</x:f>
        <x:v>All Other Travel Arrangement and Reservation Services</x:v>
      </x:c>
      <x:c r="C672" s="13" t="n">
        <x:f>LN('Source Data'!C672/'Source Data'!C$8)</x:f>
        <x:v>-7.495240057195113</x:v>
      </x:c>
      <x:c r="D672" s="13" t="n">
        <x:f>LN('Source Data'!D672/'Source Data'!D$8)</x:f>
        <x:v>-7.503656961096001</x:v>
      </x:c>
      <x:c r="E672" s="13" t="n">
        <x:f>LN('Source Data'!E672/'Source Data'!E$8)</x:f>
        <x:v>-7.502863477694898</x:v>
      </x:c>
      <x:c r="F672" s="13" t="n">
        <x:f>SLOPE(C672:E672,'Source Data'!C$7:E$7)</x:f>
        <x:v>-0.0038117102498924638</x:v>
      </x:c>
      <x:c r="G672" s="14" t="n">
        <x:f>EXP(F672)-1</x:f>
        <x:v>-0.003804454903731047</x:v>
      </x:c>
      <x:c r="H672" s="8" t="n">
        <x:f>'Source Data'!F672</x:f>
        <x:v>9208</x:v>
      </x:c>
      <x:c r="I672" s="8" t="n">
        <x:f>'Source Data'!H672</x:f>
        <x:v>9428</x:v>
      </x:c>
      <x:c r="J672" s="14" t="n">
        <x:f>I672/H672-1</x:f>
        <x:v>0.02389226759339702</x:v>
      </x:c>
      <x:c r="K672" s="8" t="n">
        <x:f>H672*('Source Data'!H$8/'Source Data'!F$8)*EXP(F672*('Source Data'!H$7-'Source Data'!F$7))</x:f>
        <x:v>9229.582693482904</x:v>
      </x:c>
      <x:c r="L672" s="14" t="n">
        <x:f>I672/K672-1</x:f>
        <x:v>0.021497971588379627</x:v>
      </x:c>
      <x:c r="M672" s="8" t="n">
        <x:f>'Source Data'!G672</x:f>
        <x:v>9334</x:v>
      </x:c>
      <x:c r="N672" s="8" t="n">
        <x:f>M672*('Source Data'!H$8/'Source Data'!G$8)*EXP(F672*('Source Data'!H$7-'Source Data'!G$7))</x:f>
        <x:v>9372.18124403088</x:v>
      </x:c>
      <x:c r="O672" s="14" t="n">
        <x:f>I672/N672-1</x:f>
        <x:v>0.005955791348430273</x:v>
      </x:c>
      <x:c r="P672" s="2" t="str"/>
    </x:row>
    <x:row r="673">
      <x:c r="A673" s="2" t="str">
        <x:f>'Source Data'!A673</x:f>
        <x:v>561611</x:v>
      </x:c>
      <x:c r="B673" s="2" t="str">
        <x:f>'Source Data'!B673</x:f>
        <x:v>Investigation and Personal Background Check Services</x:v>
      </x:c>
      <x:c r="C673" s="13" t="n">
        <x:f>LN('Source Data'!C673/'Source Data'!C$8)</x:f>
        <x:v>-8.035280380572743</x:v>
      </x:c>
      <x:c r="D673" s="13" t="n">
        <x:f>LN('Source Data'!D673/'Source Data'!D$8)</x:f>
        <x:v>-7.992911234953774</x:v>
      </x:c>
      <x:c r="E673" s="13" t="n">
        <x:f>LN('Source Data'!E673/'Source Data'!E$8)</x:f>
        <x:v>-7.926650647681482</x:v>
      </x:c>
      <x:c r="F673" s="13" t="n">
        <x:f>SLOPE(C673:E673,'Source Data'!C$7:E$7)</x:f>
        <x:v>0.05431486644563055</x:v>
      </x:c>
      <x:c r="G673" s="14" t="n">
        <x:f>EXP(F673)-1</x:f>
        <x:v>0.055816991166505625</x:v>
      </x:c>
      <x:c r="H673" s="8" t="n">
        <x:f>'Source Data'!F673</x:f>
        <x:v>5180</x:v>
      </x:c>
      <x:c r="I673" s="8" t="n">
        <x:f>'Source Data'!H673</x:f>
        <x:v>4984</x:v>
      </x:c>
      <x:c r="J673" s="14" t="n">
        <x:f>I673/H673-1</x:f>
        <x:v>-0.037837837837837784</x:v>
      </x:c>
      <x:c r="K673" s="8" t="n">
        <x:f>H673*('Source Data'!H$8/'Source Data'!F$8)*EXP(F673*('Source Data'!H$7-'Source Data'!F$7))</x:f>
        <x:v>6551.228092778802</x:v>
      </x:c>
      <x:c r="L673" s="14" t="n">
        <x:f>I673/K673-1</x:f>
        <x:v>-0.239226610733689</x:v>
      </x:c>
      <x:c r="M673" s="8" t="n">
        <x:f>'Source Data'!G673</x:f>
        <x:v>5170</x:v>
      </x:c>
      <x:c r="N673" s="8" t="n">
        <x:f>M673*('Source Data'!H$8/'Source Data'!G$8)*EXP(F673*('Source Data'!H$7-'Source Data'!G$7))</x:f>
        <x:v>6180.101099158388</x:v>
      </x:c>
      <x:c r="O673" s="14" t="n">
        <x:f>I673/N673-1</x:f>
        <x:v>-0.1935407010285437</x:v>
      </x:c>
      <x:c r="P673" s="2" t="str"/>
    </x:row>
    <x:row r="674">
      <x:c r="A674" s="2" t="str">
        <x:f>'Source Data'!A674</x:f>
        <x:v>561612</x:v>
      </x:c>
      <x:c r="B674" s="2" t="str">
        <x:f>'Source Data'!B674</x:f>
        <x:v>Security Guards and Patrol Services</x:v>
      </x:c>
      <x:c r="C674" s="13" t="n">
        <x:f>LN('Source Data'!C674/'Source Data'!C$8)</x:f>
        <x:v>-4.796034360253183</x:v>
      </x:c>
      <x:c r="D674" s="13" t="n">
        <x:f>LN('Source Data'!D674/'Source Data'!D$8)</x:f>
        <x:v>-4.764805009396186</x:v>
      </x:c>
      <x:c r="E674" s="13" t="n">
        <x:f>LN('Source Data'!E674/'Source Data'!E$8)</x:f>
        <x:v>-4.797562676385406</x:v>
      </x:c>
      <x:c r="F674" s="13" t="n">
        <x:f>SLOPE(C674:E674,'Source Data'!C$7:E$7)</x:f>
        <x:v>-0.0007641580661110758</x:v>
      </x:c>
      <x:c r="G674" s="14" t="n">
        <x:f>EXP(F674)-1</x:f>
        <x:v>-0.0007638661716919959</x:v>
      </x:c>
      <x:c r="H674" s="8" t="n">
        <x:f>'Source Data'!F674</x:f>
        <x:v>129965</x:v>
      </x:c>
      <x:c r="I674" s="8" t="n">
        <x:f>'Source Data'!H674</x:f>
        <x:v>142901</x:v>
      </x:c>
      <x:c r="J674" s="14" t="n">
        <x:f>I674/H674-1</x:f>
        <x:v>0.0995344900550148</x:v>
      </x:c>
      <x:c r="K674" s="8" t="n">
        <x:f>H674*('Source Data'!H$8/'Source Data'!F$8)*EXP(F674*('Source Data'!H$7-'Source Data'!F$7))</x:f>
        <x:v>131867.35833437653</x:v>
      </x:c>
      <x:c r="L674" s="14" t="n">
        <x:f>I674/K674-1</x:f>
        <x:v>0.08367227344954786</x:v>
      </x:c>
      <x:c r="M674" s="8" t="n">
        <x:f>'Source Data'!G674</x:f>
        <x:v>138234</x:v>
      </x:c>
      <x:c r="N674" s="8" t="n">
        <x:f>M674*('Source Data'!H$8/'Source Data'!G$8)*EXP(F674*('Source Data'!H$7-'Source Data'!G$7))</x:f>
        <x:v>140074.26828541534</x:v>
      </x:c>
      <x:c r="O674" s="14" t="n">
        <x:f>I674/N674-1</x:f>
        <x:v>0.020180235450703243</x:v>
      </x:c>
      <x:c r="P674" s="2" t="str"/>
    </x:row>
    <x:row r="675">
      <x:c r="A675" s="2" t="str">
        <x:f>'Source Data'!A675</x:f>
        <x:v>561613</x:v>
      </x:c>
      <x:c r="B675" s="2" t="str">
        <x:f>'Source Data'!B675</x:f>
        <x:v>Armored Car Services</x:v>
      </x:c>
      <x:c r="C675" s="13" t="n">
        <x:f>LN('Source Data'!C675/'Source Data'!C$8)</x:f>
        <x:v>-8.244050628558156</x:v>
      </x:c>
      <x:c r="D675" s="13" t="n">
        <x:f>LN('Source Data'!D675/'Source Data'!D$8)</x:f>
        <x:v>-8.24564395949107</x:v>
      </x:c>
      <x:c r="E675" s="13" t="n">
        <x:f>LN('Source Data'!E675/'Source Data'!E$8)</x:f>
        <x:v>-8.30711445358423</x:v>
      </x:c>
      <x:c r="F675" s="13" t="n">
        <x:f>SLOPE(C675:E675,'Source Data'!C$7:E$7)</x:f>
        <x:v>-0.031531912513036886</x:v>
      </x:c>
      <x:c r="G675" s="14" t="n">
        <x:f>EXP(F675)-1</x:f>
        <x:v>-0.031039965989381746</x:v>
      </x:c>
      <x:c r="H675" s="8" t="n">
        <x:f>'Source Data'!F675</x:f>
        <x:v>3195</x:v>
      </x:c>
      <x:c r="I675" s="8" t="n">
        <x:f>'Source Data'!H675</x:f>
        <x:v>2500</x:v>
      </x:c>
      <x:c r="J675" s="14" t="n">
        <x:f>I675/H675-1</x:f>
        <x:v>-0.21752738654147108</x:v>
      </x:c>
      <x:c r="K675" s="8" t="n">
        <x:f>H675*('Source Data'!H$8/'Source Data'!F$8)*EXP(F675*('Source Data'!H$7-'Source Data'!F$7))</x:f>
        <x:v>2866.3729294670547</x:v>
      </x:c>
      <x:c r="L675" s="14" t="n">
        <x:f>I675/K675-1</x:f>
        <x:v>-0.1278176072975873</x:v>
      </x:c>
      <x:c r="M675" s="8" t="n">
        <x:f>'Source Data'!G675</x:f>
        <x:v>3041</x:v>
      </x:c>
      <x:c r="N675" s="8" t="n">
        <x:f>M675*('Source Data'!H$8/'Source Data'!G$8)*EXP(F675*('Source Data'!H$7-'Source Data'!G$7))</x:f>
        <x:v>2809.7851285726324</x:v>
      </x:c>
      <x:c r="O675" s="14" t="n">
        <x:f>I675/N675-1</x:f>
        <x:v>-0.1102522486230123</x:v>
      </x:c>
      <x:c r="P675" s="2" t="str"/>
    </x:row>
    <x:row r="676">
      <x:c r="A676" s="2" t="str">
        <x:f>'Source Data'!A676</x:f>
        <x:v>561621</x:v>
      </x:c>
      <x:c r="B676" s="2" t="str">
        <x:f>'Source Data'!B676</x:f>
        <x:v>Security Systems Services (except Locksmiths)</x:v>
      </x:c>
      <x:c r="C676" s="13" t="n">
        <x:f>LN('Source Data'!C676/'Source Data'!C$8)</x:f>
        <x:v>-6.941577849059796</x:v>
      </x:c>
      <x:c r="D676" s="13" t="n">
        <x:f>LN('Source Data'!D676/'Source Data'!D$8)</x:f>
        <x:v>-6.928347125015697</x:v>
      </x:c>
      <x:c r="E676" s="13" t="n">
        <x:f>LN('Source Data'!E676/'Source Data'!E$8)</x:f>
        <x:v>-6.9059529447254615</x:v>
      </x:c>
      <x:c r="F676" s="13" t="n">
        <x:f>SLOPE(C676:E676,'Source Data'!C$7:E$7)</x:f>
        <x:v>0.017812452167167425</x:v>
      </x:c>
      <x:c r="G676" s="14" t="n">
        <x:f>EXP(F676)-1</x:f>
        <x:v>0.017972040035510783</x:v>
      </x:c>
      <x:c r="H676" s="8" t="n">
        <x:f>'Source Data'!F676</x:f>
        <x:v>16725</x:v>
      </x:c>
      <x:c r="I676" s="8" t="n">
        <x:f>'Source Data'!H676</x:f>
        <x:v>14511</x:v>
      </x:c>
      <x:c r="J676" s="14" t="n">
        <x:f>I676/H676-1</x:f>
        <x:v>-0.1323766816143498</x:v>
      </x:c>
      <x:c r="K676" s="8" t="n">
        <x:f>H676*('Source Data'!H$8/'Source Data'!F$8)*EXP(F676*('Source Data'!H$7-'Source Data'!F$7))</x:f>
        <x:v>18278.809165448056</x:v>
      </x:c>
      <x:c r="L676" s="14" t="n">
        <x:f>I676/K676-1</x:f>
        <x:v>-0.2061299032855075</x:v>
      </x:c>
      <x:c r="M676" s="8" t="n">
        <x:f>'Source Data'!G676</x:f>
        <x:v>17422</x:v>
      </x:c>
      <x:c r="N676" s="8" t="n">
        <x:f>M676*('Source Data'!H$8/'Source Data'!G$8)*EXP(F676*('Source Data'!H$7-'Source Data'!G$7))</x:f>
        <x:v>18665.71604228111</x:v>
      </x:c>
      <x:c r="O676" s="14" t="n">
        <x:f>I676/N676-1</x:f>
        <x:v>-0.22258540914637037</x:v>
      </x:c>
      <x:c r="P676" s="2" t="str"/>
    </x:row>
    <x:row r="677">
      <x:c r="A677" s="2" t="str">
        <x:f>'Source Data'!A677</x:f>
        <x:v>561622</x:v>
      </x:c>
      <x:c r="B677" s="2" t="str">
        <x:f>'Source Data'!B677</x:f>
        <x:v>Locksmiths</x:v>
      </x:c>
      <x:c r="C677" s="13" t="n">
        <x:f>LN('Source Data'!C677/'Source Data'!C$8)</x:f>
        <x:v>-8.774412674374512</x:v>
      </x:c>
      <x:c r="D677" s="13" t="n">
        <x:f>LN('Source Data'!D677/'Source Data'!D$8)</x:f>
        <x:v>-8.79572505544335</x:v>
      </x:c>
      <x:c r="E677" s="13" t="n">
        <x:f>LN('Source Data'!E677/'Source Data'!E$8)</x:f>
        <x:v>-8.803609698276942</x:v>
      </x:c>
      <x:c r="F677" s="13" t="n">
        <x:f>SLOPE(C677:E677,'Source Data'!C$7:E$7)</x:f>
        <x:v>-0.014598511951215087</x:v>
      </x:c>
      <x:c r="G677" s="14" t="n">
        <x:f>EXP(F677)-1</x:f>
        <x:v>-0.01449247031944112</x:v>
      </x:c>
      <x:c r="H677" s="8" t="n">
        <x:f>'Source Data'!F677</x:f>
        <x:v>2242</x:v>
      </x:c>
      <x:c r="I677" s="8" t="n">
        <x:f>'Source Data'!H677</x:f>
        <x:v>2169</x:v>
      </x:c>
      <x:c r="J677" s="14" t="n">
        <x:f>I677/H677-1</x:f>
        <x:v>-0.03256021409455845</x:v>
      </x:c>
      <x:c r="K677" s="8" t="n">
        <x:f>H677*('Source Data'!H$8/'Source Data'!F$8)*EXP(F677*('Source Data'!H$7-'Source Data'!F$7))</x:f>
        <x:v>2152.3543336829434</x:v>
      </x:c>
      <x:c r="L677" s="14" t="n">
        <x:f>I677/K677-1</x:f>
        <x:v>0.007733701675677995</x:v>
      </x:c>
      <x:c r="M677" s="8" t="n">
        <x:f>'Source Data'!G677</x:f>
        <x:v>2304</x:v>
      </x:c>
      <x:c r="N677" s="8" t="n">
        <x:f>M677*('Source Data'!H$8/'Source Data'!G$8)*EXP(F677*('Source Data'!H$7-'Source Data'!G$7))</x:f>
        <x:v>2239.7596243387025</x:v>
      </x:c>
      <x:c r="O677" s="14" t="n">
        <x:f>I677/N677-1</x:f>
        <x:v>-0.03159250821819526</x:v>
      </x:c>
      <x:c r="P677" s="2" t="str"/>
    </x:row>
    <x:row r="678">
      <x:c r="A678" s="2" t="str">
        <x:f>'Source Data'!A678</x:f>
        <x:v>561710</x:v>
      </x:c>
      <x:c r="B678" s="2" t="str">
        <x:f>'Source Data'!B678</x:f>
        <x:v>Exterminating and Pest Control Services</x:v>
      </x:c>
      <x:c r="C678" s="13" t="n">
        <x:f>LN('Source Data'!C678/'Source Data'!C$8)</x:f>
        <x:v>-6.816231644419877</x:v>
      </x:c>
      <x:c r="D678" s="13" t="n">
        <x:f>LN('Source Data'!D678/'Source Data'!D$8)</x:f>
        <x:v>-6.786774343502954</x:v>
      </x:c>
      <x:c r="E678" s="13" t="n">
        <x:f>LN('Source Data'!E678/'Source Data'!E$8)</x:f>
        <x:v>-6.806249667541935</x:v>
      </x:c>
      <x:c r="F678" s="13" t="n">
        <x:f>SLOPE(C678:E678,'Source Data'!C$7:E$7)</x:f>
        <x:v>0.004990988438970945</x:v>
      </x:c>
      <x:c r="G678" s="14" t="n">
        <x:f>EXP(F678)-1</x:f>
        <x:v>0.005003464168541916</x:v>
      </x:c>
      <x:c r="H678" s="8" t="n">
        <x:f>'Source Data'!F678</x:f>
        <x:v>17503</x:v>
      </x:c>
      <x:c r="I678" s="8" t="n">
        <x:f>'Source Data'!H678</x:f>
        <x:v>17940</x:v>
      </x:c>
      <x:c r="J678" s="14" t="n">
        <x:f>I678/H678-1</x:f>
        <x:v>0.024967148488830526</x:v>
      </x:c>
      <x:c r="K678" s="8" t="n">
        <x:f>H678*('Source Data'!H$8/'Source Data'!F$8)*EXP(F678*('Source Data'!H$7-'Source Data'!F$7))</x:f>
        <x:v>18172.768796649158</x:v>
      </x:c>
      <x:c r="L678" s="14" t="n">
        <x:f>I678/K678-1</x:f>
        <x:v>-0.012808658892533575</x:v>
      </x:c>
      <x:c r="M678" s="8" t="n">
        <x:f>'Source Data'!G678</x:f>
        <x:v>16870</x:v>
      </x:c>
      <x:c r="N678" s="8" t="n">
        <x:f>M678*('Source Data'!H$8/'Source Data'!G$8)*EXP(F678*('Source Data'!H$7-'Source Data'!G$7))</x:f>
        <x:v>17392.293476155675</x:v>
      </x:c>
      <x:c r="O678" s="14" t="n">
        <x:f>I678/N678-1</x:f>
        <x:v>0.0314913340552363</x:v>
      </x:c>
      <x:c r="P678" s="2" t="str"/>
    </x:row>
    <x:row r="679">
      <x:c r="A679" s="2" t="str">
        <x:f>'Source Data'!A679</x:f>
        <x:v>561720</x:v>
      </x:c>
      <x:c r="B679" s="2" t="str">
        <x:f>'Source Data'!B679</x:f>
        <x:v>Janitorial Services</x:v>
      </x:c>
      <x:c r="C679" s="13" t="n">
        <x:f>LN('Source Data'!C679/'Source Data'!C$8)</x:f>
        <x:v>-4.8719190929181515</x:v>
      </x:c>
      <x:c r="D679" s="13" t="n">
        <x:f>LN('Source Data'!D679/'Source Data'!D$8)</x:f>
        <x:v>-4.874821580294059</x:v>
      </x:c>
      <x:c r="E679" s="13" t="n">
        <x:f>LN('Source Data'!E679/'Source Data'!E$8)</x:f>
        <x:v>-4.85650463019678</x:v>
      </x:c>
      <x:c r="F679" s="13" t="n">
        <x:f>SLOPE(C679:E679,'Source Data'!C$7:E$7)</x:f>
        <x:v>0.007707231360685629</x:v>
      </x:c>
      <x:c r="G679" s="14" t="n">
        <x:f>EXP(F679)-1</x:f>
        <x:v>0.007737008518966526</x:v>
      </x:c>
      <x:c r="H679" s="8" t="n">
        <x:f>'Source Data'!F679</x:f>
        <x:v>118377</x:v>
      </x:c>
      <x:c r="I679" s="8" t="n">
        <x:f>'Source Data'!H679</x:f>
        <x:v>113137</x:v>
      </x:c>
      <x:c r="J679" s="14" t="n">
        <x:f>I679/H679-1</x:f>
        <x:v>-0.04426535560117251</x:v>
      </x:c>
      <x:c r="K679" s="8" t="n">
        <x:f>H679*('Source Data'!H$8/'Source Data'!F$8)*EXP(F679*('Source Data'!H$7-'Source Data'!F$7))</x:f>
        <x:v>124249.46726533111</x:v>
      </x:c>
      <x:c r="L679" s="14" t="n">
        <x:f>I679/K679-1</x:f>
        <x:v>-0.089436739729441</x:v>
      </x:c>
      <x:c r="M679" s="8" t="n">
        <x:f>'Source Data'!G679</x:f>
        <x:v>117779</x:v>
      </x:c>
      <x:c r="N679" s="8" t="n">
        <x:f>M679*('Source Data'!H$8/'Source Data'!G$8)*EXP(F679*('Source Data'!H$7-'Source Data'!G$7))</x:f>
        <x:v>122418.93106987346</x:v>
      </x:c>
      <x:c r="O679" s="14" t="n">
        <x:f>I679/N679-1</x:f>
        <x:v>-0.07582104327128603</x:v>
      </x:c>
      <x:c r="P679" s="2" t="str"/>
    </x:row>
    <x:row r="680">
      <x:c r="A680" s="2" t="str">
        <x:f>'Source Data'!A680</x:f>
        <x:v>561730</x:v>
      </x:c>
      <x:c r="B680" s="2" t="str">
        <x:f>'Source Data'!B680</x:f>
        <x:v>Landscaping Services</x:v>
      </x:c>
      <x:c r="C680" s="13" t="n">
        <x:f>LN('Source Data'!C680/'Source Data'!C$8)</x:f>
        <x:v>-5.0861895441913</x:v>
      </x:c>
      <x:c r="D680" s="13" t="n">
        <x:f>LN('Source Data'!D680/'Source Data'!D$8)</x:f>
        <x:v>-5.066276688989908</x:v>
      </x:c>
      <x:c r="E680" s="13" t="n">
        <x:f>LN('Source Data'!E680/'Source Data'!E$8)</x:f>
        <x:v>-5.0753589658523675</x:v>
      </x:c>
      <x:c r="F680" s="13" t="n">
        <x:f>SLOPE(C680:E680,'Source Data'!C$7:E$7)</x:f>
        <x:v>0.00541528916946632</x:v>
      </x:c>
      <x:c r="G680" s="14" t="n">
        <x:f>EXP(F680)-1</x:f>
        <x:v>0.005429978351279896</x:v>
      </x:c>
      <x:c r="H680" s="8" t="n">
        <x:f>'Source Data'!F680</x:f>
        <x:v>102149</x:v>
      </x:c>
      <x:c r="I680" s="8" t="n">
        <x:f>'Source Data'!H680</x:f>
        <x:v>103362</x:v>
      </x:c>
      <x:c r="J680" s="14" t="n">
        <x:f>I680/H680-1</x:f>
        <x:v>0.011874810326092167</x:v>
      </x:c>
      <x:c r="K680" s="8" t="n">
        <x:f>H680*('Source Data'!H$8/'Source Data'!F$8)*EXP(F680*('Source Data'!H$7-'Source Data'!F$7))</x:f>
        <x:v>106237.9822813754</x:v>
      </x:c>
      <x:c r="L680" s="14" t="n">
        <x:f>I680/K680-1</x:f>
        <x:v>-0.027071130490395112</x:v>
      </x:c>
      <x:c r="M680" s="8" t="n">
        <x:f>'Source Data'!G680</x:f>
        <x:v>100227</x:v>
      </x:c>
      <x:c r="N680" s="8" t="n">
        <x:f>M680*('Source Data'!H$8/'Source Data'!G$8)*EXP(F680*('Source Data'!H$7-'Source Data'!G$7))</x:f>
        <x:v>103461.63043166215</x:v>
      </x:c>
      <x:c r="O680" s="14" t="n">
        <x:f>I680/N680-1</x:f>
        <x:v>-0.0009629698589368463</x:v>
      </x:c>
      <x:c r="P680" s="2" t="str"/>
    </x:row>
    <x:row r="681">
      <x:c r="A681" s="2" t="str">
        <x:f>'Source Data'!A681</x:f>
        <x:v>561740</x:v>
      </x:c>
      <x:c r="B681" s="2" t="str">
        <x:f>'Source Data'!B681</x:f>
        <x:v>Carpet and Upholstery Cleaning Services</x:v>
      </x:c>
      <x:c r="C681" s="13" t="n">
        <x:f>LN('Source Data'!C681/'Source Data'!C$8)</x:f>
        <x:v>-8.196732209687239</x:v>
      </x:c>
      <x:c r="D681" s="13" t="n">
        <x:f>LN('Source Data'!D681/'Source Data'!D$8)</x:f>
        <x:v>-8.134486928896422</x:v>
      </x:c>
      <x:c r="E681" s="13" t="n">
        <x:f>LN('Source Data'!E681/'Source Data'!E$8)</x:f>
        <x:v>-8.198817078253093</x:v>
      </x:c>
      <x:c r="F681" s="13" t="n">
        <x:f>SLOPE(C681:E681,'Source Data'!C$7:E$7)</x:f>
        <x:v>-0.0010424342829269406</x:v>
      </x:c>
      <x:c r="G681" s="14" t="n">
        <x:f>EXP(F681)-1</x:f>
        <x:v>-0.001041891137057549</x:v>
      </x:c>
      <x:c r="H681" s="8" t="n">
        <x:f>'Source Data'!F681</x:f>
        <x:v>3836</x:v>
      </x:c>
      <x:c r="I681" s="8" t="n">
        <x:f>'Source Data'!H681</x:f>
        <x:v>3090</x:v>
      </x:c>
      <x:c r="J681" s="14" t="n">
        <x:f>I681/H681-1</x:f>
        <x:v>-0.194473409801877</x:v>
      </x:c>
      <x:c r="K681" s="8" t="n">
        <x:f>H681*('Source Data'!H$8/'Source Data'!F$8)*EXP(F681*('Source Data'!H$7-'Source Data'!F$7))</x:f>
        <x:v>3887.819361457763</x:v>
      </x:c>
      <x:c r="L681" s="14" t="n">
        <x:f>I681/K681-1</x:f>
        <x:v>-0.20520998721468775</x:v>
      </x:c>
      <x:c r="M681" s="8" t="n">
        <x:f>'Source Data'!G681</x:f>
        <x:v>3685</x:v>
      </x:c>
      <x:c r="N681" s="8" t="n">
        <x:f>M681*('Source Data'!H$8/'Source Data'!G$8)*EXP(F681*('Source Data'!H$7-'Source Data'!G$7))</x:f>
        <x:v>3730.94131600717</x:v>
      </x:c>
      <x:c r="O681" s="14" t="n">
        <x:f>I681/N681-1</x:f>
        <x:v>-0.1717907792484663</x:v>
      </x:c>
      <x:c r="P681" s="2" t="str"/>
    </x:row>
    <x:row r="682">
      <x:c r="A682" s="2" t="str">
        <x:f>'Source Data'!A682</x:f>
        <x:v>561790</x:v>
      </x:c>
      <x:c r="B682" s="2" t="str">
        <x:f>'Source Data'!B682</x:f>
        <x:v>Other Services to Buildings and Dwellings</x:v>
      </x:c>
      <x:c r="C682" s="13" t="n">
        <x:f>LN('Source Data'!C682/'Source Data'!C$8)</x:f>
        <x:v>-7.332777790093355</x:v>
      </x:c>
      <x:c r="D682" s="13" t="n">
        <x:f>LN('Source Data'!D682/'Source Data'!D$8)</x:f>
        <x:v>-7.275264053895648</x:v>
      </x:c>
      <x:c r="E682" s="13" t="n">
        <x:f>LN('Source Data'!E682/'Source Data'!E$8)</x:f>
        <x:v>-7.260579315726022</x:v>
      </x:c>
      <x:c r="F682" s="13" t="n">
        <x:f>SLOPE(C682:E682,'Source Data'!C$7:E$7)</x:f>
        <x:v>0.03609923718366659</x:v>
      </x:c>
      <x:c r="G682" s="14" t="n">
        <x:f>EXP(F682)-1</x:f>
        <x:v>0.03675872640223288</x:v>
      </x:c>
      <x:c r="H682" s="8" t="n">
        <x:f>'Source Data'!F682</x:f>
        <x:v>12150</x:v>
      </x:c>
      <x:c r="I682" s="8" t="n">
        <x:f>'Source Data'!H682</x:f>
        <x:v>13116</x:v>
      </x:c>
      <x:c r="J682" s="14" t="n">
        <x:f>I682/H682-1</x:f>
        <x:v>0.07950617283950612</x:v>
      </x:c>
      <x:c r="K682" s="8" t="n">
        <x:f>H682*('Source Data'!H$8/'Source Data'!F$8)*EXP(F682*('Source Data'!H$7-'Source Data'!F$7))</x:f>
        <x:v>14286.486973573297</x:v>
      </x:c>
      <x:c r="L682" s="14" t="n">
        <x:f>I682/K682-1</x:f>
        <x:v>-0.08192965672655761</x:v>
      </x:c>
      <x:c r="M682" s="8" t="n">
        <x:f>'Source Data'!G682</x:f>
        <x:v>12752</x:v>
      </x:c>
      <x:c r="N682" s="8" t="n">
        <x:f>M682*('Source Data'!H$8/'Source Data'!G$8)*EXP(F682*('Source Data'!H$7-'Source Data'!G$7))</x:f>
        <x:v>14432.79685376659</x:v>
      </x:c>
      <x:c r="O682" s="14" t="n">
        <x:f>I682/N682-1</x:f>
        <x:v>-0.09123642957830025</x:v>
      </x:c>
      <x:c r="P682" s="2" t="str"/>
    </x:row>
    <x:row r="683">
      <x:c r="A683" s="2" t="str">
        <x:f>'Source Data'!A683</x:f>
        <x:v>561910</x:v>
      </x:c>
      <x:c r="B683" s="2" t="str">
        <x:f>'Source Data'!B683</x:f>
        <x:v>Packaging and Labeling Services</x:v>
      </x:c>
      <x:c r="C683" s="13" t="n">
        <x:f>LN('Source Data'!C683/'Source Data'!C$8)</x:f>
        <x:v>-7.621637908196771</x:v>
      </x:c>
      <x:c r="D683" s="13" t="n">
        <x:f>LN('Source Data'!D683/'Source Data'!D$8)</x:f>
        <x:v>-7.628150020760884</x:v>
      </x:c>
      <x:c r="E683" s="13" t="n">
        <x:f>LN('Source Data'!E683/'Source Data'!E$8)</x:f>
        <x:v>-7.557066093912442</x:v>
      </x:c>
      <x:c r="F683" s="13" t="n">
        <x:f>SLOPE(C683:E683,'Source Data'!C$7:E$7)</x:f>
        <x:v>0.032285907142164394</x:v>
      </x:c>
      <x:c r="G683" s="14" t="n">
        <x:f>EXP(F683)-1</x:f>
        <x:v>0.032812751638801485</x:v>
      </x:c>
      <x:c r="H683" s="8" t="n">
        <x:f>'Source Data'!F683</x:f>
        <x:v>7975</x:v>
      </x:c>
      <x:c r="I683" s="8" t="n">
        <x:f>'Source Data'!H683</x:f>
        <x:v>6900</x:v>
      </x:c>
      <x:c r="J683" s="14" t="n">
        <x:f>I683/H683-1</x:f>
        <x:v>-0.13479623824451414</x:v>
      </x:c>
      <x:c r="K683" s="8" t="n">
        <x:f>H683*('Source Data'!H$8/'Source Data'!F$8)*EXP(F683*('Source Data'!H$7-'Source Data'!F$7))</x:f>
        <x:v>9235.39405373437</x:v>
      </x:c>
      <x:c r="L683" s="14" t="n">
        <x:f>I683/K683-1</x:f>
        <x:v>-0.25287432676357147</x:v>
      </x:c>
      <x:c r="M683" s="8" t="n">
        <x:f>'Source Data'!G683</x:f>
        <x:v>7784</x:v>
      </x:c>
      <x:c r="N683" s="8" t="n">
        <x:f>M683*('Source Data'!H$8/'Source Data'!G$8)*EXP(F683*('Source Data'!H$7-'Source Data'!G$7))</x:f>
        <x:v>8709.770215910956</x:v>
      </x:c>
      <x:c r="O683" s="14" t="n">
        <x:f>I683/N683-1</x:f>
        <x:v>-0.20778621835566669</x:v>
      </x:c>
      <x:c r="P683" s="2" t="str"/>
    </x:row>
    <x:row r="684">
      <x:c r="A684" s="2" t="str">
        <x:f>'Source Data'!A684</x:f>
        <x:v>561920</x:v>
      </x:c>
      <x:c r="B684" s="2" t="str">
        <x:f>'Source Data'!B684</x:f>
        <x:v>Convention and Trade Show Organizers</x:v>
      </x:c>
      <x:c r="C684" s="13" t="n">
        <x:f>LN('Source Data'!C684/'Source Data'!C$8)</x:f>
        <x:v>-7.378660913333888</x:v>
      </x:c>
      <x:c r="D684" s="13" t="n">
        <x:f>LN('Source Data'!D684/'Source Data'!D$8)</x:f>
        <x:v>-7.358662842972741</x:v>
      </x:c>
      <x:c r="E684" s="13" t="n">
        <x:f>LN('Source Data'!E684/'Source Data'!E$8)</x:f>
        <x:v>-7.316124576683303</x:v>
      </x:c>
      <x:c r="F684" s="13" t="n">
        <x:f>SLOPE(C684:E684,'Source Data'!C$7:E$7)</x:f>
        <x:v>0.03126816832529222</x:v>
      </x:c>
      <x:c r="G684" s="14" t="n">
        <x:f>EXP(F684)-1</x:f>
        <x:v>0.03176215271923244</x:v>
      </x:c>
      <x:c r="H684" s="8" t="n">
        <x:f>'Source Data'!F684</x:f>
        <x:v>6994</x:v>
      </x:c>
      <x:c r="I684" s="8" t="n">
        <x:f>'Source Data'!H684</x:f>
        <x:v>8345</x:v>
      </x:c>
      <x:c r="J684" s="14" t="n">
        <x:f>I684/H684-1</x:f>
        <x:v>0.19316557048899052</x:v>
      </x:c>
      <x:c r="K684" s="8" t="n">
        <x:f>H684*('Source Data'!H$8/'Source Data'!F$8)*EXP(F684*('Source Data'!H$7-'Source Data'!F$7))</x:f>
        <x:v>8066.448648157075</x:v>
      </x:c>
      <x:c r="L684" s="14" t="n">
        <x:f>I684/K684-1</x:f>
        <x:v>0.03453209262127577</x:v>
      </x:c>
      <x:c r="M684" s="8" t="n">
        <x:f>'Source Data'!G684</x:f>
        <x:v>7903</x:v>
      </x:c>
      <x:c r="N684" s="8" t="n">
        <x:f>M684*('Source Data'!H$8/'Source Data'!G$8)*EXP(F684*('Source Data'!H$7-'Source Data'!G$7))</x:f>
        <x:v>8815.964994852911</x:v>
      </x:c>
      <x:c r="O684" s="14" t="n">
        <x:f>I684/N684-1</x:f>
        <x:v>-0.05342183131714773</x:v>
      </x:c>
      <x:c r="P684" s="2" t="str"/>
    </x:row>
    <x:row r="685">
      <x:c r="A685" s="2" t="str">
        <x:f>'Source Data'!A685</x:f>
        <x:v>561990</x:v>
      </x:c>
      <x:c r="B685" s="2" t="str">
        <x:f>'Source Data'!B685</x:f>
        <x:v>All Other Support Services</x:v>
      </x:c>
      <x:c r="C685" s="13" t="n">
        <x:f>LN('Source Data'!C685/'Source Data'!C$8)</x:f>
        <x:v>-6.837854457355961</x:v>
      </x:c>
      <x:c r="D685" s="13" t="n">
        <x:f>LN('Source Data'!D685/'Source Data'!D$8)</x:f>
        <x:v>-6.81736040208433</x:v>
      </x:c>
      <x:c r="E685" s="13" t="n">
        <x:f>LN('Source Data'!E685/'Source Data'!E$8)</x:f>
        <x:v>-6.772874431667876</x:v>
      </x:c>
      <x:c r="F685" s="13" t="n">
        <x:f>SLOPE(C685:E685,'Source Data'!C$7:E$7)</x:f>
        <x:v>0.032490012844042404</x:v>
      </x:c>
      <x:c r="G685" s="14" t="n">
        <x:f>EXP(F685)-1</x:f>
        <x:v>0.03302357612489115</x:v>
      </x:c>
      <x:c r="H685" s="8" t="n">
        <x:f>'Source Data'!F685</x:f>
        <x:v>17545</x:v>
      </x:c>
      <x:c r="I685" s="8" t="n">
        <x:f>'Source Data'!H685</x:f>
        <x:v>15486</x:v>
      </x:c>
      <x:c r="J685" s="14" t="n">
        <x:f>I685/H685-1</x:f>
        <x:v>-0.11735537190082646</x:v>
      </x:c>
      <x:c r="K685" s="8" t="n">
        <x:f>H685*('Source Data'!H$8/'Source Data'!F$8)*EXP(F685*('Source Data'!H$7-'Source Data'!F$7))</x:f>
        <x:v>20334.46166140929</x:v>
      </x:c>
      <x:c r="L685" s="14" t="n">
        <x:f>I685/K685-1</x:f>
        <x:v>-0.2384357030021942</x:v>
      </x:c>
      <x:c r="M685" s="8" t="n">
        <x:f>'Source Data'!G685</x:f>
        <x:v>17318</x:v>
      </x:c>
      <x:c r="N685" s="8" t="n">
        <x:f>M685*('Source Data'!H$8/'Source Data'!G$8)*EXP(F685*('Source Data'!H$7-'Source Data'!G$7))</x:f>
        <x:v>19389.54113853664</x:v>
      </x:c>
      <x:c r="O685" s="14" t="n">
        <x:f>I685/N685-1</x:f>
        <x:v>-0.20132199677373308</x:v>
      </x:c>
      <x:c r="P685" s="2" t="str"/>
    </x:row>
    <x:row r="686">
      <x:c r="A686" s="2" t="str">
        <x:f>'Source Data'!A686</x:f>
        <x:v>562111</x:v>
      </x:c>
      <x:c r="B686" s="2" t="str">
        <x:f>'Source Data'!B686</x:f>
        <x:v>Solid Waste Collection</x:v>
      </x:c>
      <x:c r="C686" s="13" t="n">
        <x:f>LN('Source Data'!C686/'Source Data'!C$8)</x:f>
        <x:v>-6.785547061657244</x:v>
      </x:c>
      <x:c r="D686" s="13" t="n">
        <x:f>LN('Source Data'!D686/'Source Data'!D$8)</x:f>
        <x:v>-6.754510595111093</x:v>
      </x:c>
      <x:c r="E686" s="13" t="n">
        <x:f>LN('Source Data'!E686/'Source Data'!E$8)</x:f>
        <x:v>-6.761779427342889</x:v>
      </x:c>
      <x:c r="F686" s="13" t="n">
        <x:f>SLOPE(C686:E686,'Source Data'!C$7:E$7)</x:f>
        <x:v>0.011883817157177567</x:v>
      </x:c>
      <x:c r="G686" s="14" t="n">
        <x:f>EXP(F686)-1</x:f>
        <x:v>0.01195471026085615</x:v>
      </x:c>
      <x:c r="H686" s="8" t="n">
        <x:f>'Source Data'!F686</x:f>
        <x:v>18703</x:v>
      </x:c>
      <x:c r="I686" s="8" t="n">
        <x:f>'Source Data'!H686</x:f>
        <x:v>21014</x:v>
      </x:c>
      <x:c r="J686" s="14" t="n">
        <x:f>I686/H686-1</x:f>
        <x:v>0.12356306474897072</x:v>
      </x:c>
      <x:c r="K686" s="8" t="n">
        <x:f>H686*('Source Data'!H$8/'Source Data'!F$8)*EXP(F686*('Source Data'!H$7-'Source Data'!F$7))</x:f>
        <x:v>19961.53581432206</x:v>
      </x:c>
      <x:c r="L686" s="14" t="n">
        <x:f>I686/K686-1</x:f>
        <x:v>0.05272460974284443</x:v>
      </x:c>
      <x:c r="M686" s="8" t="n">
        <x:f>'Source Data'!G686</x:f>
        <x:v>19928</x:v>
      </x:c>
      <x:c r="N686" s="8" t="n">
        <x:f>M686*('Source Data'!H$8/'Source Data'!G$8)*EXP(F686*('Source Data'!H$7-'Source Data'!G$7))</x:f>
        <x:v>20974.230643639374</x:v>
      </x:c>
      <x:c r="O686" s="14" t="n">
        <x:f>I686/N686-1</x:f>
        <x:v>0.00189610560865483</x:v>
      </x:c>
      <x:c r="P686" s="2" t="str"/>
    </x:row>
    <x:row r="687">
      <x:c r="A687" s="2" t="str">
        <x:f>'Source Data'!A687</x:f>
        <x:v>562112</x:v>
      </x:c>
      <x:c r="B687" s="2" t="str">
        <x:f>'Source Data'!B687</x:f>
        <x:v>Hazardous Waste Collection</x:v>
      </x:c>
      <x:c r="C687" s="13" t="n">
        <x:f>LN('Source Data'!C687/'Source Data'!C$8)</x:f>
        <x:v>-8.260695308127126</x:v>
      </x:c>
      <x:c r="D687" s="13" t="n">
        <x:f>LN('Source Data'!D687/'Source Data'!D$8)</x:f>
        <x:v>-8.169619903745668</x:v>
      </x:c>
      <x:c r="E687" s="13" t="n">
        <x:f>LN('Source Data'!E687/'Source Data'!E$8)</x:f>
        <x:v>-8.164231498603312</x:v>
      </x:c>
      <x:c r="F687" s="13" t="n">
        <x:f>SLOPE(C687:E687,'Source Data'!C$7:E$7)</x:f>
        <x:v>0.04823190476190664</x:v>
      </x:c>
      <x:c r="G687" s="14" t="n">
        <x:f>EXP(F687)-1</x:f>
        <x:v>0.04941399120977774</x:v>
      </x:c>
      <x:c r="H687" s="8" t="n">
        <x:f>'Source Data'!F687</x:f>
        <x:v>4218</x:v>
      </x:c>
      <x:c r="I687" s="8" t="n">
        <x:f>'Source Data'!H687</x:f>
        <x:v>4502</x:v>
      </x:c>
      <x:c r="J687" s="14" t="n">
        <x:f>I687/H687-1</x:f>
        <x:v>0.06733048838312006</x:v>
      </x:c>
      <x:c r="K687" s="8" t="n">
        <x:f>H687*('Source Data'!H$8/'Source Data'!F$8)*EXP(F687*('Source Data'!H$7-'Source Data'!F$7))</x:f>
        <x:v>5206.337878441969</x:v>
      </x:c>
      <x:c r="L687" s="14" t="n">
        <x:f>I687/K687-1</x:f>
        <x:v>-0.1352847039295012</x:v>
      </x:c>
      <x:c r="M687" s="8" t="n">
        <x:f>'Source Data'!G687</x:f>
        <x:v>4322</x:v>
      </x:c>
      <x:c r="N687" s="8" t="n">
        <x:f>M687*('Source Data'!H$8/'Source Data'!G$8)*EXP(F687*('Source Data'!H$7-'Source Data'!G$7))</x:f>
        <x:v>5072.994705574129</x:v>
      </x:c>
      <x:c r="O687" s="14" t="n">
        <x:f>I687/N687-1</x:f>
        <x:v>-0.11255574640098254</x:v>
      </x:c>
      <x:c r="P687" s="2" t="str"/>
    </x:row>
    <x:row r="688">
      <x:c r="A688" s="2" t="str">
        <x:f>'Source Data'!A688</x:f>
        <x:v>562119</x:v>
      </x:c>
      <x:c r="B688" s="2" t="str">
        <x:f>'Source Data'!B688</x:f>
        <x:v>Other Waste Collection</x:v>
      </x:c>
      <x:c r="C688" s="13" t="n">
        <x:f>LN('Source Data'!C688/'Source Data'!C$8)</x:f>
        <x:v>-9.547602562607993</x:v>
      </x:c>
      <x:c r="D688" s="13" t="n">
        <x:f>LN('Source Data'!D688/'Source Data'!D$8)</x:f>
        <x:v>-9.552778331768565</x:v>
      </x:c>
      <x:c r="E688" s="13" t="n">
        <x:f>LN('Source Data'!E688/'Source Data'!E$8)</x:f>
        <x:v>-9.524429318203401</x:v>
      </x:c>
      <x:c r="F688" s="13" t="n">
        <x:f>SLOPE(C688:E688,'Source Data'!C$7:E$7)</x:f>
        <x:v>0.011586622202296226</x:v>
      </x:c>
      <x:c r="G688" s="14" t="n">
        <x:f>EXP(F688)-1</x:f>
        <x:v>0.01165400711234077</x:v>
      </x:c>
      <x:c r="H688" s="8" t="n">
        <x:f>'Source Data'!F688</x:f>
        <x:v>1339</x:v>
      </x:c>
      <x:c r="I688" s="8" t="n">
        <x:f>'Source Data'!H688</x:f>
        <x:v>1352</x:v>
      </x:c>
      <x:c r="J688" s="14" t="n">
        <x:f>I688/H688-1</x:f>
        <x:v>0.009708737864077666</x:v>
      </x:c>
      <x:c r="K688" s="8" t="n">
        <x:f>H688*('Source Data'!H$8/'Source Data'!F$8)*EXP(F688*('Source Data'!H$7-'Source Data'!F$7))</x:f>
        <x:v>1427.4042152074423</x:v>
      </x:c>
      <x:c r="L688" s="14" t="n">
        <x:f>I688/K688-1</x:f>
        <x:v>-0.05282611218608735</x:v>
      </x:c>
      <x:c r="M688" s="8" t="n">
        <x:f>'Source Data'!G688</x:f>
        <x:v>1337</x:v>
      </x:c>
      <x:c r="N688" s="8" t="n">
        <x:f>M688*('Source Data'!H$8/'Source Data'!G$8)*EXP(F688*('Source Data'!H$7-'Source Data'!G$7))</x:f>
        <x:v>1405.9391410660674</x:v>
      </x:c>
      <x:c r="O688" s="14" t="n">
        <x:f>I688/N688-1</x:f>
        <x:v>-0.03836520336518079</x:v>
      </x:c>
      <x:c r="P688" s="2" t="str"/>
    </x:row>
    <x:row r="689">
      <x:c r="A689" s="2" t="str">
        <x:f>'Source Data'!A689</x:f>
        <x:v>562211</x:v>
      </x:c>
      <x:c r="B689" s="2" t="str">
        <x:f>'Source Data'!B689</x:f>
        <x:v>Hazardous Waste Treatment and Disposal</x:v>
      </x:c>
      <x:c r="C689" s="13" t="n">
        <x:f>LN('Source Data'!C689/'Source Data'!C$8)</x:f>
        <x:v>-8.584577934229774</x:v>
      </x:c>
      <x:c r="D689" s="13" t="n">
        <x:f>LN('Source Data'!D689/'Source Data'!D$8)</x:f>
        <x:v>-8.565826243133015</x:v>
      </x:c>
      <x:c r="E689" s="13" t="n">
        <x:f>LN('Source Data'!E689/'Source Data'!E$8)</x:f>
        <x:v>-8.537981106540018</x:v>
      </x:c>
      <x:c r="F689" s="13" t="n">
        <x:f>SLOPE(C689:E689,'Source Data'!C$7:E$7)</x:f>
        <x:v>0.023298413844877963</x:v>
      </x:c>
      <x:c r="G689" s="14" t="n">
        <x:f>EXP(F689)-1</x:f>
        <x:v>0.023571942015514713</x:v>
      </x:c>
      <x:c r="H689" s="8" t="n">
        <x:f>'Source Data'!F689</x:f>
        <x:v>2907</x:v>
      </x:c>
      <x:c r="I689" s="8" t="n">
        <x:f>'Source Data'!H689</x:f>
        <x:v>4379</x:v>
      </x:c>
      <x:c r="J689" s="14" t="n">
        <x:f>I689/H689-1</x:f>
        <x:v>0.5063639490884073</x:v>
      </x:c>
      <x:c r="K689" s="8" t="n">
        <x:f>H689*('Source Data'!H$8/'Source Data'!F$8)*EXP(F689*('Source Data'!H$7-'Source Data'!F$7))</x:f>
        <x:v>3247.5578465849358</x:v>
      </x:c>
      <x:c r="L689" s="14" t="n">
        <x:f>I689/K689-1</x:f>
        <x:v>0.3483978444309668</x:v>
      </x:c>
      <x:c r="M689" s="8" t="n">
        <x:f>'Source Data'!G689</x:f>
        <x:v>4285</x:v>
      </x:c>
      <x:c r="N689" s="8" t="n">
        <x:f>M689*('Source Data'!H$8/'Source Data'!G$8)*EXP(F689*('Source Data'!H$7-'Source Data'!G$7))</x:f>
        <x:v>4667.077795722551</x:v>
      </x:c>
      <x:c r="O689" s="14" t="n">
        <x:f>I689/N689-1</x:f>
        <x:v>-0.0617255182646792</x:v>
      </x:c>
      <x:c r="P689" s="2" t="str"/>
    </x:row>
    <x:row r="690">
      <x:c r="A690" s="2" t="str">
        <x:f>'Source Data'!A690</x:f>
        <x:v>562212</x:v>
      </x:c>
      <x:c r="B690" s="2" t="str">
        <x:f>'Source Data'!B690</x:f>
        <x:v>Solid Waste Landfill</x:v>
      </x:c>
      <x:c r="C690" s="13" t="n">
        <x:f>LN('Source Data'!C690/'Source Data'!C$8)</x:f>
        <x:v>-7.759116418724908</x:v>
      </x:c>
      <x:c r="D690" s="13" t="n">
        <x:f>LN('Source Data'!D690/'Source Data'!D$8)</x:f>
        <x:v>-7.749841993833429</x:v>
      </x:c>
      <x:c r="E690" s="13" t="n">
        <x:f>LN('Source Data'!E690/'Source Data'!E$8)</x:f>
        <x:v>-7.744546289951322</x:v>
      </x:c>
      <x:c r="F690" s="13" t="n">
        <x:f>SLOPE(C690:E690,'Source Data'!C$7:E$7)</x:f>
        <x:v>0.007285064386792772</x:v>
      </x:c>
      <x:c r="G690" s="14" t="n">
        <x:f>EXP(F690)-1</x:f>
        <x:v>0.007311665024905434</x:v>
      </x:c>
      <x:c r="H690" s="8" t="n">
        <x:f>'Source Data'!F690</x:f>
        <x:v>6062</x:v>
      </x:c>
      <x:c r="I690" s="8" t="n">
        <x:f>'Source Data'!H690</x:f>
        <x:v>5632</x:v>
      </x:c>
      <x:c r="J690" s="14" t="n">
        <x:f>I690/H690-1</x:f>
        <x:v>-0.07093368525239196</x:v>
      </x:c>
      <x:c r="K690" s="8" t="n">
        <x:f>H690*('Source Data'!H$8/'Source Data'!F$8)*EXP(F690*('Source Data'!H$7-'Source Data'!F$7))</x:f>
        <x:v>6351.98931173312</x:v>
      </x:c>
      <x:c r="L690" s="14" t="n">
        <x:f>I690/K690-1</x:f>
        <x:v>-0.11334863401032291</x:v>
      </x:c>
      <x:c r="M690" s="8" t="n">
        <x:f>'Source Data'!G690</x:f>
        <x:v>6087</x:v>
      </x:c>
      <x:c r="N690" s="8" t="n">
        <x:f>M690*('Source Data'!H$8/'Source Data'!G$8)*EXP(F690*('Source Data'!H$7-'Source Data'!G$7))</x:f>
        <x:v>6318.790954802496</x:v>
      </x:c>
      <x:c r="O690" s="14" t="n">
        <x:f>I690/N690-1</x:f>
        <x:v>-0.1086902478203543</x:v>
      </x:c>
      <x:c r="P690" s="2" t="str"/>
    </x:row>
    <x:row r="691">
      <x:c r="A691" s="2" t="str">
        <x:f>'Source Data'!A691</x:f>
        <x:v>562213</x:v>
      </x:c>
      <x:c r="B691" s="2" t="str">
        <x:f>'Source Data'!B691</x:f>
        <x:v>Solid Waste Combustors and Incinerators</x:v>
      </x:c>
      <x:c r="C691" s="13" t="n">
        <x:f>LN('Source Data'!C691/'Source Data'!C$8)</x:f>
        <x:v>-10.514155129263036</x:v>
      </x:c>
      <x:c r="D691" s="13" t="n">
        <x:f>LN('Source Data'!D691/'Source Data'!D$8)</x:f>
        <x:v>-10.587032751453872</x:v>
      </x:c>
      <x:c r="E691" s="13" t="n">
        <x:f>LN('Source Data'!E691/'Source Data'!E$8)</x:f>
        <x:v>-10.419781642892385</x:v>
      </x:c>
      <x:c r="F691" s="13" t="n">
        <x:f>SLOPE(C691:E691,'Source Data'!C$7:E$7)</x:f>
        <x:v>0.047186743185325675</x:v>
      </x:c>
      <x:c r="G691" s="14" t="n">
        <x:f>EXP(F691)-1</x:f>
        <x:v>0.04831775699896723</x:v>
      </x:c>
      <x:c r="H691" s="8" t="n">
        <x:f>'Source Data'!F691</x:f>
        <x:v>388</x:v>
      </x:c>
      <x:c r="I691" s="8" t="n">
        <x:f>'Source Data'!H691</x:f>
        <x:v>363</x:v>
      </x:c>
      <x:c r="J691" s="14" t="n">
        <x:f>I691/H691-1</x:f>
        <x:v>-0.06443298969072164</x:v>
      </x:c>
      <x:c r="K691" s="8" t="n">
        <x:f>H691*('Source Data'!H$8/'Source Data'!F$8)*EXP(F691*('Source Data'!H$7-'Source Data'!F$7))</x:f>
        <x:v>476.9159726782824</x:v>
      </x:c>
      <x:c r="L691" s="14" t="n">
        <x:f>I691/K691-1</x:f>
        <x:v>-0.23885962979715036</x:v>
      </x:c>
      <x:c r="M691" s="8" t="n">
        <x:f>'Source Data'!G691</x:f>
        <x:v>391</x:v>
      </x:c>
      <x:c r="N691" s="8" t="n">
        <x:f>M691*('Source Data'!H$8/'Source Data'!G$8)*EXP(F691*('Source Data'!H$7-'Source Data'!G$7))</x:f>
        <x:v>457.5037731971461</x:v>
      </x:c>
      <x:c r="O691" s="14" t="n">
        <x:f>I691/N691-1</x:f>
        <x:v>-0.20656392085409714</x:v>
      </x:c>
      <x:c r="P691" s="2" t="str"/>
    </x:row>
    <x:row r="692">
      <x:c r="A692" s="2" t="str">
        <x:f>'Source Data'!A692</x:f>
        <x:v>562219</x:v>
      </x:c>
      <x:c r="B692" s="2" t="str">
        <x:f>'Source Data'!B692</x:f>
        <x:v>Other Nonhazardous Waste Treatment and Disposal</x:v>
      </x:c>
      <x:c r="C692" s="13" t="n">
        <x:f>LN('Source Data'!C692/'Source Data'!C$8)</x:f>
        <x:v>-9.079438860284265</x:v>
      </x:c>
      <x:c r="D692" s="13" t="n">
        <x:f>LN('Source Data'!D692/'Source Data'!D$8)</x:f>
        <x:v>-9.083859105303954</x:v>
      </x:c>
      <x:c r="E692" s="13" t="n">
        <x:f>LN('Source Data'!E692/'Source Data'!E$8)</x:f>
        <x:v>-9.166375380711276</x:v>
      </x:c>
      <x:c r="F692" s="13" t="n">
        <x:f>SLOPE(C692:E692,'Source Data'!C$7:E$7)</x:f>
        <x:v>-0.043468260213505694</x:v>
      </x:c>
      <x:c r="G692" s="14" t="n">
        <x:f>EXP(F692)-1</x:f>
        <x:v>-0.04253705672191288</x:v>
      </x:c>
      <x:c r="H692" s="8" t="n">
        <x:f>'Source Data'!F692</x:f>
        <x:v>1649</x:v>
      </x:c>
      <x:c r="I692" s="8" t="n">
        <x:f>'Source Data'!H692</x:f>
        <x:v>1652</x:v>
      </x:c>
      <x:c r="J692" s="14" t="n">
        <x:f>I692/H692-1</x:f>
        <x:v>0.0018192844147968401</x:v>
      </x:c>
      <x:c r="K692" s="8" t="n">
        <x:f>H692*('Source Data'!H$8/'Source Data'!F$8)*EXP(F692*('Source Data'!H$7-'Source Data'!F$7))</x:f>
        <x:v>1410.4150289088143</x:v>
      </x:c>
      <x:c r="L692" s="14" t="n">
        <x:f>I692/K692-1</x:f>
        <x:v>0.17128644132365145</x:v>
      </x:c>
      <x:c r="M692" s="8" t="n">
        <x:f>'Source Data'!G692</x:f>
        <x:v>1666</x:v>
      </x:c>
      <x:c r="N692" s="8" t="n">
        <x:f>M692*('Source Data'!H$8/'Source Data'!G$8)*EXP(F692*('Source Data'!H$7-'Source Data'!G$7))</x:f>
        <x:v>1485.1831614162274</x:v>
      </x:c>
      <x:c r="O692" s="14" t="n">
        <x:f>I692/N692-1</x:f>
        <x:v>0.11232071768488194</x:v>
      </x:c>
      <x:c r="P692" s="2" t="str"/>
    </x:row>
    <x:row r="693">
      <x:c r="A693" s="2" t="str">
        <x:f>'Source Data'!A693</x:f>
        <x:v>562910</x:v>
      </x:c>
      <x:c r="B693" s="2" t="str">
        <x:f>'Source Data'!B693</x:f>
        <x:v>Remediation Services</x:v>
      </x:c>
      <x:c r="C693" s="13" t="n">
        <x:f>LN('Source Data'!C693/'Source Data'!C$8)</x:f>
        <x:v>-7.2736590455773324</x:v>
      </x:c>
      <x:c r="D693" s="13" t="n">
        <x:f>LN('Source Data'!D693/'Source Data'!D$8)</x:f>
        <x:v>-7.242228892113352</x:v>
      </x:c>
      <x:c r="E693" s="13" t="n">
        <x:f>LN('Source Data'!E693/'Source Data'!E$8)</x:f>
        <x:v>-7.218354461359131</x:v>
      </x:c>
      <x:c r="F693" s="13" t="n">
        <x:f>SLOPE(C693:E693,'Source Data'!C$7:E$7)</x:f>
        <x:v>0.027652292109100696</x:v>
      </x:c>
      <x:c r="G693" s="14" t="n">
        <x:f>EXP(F693)-1</x:f>
        <x:v>0.028038165286699</x:v>
      </x:c>
      <x:c r="H693" s="8" t="n">
        <x:f>'Source Data'!F693</x:f>
        <x:v>11436</x:v>
      </x:c>
      <x:c r="I693" s="8" t="n">
        <x:f>'Source Data'!H693</x:f>
        <x:v>12331</x:v>
      </x:c>
      <x:c r="J693" s="14" t="n">
        <x:f>I693/H693-1</x:f>
        <x:v>0.07826162994053876</x:v>
      </x:c>
      <x:c r="K693" s="8" t="n">
        <x:f>H693*('Source Data'!H$8/'Source Data'!F$8)*EXP(F693*('Source Data'!H$7-'Source Data'!F$7))</x:f>
        <x:v>13000.183178231306</x:v>
      </x:c>
      <x:c r="L693" s="14" t="n">
        <x:f>I693/K693-1</x:f>
        <x:v>-0.05147490378072883</x:v>
      </x:c>
      <x:c r="M693" s="8" t="n">
        <x:f>'Source Data'!G693</x:f>
        <x:v>11596</x:v>
      </x:c>
      <x:c r="N693" s="8" t="n">
        <x:f>M693*('Source Data'!H$8/'Source Data'!G$8)*EXP(F693*('Source Data'!H$7-'Source Data'!G$7))</x:f>
        <x:v>12796.023133462975</x:v>
      </x:c>
      <x:c r="O693" s="14" t="n">
        <x:f>I693/N693-1</x:f>
        <x:v>-0.03634122325450395</x:v>
      </x:c>
      <x:c r="P693" s="2" t="str"/>
    </x:row>
    <x:row r="694">
      <x:c r="A694" s="2" t="str">
        <x:f>'Source Data'!A694</x:f>
        <x:v>562920</x:v>
      </x:c>
      <x:c r="B694" s="2" t="str">
        <x:f>'Source Data'!B694</x:f>
        <x:v>Materials Recovery Facilities</x:v>
      </x:c>
      <x:c r="C694" s="13" t="n">
        <x:f>LN('Source Data'!C694/'Source Data'!C$8)</x:f>
        <x:v>-8.74147689811041</x:v>
      </x:c>
      <x:c r="D694" s="13" t="n">
        <x:f>LN('Source Data'!D694/'Source Data'!D$8)</x:f>
        <x:v>-8.73014211830749</x:v>
      </x:c>
      <x:c r="E694" s="13" t="n">
        <x:f>LN('Source Data'!E694/'Source Data'!E$8)</x:f>
        <x:v>-8.749613125916936</x:v>
      </x:c>
      <x:c r="F694" s="13" t="n">
        <x:f>SLOPE(C694:E694,'Source Data'!C$7:E$7)</x:f>
        <x:v>-0.004068113903263004</x:v>
      </x:c>
      <x:c r="G694" s="14" t="n">
        <x:f>EXP(F694)-1</x:f>
        <x:v>-0.004059850337404858</x:v>
      </x:c>
      <x:c r="H694" s="8" t="n">
        <x:f>'Source Data'!F694</x:f>
        <x:v>2861</x:v>
      </x:c>
      <x:c r="I694" s="8" t="n">
        <x:f>'Source Data'!H694</x:f>
        <x:v>4082</x:v>
      </x:c>
      <x:c r="J694" s="14" t="n">
        <x:f>I694/H694-1</x:f>
        <x:v>0.4267738552953513</x:v>
      </x:c>
      <x:c r="K694" s="8" t="n">
        <x:f>H694*('Source Data'!H$8/'Source Data'!F$8)*EXP(F694*('Source Data'!H$7-'Source Data'!F$7))</x:f>
        <x:v>2864.766263889304</x:v>
      </x:c>
      <x:c r="L694" s="14" t="n">
        <x:f>I694/K694-1</x:f>
        <x:v>0.4248980977799348</x:v>
      </x:c>
      <x:c r="M694" s="8" t="n">
        <x:f>'Source Data'!G694</x:f>
        <x:v>3416</x:v>
      </x:c>
      <x:c r="N694" s="8" t="n">
        <x:f>M694*('Source Data'!H$8/'Source Data'!G$8)*EXP(F694*('Source Data'!H$7-'Source Data'!G$7))</x:f>
        <x:v>3427.3359786085216</x:v>
      </x:c>
      <x:c r="O694" s="14" t="n">
        <x:f>I694/N694-1</x:f>
        <x:v>0.1910125022692606</x:v>
      </x:c>
      <x:c r="P694" s="2" t="str"/>
    </x:row>
    <x:row r="695">
      <x:c r="A695" s="2" t="str">
        <x:f>'Source Data'!A695</x:f>
        <x:v>562991</x:v>
      </x:c>
      <x:c r="B695" s="2" t="str">
        <x:f>'Source Data'!B695</x:f>
        <x:v>Septic Tank and Related Services</x:v>
      </x:c>
      <x:c r="C695" s="13" t="n">
        <x:f>LN('Source Data'!C695/'Source Data'!C$8)</x:f>
        <x:v>-8.385677994525556</x:v>
      </x:c>
      <x:c r="D695" s="13" t="n">
        <x:f>LN('Source Data'!D695/'Source Data'!D$8)</x:f>
        <x:v>-8.29891495050741</x:v>
      </x:c>
      <x:c r="E695" s="13" t="n">
        <x:f>LN('Source Data'!E695/'Source Data'!E$8)</x:f>
        <x:v>-8.284762641126376</x:v>
      </x:c>
      <x:c r="F695" s="13" t="n">
        <x:f>SLOPE(C695:E695,'Source Data'!C$7:E$7)</x:f>
        <x:v>0.05045767669959034</x:v>
      </x:c>
      <x:c r="G695" s="14" t="n">
        <x:f>EXP(F695)-1</x:f>
        <x:v>0.0517523487823941</x:v>
      </x:c>
      <x:c r="H695" s="8" t="n">
        <x:f>'Source Data'!F695</x:f>
        <x:v>4135</x:v>
      </x:c>
      <x:c r="I695" s="8" t="n">
        <x:f>'Source Data'!H695</x:f>
        <x:v>3975</x:v>
      </x:c>
      <x:c r="J695" s="14" t="n">
        <x:f>I695/H695-1</x:f>
        <x:v>-0.03869407496977029</x:v>
      </x:c>
      <x:c r="K695" s="8" t="n">
        <x:f>H695*('Source Data'!H$8/'Source Data'!F$8)*EXP(F695*('Source Data'!H$7-'Source Data'!F$7))</x:f>
        <x:v>5149.5330485118975</x:v>
      </x:c>
      <x:c r="L695" s="14" t="n">
        <x:f>I695/K695-1</x:f>
        <x:v>-0.22808535015642084</x:v>
      </x:c>
      <x:c r="M695" s="8" t="n">
        <x:f>'Source Data'!G695</x:f>
        <x:v>4053</x:v>
      </x:c>
      <x:c r="N695" s="8" t="n">
        <x:f>M695*('Source Data'!H$8/'Source Data'!G$8)*EXP(F695*('Source Data'!H$7-'Source Data'!G$7))</x:f>
        <x:v>4789.124989503306</x:v>
      </x:c>
      <x:c r="O695" s="14" t="n">
        <x:f>I695/N695-1</x:f>
        <x:v>-0.1699945170125412</x:v>
      </x:c>
      <x:c r="P695" s="2" t="str"/>
    </x:row>
    <x:row r="696">
      <x:c r="A696" s="2" t="str">
        <x:f>'Source Data'!A696</x:f>
        <x:v>562998</x:v>
      </x:c>
      <x:c r="B696" s="2" t="str">
        <x:f>'Source Data'!B696</x:f>
        <x:v>All Other Miscellaneous Waste Management Services</x:v>
      </x:c>
      <x:c r="C696" s="13" t="n">
        <x:f>LN('Source Data'!C696/'Source Data'!C$8)</x:f>
        <x:v>-9.243150137221551</x:v>
      </x:c>
      <x:c r="D696" s="13" t="n">
        <x:f>LN('Source Data'!D696/'Source Data'!D$8)</x:f>
        <x:v>-9.204131674892961</x:v>
      </x:c>
      <x:c r="E696" s="13" t="n">
        <x:f>LN('Source Data'!E696/'Source Data'!E$8)</x:f>
        <x:v>-9.124190970649252</x:v>
      </x:c>
      <x:c r="F696" s="13" t="n">
        <x:f>SLOPE(C696:E696,'Source Data'!C$7:E$7)</x:f>
        <x:v>0.05947958328614966</x:v>
      </x:c>
      <x:c r="G696" s="14" t="n">
        <x:f>EXP(F696)-1</x:f>
        <x:v>0.06128409282470382</x:v>
      </x:c>
      <x:c r="H696" s="8" t="n">
        <x:f>'Source Data'!F696</x:f>
        <x:v>1832</x:v>
      </x:c>
      <x:c r="I696" s="8" t="n">
        <x:f>'Source Data'!H696</x:f>
        <x:v>2206</x:v>
      </x:c>
      <x:c r="J696" s="14" t="n">
        <x:f>I696/H696-1</x:f>
        <x:v>0.20414847161572047</x:v>
      </x:c>
      <x:c r="K696" s="8" t="n">
        <x:f>H696*('Source Data'!H$8/'Source Data'!F$8)*EXP(F696*('Source Data'!H$7-'Source Data'!F$7))</x:f>
        <x:v>2365.323039794867</x:v>
      </x:c>
      <x:c r="L696" s="14" t="n">
        <x:f>I696/K696-1</x:f>
        <x:v>-0.06735783532074513</x:v>
      </x:c>
      <x:c r="M696" s="8" t="n">
        <x:f>'Source Data'!G696</x:f>
        <x:v>1921</x:v>
      </x:c>
      <x:c r="N696" s="8" t="n">
        <x:f>M696*('Source Data'!H$8/'Source Data'!G$8)*EXP(F696*('Source Data'!H$7-'Source Data'!G$7))</x:f>
        <x:v>2332.1765570916914</x:v>
      </x:c>
      <x:c r="O696" s="14" t="n">
        <x:f>I696/N696-1</x:f>
        <x:v>-0.05410248924251182</x:v>
      </x:c>
      <x:c r="P696" s="2" t="str"/>
    </x:row>
    <x:row r="697">
      <x:c r="A697" s="2" t="str">
        <x:f>'Source Data'!A697</x:f>
        <x:v>611110</x:v>
      </x:c>
      <x:c r="B697" s="2" t="str">
        <x:f>'Source Data'!B697</x:f>
        <x:v>Elementary and Secondary Schools</x:v>
      </x:c>
      <x:c r="C697" s="13" t="n">
        <x:f>LN('Source Data'!C697/'Source Data'!C$8)</x:f>
        <x:v>-5.171007317931319</x:v>
      </x:c>
      <x:c r="D697" s="13" t="n">
        <x:f>LN('Source Data'!D697/'Source Data'!D$8)</x:f>
        <x:v>-5.149071276738083</x:v>
      </x:c>
      <x:c r="E697" s="13" t="n">
        <x:f>LN('Source Data'!E697/'Source Data'!E$8)</x:f>
        <x:v>-5.1289585042675965</x:v>
      </x:c>
      <x:c r="F697" s="13" t="n">
        <x:f>SLOPE(C697:E697,'Source Data'!C$7:E$7)</x:f>
        <x:v>0.021024406831861242</x:v>
      </x:c>
      <x:c r="G697" s="14" t="n">
        <x:f>EXP(F697)-1</x:f>
        <x:v>0.021246976736606138</x:v>
      </x:c>
      <x:c r="H697" s="8" t="n">
        <x:f>'Source Data'!F697</x:f>
        <x:v>88884</x:v>
      </x:c>
      <x:c r="I697" s="8" t="n">
        <x:f>'Source Data'!H697</x:f>
        <x:v>100346</x:v>
      </x:c>
      <x:c r="J697" s="14" t="n">
        <x:f>I697/H697-1</x:f>
        <x:v>0.12895459250258767</x:v>
      </x:c>
      <x:c r="K697" s="8" t="n">
        <x:f>H697*('Source Data'!H$8/'Source Data'!F$8)*EXP(F697*('Source Data'!H$7-'Source Data'!F$7))</x:f>
        <x:v>98397.73458131484</x:v>
      </x:c>
      <x:c r="L697" s="14" t="n">
        <x:f>I697/K697-1</x:f>
        <x:v>0.01979990115600816</x:v>
      </x:c>
      <x:c r="M697" s="8" t="n">
        <x:f>'Source Data'!G697</x:f>
        <x:v>91995</x:v>
      </x:c>
      <x:c r="N697" s="8" t="n">
        <x:f>M697*('Source Data'!H$8/'Source Data'!G$8)*EXP(F697*('Source Data'!H$7-'Source Data'!G$7))</x:f>
        <x:v>99516.63248094884</x:v>
      </x:c>
      <x:c r="O697" s="14" t="n">
        <x:f>I697/N697-1</x:f>
        <x:v>0.008333958840598177</x:v>
      </x:c>
      <x:c r="P697" s="2" t="str"/>
    </x:row>
    <x:row r="698">
      <x:c r="A698" s="2" t="str">
        <x:f>'Source Data'!A698</x:f>
        <x:v>611210</x:v>
      </x:c>
      <x:c r="B698" s="2" t="str">
        <x:f>'Source Data'!B698</x:f>
        <x:v>Junior Colleges</x:v>
      </x:c>
      <x:c r="C698" s="13" t="n">
        <x:f>LN('Source Data'!C698/'Source Data'!C$8)</x:f>
        <x:v>-8.65592601502724</x:v>
      </x:c>
      <x:c r="D698" s="13" t="n">
        <x:f>LN('Source Data'!D698/'Source Data'!D$8)</x:f>
        <x:v>-8.66581521498893</x:v>
      </x:c>
      <x:c r="E698" s="13" t="n">
        <x:f>LN('Source Data'!E698/'Source Data'!E$8)</x:f>
        <x:v>-8.605749538055207</x:v>
      </x:c>
      <x:c r="F698" s="13" t="n">
        <x:f>SLOPE(C698:E698,'Source Data'!C$7:E$7)</x:f>
        <x:v>0.025088238486016934</x:v>
      </x:c>
      <x:c r="G698" s="14" t="n">
        <x:f>EXP(F698)-1</x:f>
        <x:v>0.02540559677003884</x:v>
      </x:c>
      <x:c r="H698" s="8" t="n">
        <x:f>'Source Data'!F698</x:f>
        <x:v>2710</x:v>
      </x:c>
      <x:c r="I698" s="8" t="n">
        <x:f>'Source Data'!H698</x:f>
        <x:v>1324</x:v>
      </x:c>
      <x:c r="J698" s="14" t="n">
        <x:f>I698/H698-1</x:f>
        <x:v>-0.5114391143911439</x:v>
      </x:c>
      <x:c r="K698" s="8" t="n">
        <x:f>H698*('Source Data'!H$8/'Source Data'!F$8)*EXP(F698*('Source Data'!H$7-'Source Data'!F$7))</x:f>
        <x:v>3049.2315069446768</x:v>
      </x:c>
      <x:c r="L698" s="14" t="n">
        <x:f>I698/K698-1</x:f>
        <x:v>-0.5657922342122703</x:v>
      </x:c>
      <x:c r="M698" s="8" t="n">
        <x:f>'Source Data'!G698</x:f>
        <x:v>2536</x:v>
      </x:c>
      <x:c r="N698" s="8" t="n">
        <x:f>M698*('Source Data'!H$8/'Source Data'!G$8)*EXP(F698*('Source Data'!H$7-'Source Data'!G$7))</x:f>
        <x:v>2776.9969071847513</x:v>
      </x:c>
      <x:c r="O698" s="14" t="n">
        <x:f>I698/N698-1</x:f>
        <x:v>-0.5232259724256454</x:v>
      </x:c>
      <x:c r="P698" s="2" t="str"/>
    </x:row>
    <x:row r="699">
      <x:c r="A699" s="2" t="str">
        <x:f>'Source Data'!A699</x:f>
        <x:v>611310</x:v>
      </x:c>
      <x:c r="B699" s="2" t="str">
        <x:f>'Source Data'!B699</x:f>
        <x:v>Colleges, Universities, and Professional Schools</x:v>
      </x:c>
      <x:c r="C699" s="13" t="n">
        <x:f>LN('Source Data'!C699/'Source Data'!C$8)</x:f>
        <x:v>-4.746051618457616</x:v>
      </x:c>
      <x:c r="D699" s="13" t="n">
        <x:f>LN('Source Data'!D699/'Source Data'!D$8)</x:f>
        <x:v>-4.761936394699778</x:v>
      </x:c>
      <x:c r="E699" s="13" t="n">
        <x:f>LN('Source Data'!E699/'Source Data'!E$8)</x:f>
        <x:v>-4.77337223150277</x:v>
      </x:c>
      <x:c r="F699" s="13" t="n">
        <x:f>SLOPE(C699:E699,'Source Data'!C$7:E$7)</x:f>
        <x:v>-0.013660306522576882</x:v>
      </x:c>
      <x:c r="G699" s="14" t="n">
        <x:f>EXP(F699)-1</x:f>
        <x:v>-0.013567427933090737</x:v>
      </x:c>
      <x:c r="H699" s="8" t="n">
        <x:f>'Source Data'!F699</x:f>
        <x:v>125751</x:v>
      </x:c>
      <x:c r="I699" s="8" t="n">
        <x:f>'Source Data'!H699</x:f>
        <x:v>126129</x:v>
      </x:c>
      <x:c r="J699" s="14" t="n">
        <x:f>I699/H699-1</x:f>
        <x:v>0.0030059403106137417</x:v>
      </x:c>
      <x:c r="K699" s="8" t="n">
        <x:f>H699*('Source Data'!H$8/'Source Data'!F$8)*EXP(F699*('Source Data'!H$7-'Source Data'!F$7))</x:f>
        <x:v>121176.78837585673</x:v>
      </x:c>
      <x:c r="L699" s="14" t="n">
        <x:f>I699/K699-1</x:f>
        <x:v>0.04086765865408881</x:v>
      </x:c>
      <x:c r="M699" s="8" t="n">
        <x:f>'Source Data'!G699</x:f>
        <x:v>124357</x:v>
      </x:c>
      <x:c r="N699" s="8" t="n">
        <x:f>M699*('Source Data'!H$8/'Source Data'!G$8)*EXP(F699*('Source Data'!H$7-'Source Data'!G$7))</x:f>
        <x:v>121230.4020753155</x:v>
      </x:c>
      <x:c r="O699" s="14" t="n">
        <x:f>I699/N699-1</x:f>
        <x:v>0.040407338760133804</x:v>
      </x:c>
      <x:c r="P699" s="2" t="str"/>
    </x:row>
    <x:row r="700">
      <x:c r="A700" s="2" t="str">
        <x:f>'Source Data'!A700</x:f>
        <x:v>611410</x:v>
      </x:c>
      <x:c r="B700" s="2" t="str">
        <x:f>'Source Data'!B700</x:f>
        <x:v>Business and Secretarial Schools</x:v>
      </x:c>
      <x:c r="C700" s="13" t="n">
        <x:f>LN('Source Data'!C700/'Source Data'!C$8)</x:f>
        <x:v>-10.625835688939452</x:v>
      </x:c>
      <x:c r="D700" s="13" t="n">
        <x:f>LN('Source Data'!D700/'Source Data'!D$8)</x:f>
        <x:v>-10.474381802533367</x:v>
      </x:c>
      <x:c r="E700" s="13" t="n">
        <x:f>LN('Source Data'!E700/'Source Data'!E$8)</x:f>
        <x:v>-10.544344365534148</x:v>
      </x:c>
      <x:c r="F700" s="13" t="n">
        <x:f>SLOPE(C700:E700,'Source Data'!C$7:E$7)</x:f>
        <x:v>0.040745661702652036</x:v>
      </x:c>
      <x:c r="G700" s="14" t="n">
        <x:f>EXP(F700)-1</x:f>
        <x:v>0.041587156349658594</x:v>
      </x:c>
      <x:c r="H700" s="8" t="n">
        <x:f>'Source Data'!F700</x:f>
        <x:v>484</x:v>
      </x:c>
      <x:c r="I700" s="8" t="n">
        <x:f>'Source Data'!H700</x:f>
        <x:v>339</x:v>
      </x:c>
      <x:c r="J700" s="14" t="n">
        <x:f>I700/H700-1</x:f>
        <x:v>-0.2995867768595041</x:v>
      </x:c>
      <x:c r="K700" s="8" t="n">
        <x:f>H700*('Source Data'!H$8/'Source Data'!F$8)*EXP(F700*('Source Data'!H$7-'Source Data'!F$7))</x:f>
        <x:v>579.7839641937533</x:v>
      </x:c>
      <x:c r="L700" s="14" t="n">
        <x:f>I700/K700-1</x:f>
        <x:v>-0.4152994547349841</x:v>
      </x:c>
      <x:c r="M700" s="8" t="n">
        <x:f>'Source Data'!G700</x:f>
        <x:v>439</x:v>
      </x:c>
      <x:c r="N700" s="8" t="n">
        <x:f>M700*('Source Data'!H$8/'Source Data'!G$8)*EXP(F700*('Source Data'!H$7-'Source Data'!G$7))</x:f>
        <x:v>503.83747244062704</x:v>
      </x:c>
      <x:c r="O700" s="14" t="n">
        <x:f>I700/N700-1</x:f>
        <x:v>-0.3271639793724389</x:v>
      </x:c>
      <x:c r="P700" s="2" t="str"/>
    </x:row>
    <x:row r="701">
      <x:c r="A701" s="2" t="str">
        <x:f>'Source Data'!A701</x:f>
        <x:v>611420</x:v>
      </x:c>
      <x:c r="B701" s="2" t="str">
        <x:f>'Source Data'!B701</x:f>
        <x:v>Computer Training</x:v>
      </x:c>
      <x:c r="C701" s="13" t="n">
        <x:f>LN('Source Data'!C701/'Source Data'!C$8)</x:f>
        <x:v>-9.257717037189778</x:v>
      </x:c>
      <x:c r="D701" s="13" t="n">
        <x:f>LN('Source Data'!D701/'Source Data'!D$8)</x:f>
        <x:v>-8.967886024892811</x:v>
      </x:c>
      <x:c r="E701" s="13" t="n">
        <x:f>LN('Source Data'!E701/'Source Data'!E$8)</x:f>
        <x:v>-8.876926381448499</x:v>
      </x:c>
      <x:c r="F701" s="13" t="n">
        <x:f>SLOPE(C701:E701,'Source Data'!C$7:E$7)</x:f>
        <x:v>0.19039532787063962</x:v>
      </x:c>
      <x:c r="G701" s="14" t="n">
        <x:f>EXP(F701)-1</x:f>
        <x:v>0.20972774223147606</x:v>
      </x:c>
      <x:c r="H701" s="8" t="n">
        <x:f>'Source Data'!F701</x:f>
        <x:v>2680</x:v>
      </x:c>
      <x:c r="I701" s="8" t="n">
        <x:f>'Source Data'!H701</x:f>
        <x:v>1898</x:v>
      </x:c>
      <x:c r="J701" s="14" t="n">
        <x:f>I701/H701-1</x:f>
        <x:v>-0.2917910447761194</x:v>
      </x:c>
      <x:c r="K701" s="8" t="n">
        <x:f>H701*('Source Data'!H$8/'Source Data'!F$8)*EXP(F701*('Source Data'!H$7-'Source Data'!F$7))</x:f>
        <x:v>5841.4912256601965</x:v>
      </x:c>
      <x:c r="L701" s="14" t="n">
        <x:f>I701/K701-1</x:f>
        <x:v>-0.6750829665441309</x:v>
      </x:c>
      <x:c r="M701" s="8" t="n">
        <x:f>'Source Data'!G701</x:f>
        <x:v>2554</x:v>
      </x:c>
      <x:c r="N701" s="8" t="n">
        <x:f>M701*('Source Data'!H$8/'Source Data'!G$8)*EXP(F701*('Source Data'!H$7-'Source Data'!G$7))</x:f>
        <x:v>4592.222371931077</x:v>
      </x:c>
      <x:c r="O701" s="14" t="n">
        <x:f>I701/N701-1</x:f>
        <x:v>-0.5866924886736546</x:v>
      </x:c>
      <x:c r="P701" s="2" t="str"/>
    </x:row>
    <x:row r="702">
      <x:c r="A702" s="2" t="str">
        <x:f>'Source Data'!A702</x:f>
        <x:v>611430</x:v>
      </x:c>
      <x:c r="B702" s="2" t="str">
        <x:f>'Source Data'!B702</x:f>
        <x:v>Professional and Management Development Training</x:v>
      </x:c>
      <x:c r="C702" s="13" t="n">
        <x:f>LN('Source Data'!C702/'Source Data'!C$8)</x:f>
        <x:v>-8.011157105984193</x:v>
      </x:c>
      <x:c r="D702" s="13" t="n">
        <x:f>LN('Source Data'!D702/'Source Data'!D$8)</x:f>
        <x:v>-7.945655235182916</x:v>
      </x:c>
      <x:c r="E702" s="13" t="n">
        <x:f>LN('Source Data'!E702/'Source Data'!E$8)</x:f>
        <x:v>-7.996814292544676</x:v>
      </x:c>
      <x:c r="F702" s="13" t="n">
        <x:f>SLOPE(C702:E702,'Source Data'!C$7:E$7)</x:f>
        <x:v>0.007171406719758355</x:v>
      </x:c>
      <x:c r="G702" s="14" t="n">
        <x:f>EXP(F702)-1</x:f>
        <x:v>0.0071971828370944735</x:v>
      </x:c>
      <x:c r="H702" s="8" t="n">
        <x:f>'Source Data'!F702</x:f>
        <x:v>6047</x:v>
      </x:c>
      <x:c r="I702" s="8" t="n">
        <x:f>'Source Data'!H702</x:f>
        <x:v>6416</x:v>
      </x:c>
      <x:c r="J702" s="14" t="n">
        <x:f>I702/H702-1</x:f>
        <x:v>0.06102199437737732</x:v>
      </x:c>
      <x:c r="K702" s="8" t="n">
        <x:f>H702*('Source Data'!H$8/'Source Data'!F$8)*EXP(F702*('Source Data'!H$7-'Source Data'!F$7))</x:f>
        <x:v>6333.391744484121</x:v>
      </x:c>
      <x:c r="L702" s="14" t="n">
        <x:f>I702/K702-1</x:f>
        <x:v>0.013043288469851033</x:v>
      </x:c>
      <x:c r="M702" s="8" t="n">
        <x:f>'Source Data'!G702</x:f>
        <x:v>6470</x:v>
      </x:c>
      <x:c r="N702" s="8" t="n">
        <x:f>M702*('Source Data'!H$8/'Source Data'!G$8)*EXP(F702*('Source Data'!H$7-'Source Data'!G$7))</x:f>
        <x:v>6714.085756320654</x:v>
      </x:c>
      <x:c r="O702" s="14" t="n">
        <x:f>I702/N702-1</x:f>
        <x:v>-0.044397073129433196</x:v>
      </x:c>
      <x:c r="P702" s="2" t="str"/>
    </x:row>
    <x:row r="703">
      <x:c r="A703" s="2" t="str">
        <x:f>'Source Data'!A703</x:f>
        <x:v>611511</x:v>
      </x:c>
      <x:c r="B703" s="2" t="str">
        <x:f>'Source Data'!B703</x:f>
        <x:v>Cosmetology and Barber Schools</x:v>
      </x:c>
      <x:c r="C703" s="13" t="n">
        <x:f>LN('Source Data'!C703/'Source Data'!C$8)</x:f>
        <x:v>-8.781223143377039</x:v>
      </x:c>
      <x:c r="D703" s="13" t="n">
        <x:f>LN('Source Data'!D703/'Source Data'!D$8)</x:f>
        <x:v>-8.863975835812631</x:v>
      </x:c>
      <x:c r="E703" s="13" t="n">
        <x:f>LN('Source Data'!E703/'Source Data'!E$8)</x:f>
        <x:v>-8.848916005244526</x:v>
      </x:c>
      <x:c r="F703" s="13" t="n">
        <x:f>SLOPE(C703:E703,'Source Data'!C$7:E$7)</x:f>
        <x:v>-0.0338464309337434</x:v>
      </x:c>
      <x:c r="G703" s="14" t="n">
        <x:f>EXP(F703)-1</x:f>
        <x:v>-0.03328004848092314</x:v>
      </x:c>
      <x:c r="H703" s="8" t="n">
        <x:f>'Source Data'!F703</x:f>
        <x:v>2143</x:v>
      </x:c>
      <x:c r="I703" s="8" t="n">
        <x:f>'Source Data'!H703</x:f>
        <x:v>2260</x:v>
      </x:c>
      <x:c r="J703" s="14" t="n">
        <x:f>I703/H703-1</x:f>
        <x:v>0.054596360242650466</x:v>
      </x:c>
      <x:c r="K703" s="8" t="n">
        <x:f>H703*('Source Data'!H$8/'Source Data'!F$8)*EXP(F703*('Source Data'!H$7-'Source Data'!F$7))</x:f>
        <x:v>1904.8609196494983</x:v>
      </x:c>
      <x:c r="L703" s="14" t="n">
        <x:f>I703/K703-1</x:f>
        <x:v>0.1864383255948412</x:v>
      </x:c>
      <x:c r="M703" s="8" t="n">
        <x:f>'Source Data'!G703</x:f>
        <x:v>2578</x:v>
      </x:c>
      <x:c r="N703" s="8" t="n">
        <x:f>M703*('Source Data'!H$8/'Source Data'!G$8)*EXP(F703*('Source Data'!H$7-'Source Data'!G$7))</x:f>
        <x:v>2365.5060041016927</x:v>
      </x:c>
      <x:c r="O703" s="14" t="n">
        <x:f>I703/N703-1</x:f>
        <x:v>-0.044601875420628656</x:v>
      </x:c>
      <x:c r="P703" s="2" t="str"/>
    </x:row>
    <x:row r="704">
      <x:c r="A704" s="2" t="str">
        <x:f>'Source Data'!A704</x:f>
        <x:v>611512</x:v>
      </x:c>
      <x:c r="B704" s="2" t="str">
        <x:f>'Source Data'!B704</x:f>
        <x:v>Flight Training</x:v>
      </x:c>
      <x:c r="C704" s="13" t="n">
        <x:f>LN('Source Data'!C704/'Source Data'!C$8)</x:f>
        <x:v>-9.301202149129516</x:v>
      </x:c>
      <x:c r="D704" s="13" t="n">
        <x:f>LN('Source Data'!D704/'Source Data'!D$8)</x:f>
        <x:v>-9.334657004647756</x:v>
      </x:c>
      <x:c r="E704" s="13" t="n">
        <x:f>LN('Source Data'!E704/'Source Data'!E$8)</x:f>
        <x:v>-9.24043388587184</x:v>
      </x:c>
      <x:c r="F704" s="13" t="n">
        <x:f>SLOPE(C704:E704,'Source Data'!C$7:E$7)</x:f>
        <x:v>0.03038413162883824</x:v>
      </x:c>
      <x:c r="G704" s="14" t="n">
        <x:f>EXP(F704)-1</x:f>
        <x:v>0.030850440167269344</x:v>
      </x:c>
      <x:c r="H704" s="8" t="n">
        <x:f>'Source Data'!F704</x:f>
        <x:v>1496</x:v>
      </x:c>
      <x:c r="I704" s="8" t="n">
        <x:f>'Source Data'!H704</x:f>
        <x:v>2263</x:v>
      </x:c>
      <x:c r="J704" s="14" t="n">
        <x:f>I704/H704-1</x:f>
        <x:v>0.5127005347593583</x:v>
      </x:c>
      <x:c r="K704" s="8" t="n">
        <x:f>H704*('Source Data'!H$8/'Source Data'!F$8)*EXP(F704*('Source Data'!H$7-'Source Data'!F$7))</x:f>
        <x:v>1719.3037479456093</x:v>
      </x:c>
      <x:c r="L704" s="14" t="n">
        <x:f>I704/K704-1</x:f>
        <x:v>0.3162304814981365</x:v>
      </x:c>
      <x:c r="M704" s="8" t="n">
        <x:f>'Source Data'!G704</x:f>
        <x:v>1454</x:v>
      </x:c>
      <x:c r="N704" s="8" t="n">
        <x:f>M704*('Source Data'!H$8/'Source Data'!G$8)*EXP(F704*('Source Data'!H$7-'Source Data'!G$7))</x:f>
        <x:v>1617.6720612842964</x:v>
      </x:c>
      <x:c r="O704" s="14" t="n">
        <x:f>I704/N704-1</x:f>
        <x:v>0.39892383268544984</x:v>
      </x:c>
      <x:c r="P704" s="2" t="str"/>
    </x:row>
    <x:row r="705">
      <x:c r="A705" s="2" t="str">
        <x:f>'Source Data'!A705</x:f>
        <x:v>611513</x:v>
      </x:c>
      <x:c r="B705" s="2" t="str">
        <x:f>'Source Data'!B705</x:f>
        <x:v>Apprenticeship Training</x:v>
      </x:c>
      <x:c r="C705" s="13" t="n">
        <x:f>LN('Source Data'!C705/'Source Data'!C$8)</x:f>
        <x:v>-8.455218781208945</x:v>
      </x:c>
      <x:c r="D705" s="13" t="n">
        <x:f>LN('Source Data'!D705/'Source Data'!D$8)</x:f>
        <x:v>-8.408653716656838</x:v>
      </x:c>
      <x:c r="E705" s="13" t="n">
        <x:f>LN('Source Data'!E705/'Source Data'!E$8)</x:f>
        <x:v>-8.312302178529327</x:v>
      </x:c>
      <x:c r="F705" s="13" t="n">
        <x:f>SLOPE(C705:E705,'Source Data'!C$7:E$7)</x:f>
        <x:v>0.0714583013398089</x:v>
      </x:c>
      <x:c r="G705" s="14" t="n">
        <x:f>EXP(F705)-1</x:f>
        <x:v>0.0740733623473564</x:v>
      </x:c>
      <x:c r="H705" s="8" t="n">
        <x:f>'Source Data'!F705</x:f>
        <x:v>2586</x:v>
      </x:c>
      <x:c r="I705" s="8" t="n">
        <x:f>'Source Data'!H705</x:f>
        <x:v>2937</x:v>
      </x:c>
      <x:c r="J705" s="14" t="n">
        <x:f>I705/H705-1</x:f>
        <x:v>0.13573085846867738</x:v>
      </x:c>
      <x:c r="K705" s="8" t="n">
        <x:f>H705*('Source Data'!H$8/'Source Data'!F$8)*EXP(F705*('Source Data'!H$7-'Source Data'!F$7))</x:f>
        <x:v>3502.69786734379</x:v>
      </x:c>
      <x:c r="L705" s="14" t="n">
        <x:f>I705/K705-1</x:f>
        <x:v>-0.1615034721144183</x:v>
      </x:c>
      <x:c r="M705" s="8" t="n">
        <x:f>'Source Data'!G705</x:f>
        <x:v>2629</x:v>
      </x:c>
      <x:c r="N705" s="8" t="n">
        <x:f>M705*('Source Data'!H$8/'Source Data'!G$8)*EXP(F705*('Source Data'!H$7-'Source Data'!G$7))</x:f>
        <x:v>3308.502904410591</x:v>
      </x:c>
      <x:c r="O705" s="14" t="n">
        <x:f>I705/N705-1</x:f>
        <x:v>-0.11228731397374248</x:v>
      </x:c>
      <x:c r="P705" s="2" t="str"/>
    </x:row>
    <x:row r="706">
      <x:c r="A706" s="2" t="str">
        <x:f>'Source Data'!A706</x:f>
        <x:v>611519</x:v>
      </x:c>
      <x:c r="B706" s="2" t="str">
        <x:f>'Source Data'!B706</x:f>
        <x:v>Other Technical and Trade Schools</x:v>
      </x:c>
      <x:c r="C706" s="13" t="n">
        <x:f>LN('Source Data'!C706/'Source Data'!C$8)</x:f>
        <x:v>-7.265220176931468</x:v>
      </x:c>
      <x:c r="D706" s="13" t="n">
        <x:f>LN('Source Data'!D706/'Source Data'!D$8)</x:f>
        <x:v>-7.240319219041827</x:v>
      </x:c>
      <x:c r="E706" s="13" t="n">
        <x:f>LN('Source Data'!E706/'Source Data'!E$8)</x:f>
        <x:v>-7.260101281394054</x:v>
      </x:c>
      <x:c r="F706" s="13" t="n">
        <x:f>SLOPE(C706:E706,'Source Data'!C$7:E$7)</x:f>
        <x:v>0.0025594477687067574</x:v>
      </x:c>
      <x:c r="G706" s="14" t="n">
        <x:f>EXP(F706)-1</x:f>
        <x:v>0.0025627259513296696</x:v>
      </x:c>
      <x:c r="H706" s="8" t="n">
        <x:f>'Source Data'!F706</x:f>
        <x:v>9652</x:v>
      </x:c>
      <x:c r="I706" s="8" t="n">
        <x:f>'Source Data'!H706</x:f>
        <x:v>11267</x:v>
      </x:c>
      <x:c r="J706" s="14" t="n">
        <x:f>I706/H706-1</x:f>
        <x:v>0.16732283464566922</x:v>
      </x:c>
      <x:c r="K706" s="8" t="n">
        <x:f>H706*('Source Data'!H$8/'Source Data'!F$8)*EXP(F706*('Source Data'!H$7-'Source Data'!F$7))</x:f>
        <x:v>9924.346136370437</x:v>
      </x:c>
      <x:c r="L706" s="14" t="n">
        <x:f>I706/K706-1</x:f>
        <x:v>0.13528889915568798</x:v>
      </x:c>
      <x:c r="M706" s="8" t="n">
        <x:f>'Source Data'!G706</x:f>
        <x:v>9732</x:v>
      </x:c>
      <x:c r="N706" s="8" t="n">
        <x:f>M706*('Source Data'!H$8/'Source Data'!G$8)*EXP(F706*('Source Data'!H$7-'Source Data'!G$7))</x:f>
        <x:v>9960.37887760388</x:v>
      </x:c>
      <x:c r="O706" s="14" t="n">
        <x:f>I706/N706-1</x:f>
        <x:v>0.13118186953049404</x:v>
      </x:c>
      <x:c r="P706" s="2" t="str"/>
    </x:row>
    <x:row r="707">
      <x:c r="A707" s="2" t="str">
        <x:f>'Source Data'!A707</x:f>
        <x:v>611610</x:v>
      </x:c>
      <x:c r="B707" s="2" t="str">
        <x:f>'Source Data'!B707</x:f>
        <x:v>Fine Arts Schools</x:v>
      </x:c>
      <x:c r="C707" s="13" t="n">
        <x:f>LN('Source Data'!C707/'Source Data'!C$8)</x:f>
        <x:v>-6.979340448013547</x:v>
      </x:c>
      <x:c r="D707" s="13" t="n">
        <x:f>LN('Source Data'!D707/'Source Data'!D$8)</x:f>
        <x:v>-6.9249314164213285</x:v>
      </x:c>
      <x:c r="E707" s="13" t="n">
        <x:f>LN('Source Data'!E707/'Source Data'!E$8)</x:f>
        <x:v>-6.828721143559311</x:v>
      </x:c>
      <x:c r="F707" s="13" t="n">
        <x:f>SLOPE(C707:E707,'Source Data'!C$7:E$7)</x:f>
        <x:v>0.07530965222711794</x:v>
      </x:c>
      <x:c r="G707" s="14" t="n">
        <x:f>EXP(F707)-1</x:f>
        <x:v>0.07821797179405476</x:v>
      </x:c>
      <x:c r="H707" s="8" t="n">
        <x:f>'Source Data'!F707</x:f>
        <x:v>18045</x:v>
      </x:c>
      <x:c r="I707" s="8" t="n">
        <x:f>'Source Data'!H707</x:f>
        <x:v>24003</x:v>
      </x:c>
      <x:c r="J707" s="14" t="n">
        <x:f>I707/H707-1</x:f>
        <x:v>0.3301745635910225</x:v>
      </x:c>
      <x:c r="K707" s="8" t="n">
        <x:f>H707*('Source Data'!H$8/'Source Data'!F$8)*EXP(F707*('Source Data'!H$7-'Source Data'!F$7))</x:f>
        <x:v>24821.12864878572</x:v>
      </x:c>
      <x:c r="L707" s="14" t="n">
        <x:f>I707/K707-1</x:f>
        <x:v>-0.03296097693066613</x:v>
      </x:c>
      <x:c r="M707" s="8" t="n">
        <x:f>'Source Data'!G707</x:f>
        <x:v>20445</x:v>
      </x:c>
      <x:c r="N707" s="8" t="n">
        <x:f>M707*('Source Data'!H$8/'Source Data'!G$8)*EXP(F707*('Source Data'!H$7-'Source Data'!G$7))</x:f>
        <x:v>26028.30638860681</x:v>
      </x:c>
      <x:c r="O707" s="14" t="n">
        <x:f>I707/N707-1</x:f>
        <x:v>-0.07781168541543415</x:v>
      </x:c>
      <x:c r="P707" s="2" t="str"/>
    </x:row>
    <x:row r="708">
      <x:c r="A708" s="2" t="str">
        <x:f>'Source Data'!A708</x:f>
        <x:v>611620</x:v>
      </x:c>
      <x:c r="B708" s="2" t="str">
        <x:f>'Source Data'!B708</x:f>
        <x:v>Sports and Recreation Instruction</x:v>
      </x:c>
      <x:c r="C708" s="13" t="n">
        <x:f>LN('Source Data'!C708/'Source Data'!C$8)</x:f>
        <x:v>-6.837267392337958</x:v>
      </x:c>
      <x:c r="D708" s="13" t="n">
        <x:f>LN('Source Data'!D708/'Source Data'!D$8)</x:f>
        <x:v>-6.799031715614234</x:v>
      </x:c>
      <x:c r="E708" s="13" t="n">
        <x:f>LN('Source Data'!E708/'Source Data'!E$8)</x:f>
        <x:v>-6.756739882399612</x:v>
      </x:c>
      <x:c r="F708" s="13" t="n">
        <x:f>SLOPE(C708:E708,'Source Data'!C$7:E$7)</x:f>
        <x:v>0.04026375496917334</x:v>
      </x:c>
      <x:c r="G708" s="14" t="n">
        <x:f>EXP(F708)-1</x:f>
        <x:v>0.04108532941211074</x:v>
      </x:c>
      <x:c r="H708" s="8" t="n">
        <x:f>'Source Data'!F708</x:f>
        <x:v>19065</x:v>
      </x:c>
      <x:c r="I708" s="8" t="n">
        <x:f>'Source Data'!H708</x:f>
        <x:v>25666</x:v>
      </x:c>
      <x:c r="J708" s="14" t="n">
        <x:f>I708/H708-1</x:f>
        <x:v>0.3462365591397849</x:v>
      </x:c>
      <x:c r="K708" s="8" t="n">
        <x:f>H708*('Source Data'!H$8/'Source Data'!F$8)*EXP(F708*('Source Data'!H$7-'Source Data'!F$7))</x:f>
        <x:v>22793.997147368707</x:v>
      </x:c>
      <x:c r="L708" s="14" t="n">
        <x:f>I708/K708-1</x:f>
        <x:v>0.12599821058426475</x:v>
      </x:c>
      <x:c r="M708" s="8" t="n">
        <x:f>'Source Data'!G708</x:f>
        <x:v>22669</x:v>
      </x:c>
      <x:c r="N708" s="8" t="n">
        <x:f>M708*('Source Data'!H$8/'Source Data'!G$8)*EXP(F708*('Source Data'!H$7-'Source Data'!G$7))</x:f>
        <x:v>25979.47907029584</x:v>
      </x:c>
      <x:c r="O708" s="14" t="n">
        <x:f>I708/N708-1</x:f>
        <x:v>-0.012066410933322502</x:v>
      </x:c>
      <x:c r="P708" s="2" t="str"/>
    </x:row>
    <x:row r="709">
      <x:c r="A709" s="2" t="str">
        <x:f>'Source Data'!A709</x:f>
        <x:v>611630</x:v>
      </x:c>
      <x:c r="B709" s="2" t="str">
        <x:f>'Source Data'!B709</x:f>
        <x:v>Language Schools</x:v>
      </x:c>
      <x:c r="C709" s="13" t="n">
        <x:f>LN('Source Data'!C709/'Source Data'!C$8)</x:f>
        <x:v>-8.095391953381744</x:v>
      </x:c>
      <x:c r="D709" s="13" t="n">
        <x:f>LN('Source Data'!D709/'Source Data'!D$8)</x:f>
        <x:v>-8.108469575588046</x:v>
      </x:c>
      <x:c r="E709" s="13" t="n">
        <x:f>LN('Source Data'!E709/'Source Data'!E$8)</x:f>
        <x:v>-8.112029740695341</x:v>
      </x:c>
      <x:c r="F709" s="13" t="n">
        <x:f>SLOPE(C709:E709,'Source Data'!C$7:E$7)</x:f>
        <x:v>-0.008318893656798387</x:v>
      </x:c>
      <x:c r="G709" s="14" t="n">
        <x:f>EXP(F709)-1</x:f>
        <x:v>-0.008284387411851557</x:v>
      </x:c>
      <x:c r="H709" s="8" t="n">
        <x:f>'Source Data'!F709</x:f>
        <x:v>3209</x:v>
      </x:c>
      <x:c r="I709" s="8" t="n">
        <x:f>'Source Data'!H709</x:f>
        <x:v>3378</x:v>
      </x:c>
      <x:c r="J709" s="14" t="n">
        <x:f>I709/H709-1</x:f>
        <x:v>0.05266438142723584</x:v>
      </x:c>
      <x:c r="K709" s="8" t="n">
        <x:f>H709*('Source Data'!H$8/'Source Data'!F$8)*EXP(F709*('Source Data'!H$7-'Source Data'!F$7))</x:f>
        <x:v>3159.0513998107613</x:v>
      </x:c>
      <x:c r="L709" s="14" t="n">
        <x:f>I709/K709-1</x:f>
        <x:v>0.06930833737062803</x:v>
      </x:c>
      <x:c r="M709" s="8" t="n">
        <x:f>'Source Data'!G709</x:f>
        <x:v>3472</x:v>
      </x:c>
      <x:c r="N709" s="8" t="n">
        <x:f>M709*('Source Data'!H$8/'Source Data'!G$8)*EXP(F709*('Source Data'!H$7-'Source Data'!G$7))</x:f>
        <x:v>3439.3808110404993</x:v>
      </x:c>
      <x:c r="O709" s="14" t="n">
        <x:f>I709/N709-1</x:f>
        <x:v>-0.017846471330963176</x:v>
      </x:c>
      <x:c r="P709" s="2" t="str"/>
    </x:row>
    <x:row r="710">
      <x:c r="A710" s="2" t="str">
        <x:f>'Source Data'!A710</x:f>
        <x:v>611691</x:v>
      </x:c>
      <x:c r="B710" s="2" t="str">
        <x:f>'Source Data'!B710</x:f>
        <x:v>Exam Preparation and Tutoring</x:v>
      </x:c>
      <x:c r="C710" s="13" t="n">
        <x:f>LN('Source Data'!C710/'Source Data'!C$8)</x:f>
        <x:v>-6.50200693811708</x:v>
      </x:c>
      <x:c r="D710" s="13" t="n">
        <x:f>LN('Source Data'!D710/'Source Data'!D$8)</x:f>
        <x:v>-6.501762661665178</x:v>
      </x:c>
      <x:c r="E710" s="13" t="n">
        <x:f>LN('Source Data'!E710/'Source Data'!E$8)</x:f>
        <x:v>-6.479950689211065</x:v>
      </x:c>
      <x:c r="F710" s="13" t="n">
        <x:f>SLOPE(C710:E710,'Source Data'!C$7:E$7)</x:f>
        <x:v>0.011028124453007493</x:v>
      </x:c>
      <x:c r="G710" s="14" t="n">
        <x:f>EXP(F710)-1</x:f>
        <x:v>0.011089158374366193</x:v>
      </x:c>
      <x:c r="H710" s="8" t="n">
        <x:f>'Source Data'!F710</x:f>
        <x:v>21455</x:v>
      </x:c>
      <x:c r="I710" s="8" t="n">
        <x:f>'Source Data'!H710</x:f>
        <x:v>24250</x:v>
      </x:c>
      <x:c r="J710" s="14" t="n">
        <x:f>I710/H710-1</x:f>
        <x:v>0.13027266371475177</x:v>
      </x:c>
      <x:c r="K710" s="8" t="n">
        <x:f>H710*('Source Data'!H$8/'Source Data'!F$8)*EXP(F710*('Source Data'!H$7-'Source Data'!F$7))</x:f>
        <x:v>22820.476416300266</x:v>
      </x:c>
      <x:c r="L710" s="14" t="n">
        <x:f>I710/K710-1</x:f>
        <x:v>0.06264214460828033</x:v>
      </x:c>
      <x:c r="M710" s="8" t="n">
        <x:f>'Source Data'!G710</x:f>
        <x:v>25041</x:v>
      </x:c>
      <x:c r="N710" s="8" t="n">
        <x:f>M710*('Source Data'!H$8/'Source Data'!G$8)*EXP(F710*('Source Data'!H$7-'Source Data'!G$7))</x:f>
        <x:v>26288.095587718708</x:v>
      </x:c>
      <x:c r="O710" s="14" t="n">
        <x:f>I710/N710-1</x:f>
        <x:v>-0.07752922157932451</x:v>
      </x:c>
      <x:c r="P710" s="2" t="str"/>
    </x:row>
    <x:row r="711">
      <x:c r="A711" s="2" t="str">
        <x:f>'Source Data'!A711</x:f>
        <x:v>611692</x:v>
      </x:c>
      <x:c r="B711" s="2" t="str">
        <x:f>'Source Data'!B711</x:f>
        <x:v>Automobile Driving Schools</x:v>
      </x:c>
      <x:c r="C711" s="13" t="n">
        <x:f>LN('Source Data'!C711/'Source Data'!C$8)</x:f>
        <x:v>-9.03266774609187</x:v>
      </x:c>
      <x:c r="D711" s="13" t="n">
        <x:f>LN('Source Data'!D711/'Source Data'!D$8)</x:f>
        <x:v>-9.063572013361263</x:v>
      </x:c>
      <x:c r="E711" s="13" t="n">
        <x:f>LN('Source Data'!E711/'Source Data'!E$8)</x:f>
        <x:v>-9.105259107503587</x:v>
      </x:c>
      <x:c r="F711" s="13" t="n">
        <x:f>SLOPE(C711:E711,'Source Data'!C$7:E$7)</x:f>
        <x:v>-0.03629568070585876</x:v>
      </x:c>
      <x:c r="G711" s="14" t="n">
        <x:f>EXP(F711)-1</x:f>
        <x:v>-0.03564488987606762</x:v>
      </x:c>
      <x:c r="H711" s="8" t="n">
        <x:f>'Source Data'!F711</x:f>
        <x:v>1669</x:v>
      </x:c>
      <x:c r="I711" s="8" t="n">
        <x:f>'Source Data'!H711</x:f>
        <x:v>1899</x:v>
      </x:c>
      <x:c r="J711" s="14" t="n">
        <x:f>I711/H711-1</x:f>
        <x:v>0.13780707010185744</x:v>
      </x:c>
      <x:c r="K711" s="8" t="n">
        <x:f>H711*('Source Data'!H$8/'Source Data'!F$8)*EXP(F711*('Source Data'!H$7-'Source Data'!F$7))</x:f>
        <x:v>1469.070557416991</x:v>
      </x:c>
      <x:c r="L711" s="14" t="n">
        <x:f>I711/K711-1</x:f>
        <x:v>0.2926540460649738</x:v>
      </x:c>
      <x:c r="M711" s="8" t="n">
        <x:f>'Source Data'!G711</x:f>
        <x:v>1659</x:v>
      </x:c>
      <x:c r="N711" s="8" t="n">
        <x:f>M711*('Source Data'!H$8/'Source Data'!G$8)*EXP(F711*('Source Data'!H$7-'Source Data'!G$7))</x:f>
        <x:v>1511.1112565565047</x:v>
      </x:c>
      <x:c r="O711" s="14" t="n">
        <x:f>I711/N711-1</x:f>
        <x:v>0.25669105551328486</x:v>
      </x:c>
      <x:c r="P711" s="2" t="str"/>
    </x:row>
    <x:row r="712">
      <x:c r="A712" s="2" t="str">
        <x:f>'Source Data'!A712</x:f>
        <x:v>611699</x:v>
      </x:c>
      <x:c r="B712" s="2" t="str">
        <x:f>'Source Data'!B712</x:f>
        <x:v>All Other Miscellaneous Schools and Instruction</x:v>
      </x:c>
      <x:c r="C712" s="13" t="n">
        <x:f>LN('Source Data'!C712/'Source Data'!C$8)</x:f>
        <x:v>-7.166695698916929</x:v>
      </x:c>
      <x:c r="D712" s="13" t="n">
        <x:f>LN('Source Data'!D712/'Source Data'!D$8)</x:f>
        <x:v>-7.082265073506957</x:v>
      </x:c>
      <x:c r="E712" s="13" t="n">
        <x:f>LN('Source Data'!E712/'Source Data'!E$8)</x:f>
        <x:v>-7.05575302701415</x:v>
      </x:c>
      <x:c r="F712" s="13" t="n">
        <x:f>SLOPE(C712:E712,'Source Data'!C$7:E$7)</x:f>
        <x:v>0.0554713359513892</x:v>
      </x:c>
      <x:c r="G712" s="14" t="n">
        <x:f>EXP(F712)-1</x:f>
        <x:v>0.057038717628987046</x:v>
      </x:c>
      <x:c r="H712" s="8" t="n">
        <x:f>'Source Data'!F712</x:f>
        <x:v>10450</x:v>
      </x:c>
      <x:c r="I712" s="8" t="n">
        <x:f>'Source Data'!H712</x:f>
        <x:v>14912</x:v>
      </x:c>
      <x:c r="J712" s="14" t="n">
        <x:f>I712/H712-1</x:f>
        <x:v>0.42698564593301436</x:v>
      </x:c>
      <x:c r="K712" s="8" t="n">
        <x:f>H712*('Source Data'!H$8/'Source Data'!F$8)*EXP(F712*('Source Data'!H$7-'Source Data'!F$7))</x:f>
        <x:v>13277.559138129094</x:v>
      </x:c>
      <x:c r="L712" s="14" t="n">
        <x:f>I712/K712-1</x:f>
        <x:v>0.12309799149583833</x:v>
      </x:c>
      <x:c r="M712" s="8" t="n">
        <x:f>'Source Data'!G712</x:f>
        <x:v>12879</x:v>
      </x:c>
      <x:c r="N712" s="8" t="n">
        <x:f>M712*('Source Data'!H$8/'Source Data'!G$8)*EXP(F712*('Source Data'!H$7-'Source Data'!G$7))</x:f>
        <x:v>15448.770614958183</x:v>
      </x:c>
      <x:c r="O712" s="14" t="n">
        <x:f>I712/N712-1</x:f>
        <x:v>-0.034745199364825674</x:v>
      </x:c>
      <x:c r="P712" s="2" t="str"/>
    </x:row>
    <x:row r="713">
      <x:c r="A713" s="2" t="str">
        <x:f>'Source Data'!A713</x:f>
        <x:v>611710</x:v>
      </x:c>
      <x:c r="B713" s="2" t="str">
        <x:f>'Source Data'!B713</x:f>
        <x:v>Educational Support Services</x:v>
      </x:c>
      <x:c r="C713" s="13" t="n">
        <x:f>LN('Source Data'!C713/'Source Data'!C$8)</x:f>
        <x:v>-6.6526118588555345</x:v>
      </x:c>
      <x:c r="D713" s="13" t="n">
        <x:f>LN('Source Data'!D713/'Source Data'!D$8)</x:f>
        <x:v>-6.549272879590693</x:v>
      </x:c>
      <x:c r="E713" s="13" t="n">
        <x:f>LN('Source Data'!E713/'Source Data'!E$8)</x:f>
        <x:v>-6.471183485866991</x:v>
      </x:c>
      <x:c r="F713" s="13" t="n">
        <x:f>SLOPE(C713:E713,'Source Data'!C$7:E$7)</x:f>
        <x:v>0.09071418649427176</x:v>
      </x:c>
      <x:c r="G713" s="14" t="n">
        <x:f>EXP(F713)-1</x:f>
        <x:v>0.0949560073160074</x:v>
      </x:c>
      <x:c r="H713" s="8" t="n">
        <x:f>'Source Data'!F713</x:f>
        <x:v>24688</x:v>
      </x:c>
      <x:c r="I713" s="8" t="n">
        <x:f>'Source Data'!H713</x:f>
        <x:v>42709</x:v>
      </x:c>
      <x:c r="J713" s="14" t="n">
        <x:f>I713/H713-1</x:f>
        <x:v>0.7299497731691511</x:v>
      </x:c>
      <x:c r="K713" s="8" t="n">
        <x:f>H713*('Source Data'!H$8/'Source Data'!F$8)*EXP(F713*('Source Data'!H$7-'Source Data'!F$7))</x:f>
        <x:v>36116.94142101359</x:v>
      </x:c>
      <x:c r="L713" s="14" t="n">
        <x:f>I713/K713-1</x:f>
        <x:v>0.18251984580153335</x:v>
      </x:c>
      <x:c r="M713" s="8" t="n">
        <x:f>'Source Data'!G713</x:f>
        <x:v>28830</x:v>
      </x:c>
      <x:c r="N713" s="8" t="n">
        <x:f>M713*('Source Data'!H$8/'Source Data'!G$8)*EXP(F713*('Source Data'!H$7-'Source Data'!G$7))</x:f>
        <x:v>38439.147779144754</x:v>
      </x:c>
      <x:c r="O713" s="14" t="n">
        <x:f>I713/N713-1</x:f>
        <x:v>0.11108082430411903</x:v>
      </x:c>
      <x:c r="P713" s="2" t="str"/>
    </x:row>
    <x:row r="714">
      <x:c r="A714" s="2" t="str">
        <x:f>'Source Data'!A714</x:f>
        <x:v>621111</x:v>
      </x:c>
      <x:c r="B714" s="2" t="str">
        <x:f>'Source Data'!B714</x:f>
        <x:v>Offices of Physicians (except Mental Health Specialists)</x:v>
      </x:c>
      <x:c r="C714" s="13" t="n">
        <x:f>LN('Source Data'!C714/'Source Data'!C$8)</x:f>
        <x:v>-4.130013073565465</x:v>
      </x:c>
      <x:c r="D714" s="13" t="n">
        <x:f>LN('Source Data'!D714/'Source Data'!D$8)</x:f>
        <x:v>-4.1470894671635605</x:v>
      </x:c>
      <x:c r="E714" s="13" t="n">
        <x:f>LN('Source Data'!E714/'Source Data'!E$8)</x:f>
        <x:v>-4.1598212865661095</x:v>
      </x:c>
      <x:c r="F714" s="13" t="n">
        <x:f>SLOPE(C714:E714,'Source Data'!C$7:E$7)</x:f>
        <x:v>-0.014904106500322367</x:v>
      </x:c>
      <x:c r="G714" s="14" t="n">
        <x:f>EXP(F714)-1</x:f>
        <x:v>-0.014793590036000226</x:v>
      </x:c>
      <x:c r="H714" s="8" t="n">
        <x:f>'Source Data'!F714</x:f>
        <x:v>237108</x:v>
      </x:c>
      <x:c r="I714" s="8" t="n">
        <x:f>'Source Data'!H714</x:f>
        <x:v>251890</x:v>
      </x:c>
      <x:c r="J714" s="14" t="n">
        <x:f>I714/H714-1</x:f>
        <x:v>0.06234289859473319</x:v>
      </x:c>
      <x:c r="K714" s="8" t="n">
        <x:f>H714*('Source Data'!H$8/'Source Data'!F$8)*EXP(F714*('Source Data'!H$7-'Source Data'!F$7))</x:f>
        <x:v>227349.23436977784</x:v>
      </x:c>
      <x:c r="L714" s="14" t="n">
        <x:f>I714/K714-1</x:f>
        <x:v>0.10794303177774167</x:v>
      </x:c>
      <x:c r="M714" s="8" t="n">
        <x:f>'Source Data'!G714</x:f>
        <x:v>246933</x:v>
      </x:c>
      <x:c r="N714" s="8" t="n">
        <x:f>M714*('Source Data'!H$8/'Source Data'!G$8)*EXP(F714*('Source Data'!H$7-'Source Data'!G$7))</x:f>
        <x:v>239828.0163295642</x:v>
      </x:c>
      <x:c r="O714" s="14" t="n">
        <x:f>I714/N714-1</x:f>
        <x:v>0.050294306124187615</x:v>
      </x:c>
      <x:c r="P714" s="2" t="str"/>
    </x:row>
    <x:row r="715">
      <x:c r="A715" s="2" t="str">
        <x:f>'Source Data'!A715</x:f>
        <x:v>621112</x:v>
      </x:c>
      <x:c r="B715" s="2" t="str">
        <x:f>'Source Data'!B715</x:f>
        <x:v>Offices of Physicians, Mental Health Specialists</x:v>
      </x:c>
      <x:c r="C715" s="13" t="n">
        <x:f>LN('Source Data'!C715/'Source Data'!C$8)</x:f>
        <x:v>-7.580216007929424</x:v>
      </x:c>
      <x:c r="D715" s="13" t="n">
        <x:f>LN('Source Data'!D715/'Source Data'!D$8)</x:f>
        <x:v>-7.558379533330161</x:v>
      </x:c>
      <x:c r="E715" s="13" t="n">
        <x:f>LN('Source Data'!E715/'Source Data'!E$8)</x:f>
        <x:v>-7.4894290850217535</x:v>
      </x:c>
      <x:c r="F715" s="13" t="n">
        <x:f>SLOPE(C715:E715,'Source Data'!C$7:E$7)</x:f>
        <x:v>0.04539346145383538</x:v>
      </x:c>
      <x:c r="G715" s="14" t="n">
        <x:f>EXP(F715)-1</x:f>
        <x:v>0.04643951253063783</x:v>
      </x:c>
      <x:c r="H715" s="8" t="n">
        <x:f>'Source Data'!F715</x:f>
        <x:v>9719</x:v>
      </x:c>
      <x:c r="I715" s="8" t="n">
        <x:f>'Source Data'!H715</x:f>
        <x:v>12016</x:v>
      </x:c>
      <x:c r="J715" s="14" t="n">
        <x:f>I715/H715-1</x:f>
        <x:v>0.23634118736495524</x:v>
      </x:c>
      <x:c r="K715" s="8" t="n">
        <x:f>H715*('Source Data'!H$8/'Source Data'!F$8)*EXP(F715*('Source Data'!H$7-'Source Data'!F$7))</x:f>
        <x:v>11860.868063577926</x:v>
      </x:c>
      <x:c r="L715" s="14" t="n">
        <x:f>I715/K715-1</x:f>
        <x:v>0.013079307146030006</x:v>
      </x:c>
      <x:c r="M715" s="8" t="n">
        <x:f>'Source Data'!G715</x:f>
        <x:v>10108</x:v>
      </x:c>
      <x:c r="N715" s="8" t="n">
        <x:f>M715*('Source Data'!H$8/'Source Data'!G$8)*EXP(F715*('Source Data'!H$7-'Source Data'!G$7))</x:f>
        <x:v>11763.775259883681</x:v>
      </x:c>
      <x:c r="O715" s="14" t="n">
        <x:f>I715/N715-1</x:f>
        <x:v>0.021440798939473593</x:v>
      </x:c>
      <x:c r="P715" s="2" t="str"/>
    </x:row>
    <x:row r="716">
      <x:c r="A716" s="2" t="str">
        <x:f>'Source Data'!A716</x:f>
        <x:v>621210</x:v>
      </x:c>
      <x:c r="B716" s="2" t="str">
        <x:f>'Source Data'!B716</x:f>
        <x:v>Offices of Dentists</x:v>
      </x:c>
      <x:c r="C716" s="13" t="n">
        <x:f>LN('Source Data'!C716/'Source Data'!C$8)</x:f>
        <x:v>-4.728143599637377</x:v>
      </x:c>
      <x:c r="D716" s="13" t="n">
        <x:f>LN('Source Data'!D716/'Source Data'!D$8)</x:f>
        <x:v>-4.7240022736073595</x:v>
      </x:c>
      <x:c r="E716" s="13" t="n">
        <x:f>LN('Source Data'!E716/'Source Data'!E$8)</x:f>
        <x:v>-4.707313276326613</x:v>
      </x:c>
      <x:c r="F716" s="13" t="n">
        <x:f>SLOPE(C716:E716,'Source Data'!C$7:E$7)</x:f>
        <x:v>0.010415161655382033</x:v>
      </x:c>
      <x:c r="G716" s="14" t="n">
        <x:f>EXP(F716)-1</x:f>
        <x:v>0.010469588241320382</x:v>
      </x:c>
      <x:c r="H716" s="8" t="n">
        <x:f>'Source Data'!F716</x:f>
        <x:v>135283</x:v>
      </x:c>
      <x:c r="I716" s="8" t="n">
        <x:f>'Source Data'!H716</x:f>
        <x:v>140024</x:v>
      </x:c>
      <x:c r="J716" s="14" t="n">
        <x:f>I716/H716-1</x:f>
        <x:v>0.03504505370223909</x:v>
      </x:c>
      <x:c r="K716" s="8" t="n">
        <x:f>H716*('Source Data'!H$8/'Source Data'!F$8)*EXP(F716*('Source Data'!H$7-'Source Data'!F$7))</x:f>
        <x:v>143540.54405927157</x:v>
      </x:c>
      <x:c r="L716" s="14" t="n">
        <x:f>I716/K716-1</x:f>
        <x:v>-0.02449861174985868</x:v>
      </x:c>
      <x:c r="M716" s="8" t="n">
        <x:f>'Source Data'!G716</x:f>
        <x:v>137276</x:v>
      </x:c>
      <x:c r="N716" s="8" t="n">
        <x:f>M716*('Source Data'!H$8/'Source Data'!G$8)*EXP(F716*('Source Data'!H$7-'Source Data'!G$7))</x:f>
        <x:v>143847.87611650114</x:v>
      </x:c>
      <x:c r="O716" s="14" t="n">
        <x:f>I716/N716-1</x:f>
        <x:v>-0.026582777721404938</x:v>
      </x:c>
      <x:c r="P716" s="2" t="str"/>
    </x:row>
    <x:row r="717">
      <x:c r="A717" s="2" t="str">
        <x:f>'Source Data'!A717</x:f>
        <x:v>621310</x:v>
      </x:c>
      <x:c r="B717" s="2" t="str">
        <x:f>'Source Data'!B717</x:f>
        <x:v>Offices of Chiropractors</x:v>
      </x:c>
      <x:c r="C717" s="13" t="n">
        <x:f>LN('Source Data'!C717/'Source Data'!C$8)</x:f>
        <x:v>-7.085670231281808</x:v>
      </x:c>
      <x:c r="D717" s="13" t="n">
        <x:f>LN('Source Data'!D717/'Source Data'!D$8)</x:f>
        <x:v>-7.138121191867393</x:v>
      </x:c>
      <x:c r="E717" s="13" t="n">
        <x:f>LN('Source Data'!E717/'Source Data'!E$8)</x:f>
        <x:v>-7.13324716955037</x:v>
      </x:c>
      <x:c r="F717" s="13" t="n">
        <x:f>SLOPE(C717:E717,'Source Data'!C$7:E$7)</x:f>
        <x:v>-0.0237884691342809</x:v>
      </x:c>
      <x:c r="G717" s="14" t="n">
        <x:f>EXP(F717)-1</x:f>
        <x:v>-0.023507753837074263</x:v>
      </x:c>
      <x:c r="H717" s="8" t="n">
        <x:f>'Source Data'!F717</x:f>
        <x:v>12439</x:v>
      </x:c>
      <x:c r="I717" s="8" t="n">
        <x:f>'Source Data'!H717</x:f>
        <x:v>12896</x:v>
      </x:c>
      <x:c r="J717" s="14" t="n">
        <x:f>I717/H717-1</x:f>
        <x:v>0.03673928772409352</x:v>
      </x:c>
      <x:c r="K717" s="8" t="n">
        <x:f>H717*('Source Data'!H$8/'Source Data'!F$8)*EXP(F717*('Source Data'!H$7-'Source Data'!F$7))</x:f>
        <x:v>11510.628509842692</x:v>
      </x:c>
      <x:c r="L717" s="14" t="n">
        <x:f>I717/K717-1</x:f>
        <x:v>0.12035585102696023</x:v>
      </x:c>
      <x:c r="M717" s="8" t="n">
        <x:f>'Source Data'!G717</x:f>
        <x:v>12618</x:v>
      </x:c>
      <x:c r="N717" s="8" t="n">
        <x:f>M717*('Source Data'!H$8/'Source Data'!G$8)*EXP(F717*('Source Data'!H$7-'Source Data'!G$7))</x:f>
        <x:v>11932.625664367262</x:v>
      </x:c>
      <x:c r="O717" s="14" t="n">
        <x:f>I717/N717-1</x:f>
        <x:v>0.08073448063568511</x:v>
      </x:c>
      <x:c r="P717" s="2" t="str"/>
    </x:row>
    <x:row r="718">
      <x:c r="A718" s="2" t="str">
        <x:f>'Source Data'!A718</x:f>
        <x:v>621320</x:v>
      </x:c>
      <x:c r="B718" s="2" t="str">
        <x:f>'Source Data'!B718</x:f>
        <x:v>Offices of Optometrists</x:v>
      </x:c>
      <x:c r="C718" s="13" t="n">
        <x:f>LN('Source Data'!C718/'Source Data'!C$8)</x:f>
        <x:v>-6.822894491799189</x:v>
      </x:c>
      <x:c r="D718" s="13" t="n">
        <x:f>LN('Source Data'!D718/'Source Data'!D$8)</x:f>
        <x:v>-6.8328528714036025</x:v>
      </x:c>
      <x:c r="E718" s="13" t="n">
        <x:f>LN('Source Data'!E718/'Source Data'!E$8)</x:f>
        <x:v>-6.837076348668301</x:v>
      </x:c>
      <x:c r="F718" s="13" t="n">
        <x:f>SLOPE(C718:E718,'Source Data'!C$7:E$7)</x:f>
        <x:v>-0.007090928434556165</x:v>
      </x:c>
      <x:c r="G718" s="14" t="n">
        <x:f>EXP(F718)-1</x:f>
        <x:v>-0.007065847119808066</x:v>
      </x:c>
      <x:c r="H718" s="8" t="n">
        <x:f>'Source Data'!F718</x:f>
        <x:v>16192</x:v>
      </x:c>
      <x:c r="I718" s="8" t="n">
        <x:f>'Source Data'!H718</x:f>
        <x:v>16359</x:v>
      </x:c>
      <x:c r="J718" s="14" t="n">
        <x:f>I718/H718-1</x:f>
        <x:v>0.010313735177865713</x:v>
      </x:c>
      <x:c r="K718" s="8" t="n">
        <x:f>H718*('Source Data'!H$8/'Source Data'!F$8)*EXP(F718*('Source Data'!H$7-'Source Data'!F$7))</x:f>
        <x:v>16018.456432434068</x:v>
      </x:c>
      <x:c r="L718" s="14" t="n">
        <x:f>I718/K718-1</x:f>
        <x:v>0.02125944962314863</x:v>
      </x:c>
      <x:c r="M718" s="8" t="n">
        <x:f>'Source Data'!G718</x:f>
        <x:v>16200</x:v>
      </x:c>
      <x:c r="N718" s="8" t="n">
        <x:f>M718*('Source Data'!H$8/'Source Data'!G$8)*EXP(F718*('Source Data'!H$7-'Source Data'!G$7))</x:f>
        <x:v>16107.029627111086</x:v>
      </x:c>
      <x:c r="O718" s="14" t="n">
        <x:f>I718/N718-1</x:f>
        <x:v>0.0156435034095177</x:v>
      </x:c>
      <x:c r="P718" s="2" t="str"/>
    </x:row>
    <x:row r="719">
      <x:c r="A719" s="2" t="str">
        <x:f>'Source Data'!A719</x:f>
        <x:v>621330</x:v>
      </x:c>
      <x:c r="B719" s="2" t="str">
        <x:f>'Source Data'!B719</x:f>
        <x:v>Offices of Mental Health Practitioners (except Physicians)</x:v>
      </x:c>
      <x:c r="C719" s="13" t="n">
        <x:f>LN('Source Data'!C719/'Source Data'!C$8)</x:f>
        <x:v>-6.888646493437363</x:v>
      </x:c>
      <x:c r="D719" s="13" t="n">
        <x:f>LN('Source Data'!D719/'Source Data'!D$8)</x:f>
        <x:v>-6.739194219637751</x:v>
      </x:c>
      <x:c r="E719" s="13" t="n">
        <x:f>LN('Source Data'!E719/'Source Data'!E$8)</x:f>
        <x:v>-6.588402126171166</x:v>
      </x:c>
      <x:c r="F719" s="13" t="n">
        <x:f>SLOPE(C719:E719,'Source Data'!C$7:E$7)</x:f>
        <x:v>0.15012218363309815</x:v>
      </x:c>
      <x:c r="G719" s="14" t="n">
        <x:f>EXP(F719)-1</x:f>
        <x:v>0.16197620852988948</x:v>
      </x:c>
      <x:c r="H719" s="8" t="n">
        <x:f>'Source Data'!F719</x:f>
        <x:v>26810</x:v>
      </x:c>
      <x:c r="I719" s="8" t="n">
        <x:f>'Source Data'!H719</x:f>
        <x:v>61858</x:v>
      </x:c>
      <x:c r="J719" s="14" t="n">
        <x:f>I719/H719-1</x:f>
        <x:v>1.3072734054457293</x:v>
      </x:c>
      <x:c r="K719" s="8" t="n">
        <x:f>H719*('Source Data'!H$8/'Source Data'!F$8)*EXP(F719*('Source Data'!H$7-'Source Data'!F$7))</x:f>
        <x:v>49742.10173369025</x:v>
      </x:c>
      <x:c r="L719" s="14" t="n">
        <x:f>I719/K719-1</x:f>
        <x:v>0.24357431318797018</x:v>
      </x:c>
      <x:c r="M719" s="8" t="n">
        <x:f>'Source Data'!G719</x:f>
        <x:v>34525</x:v>
      </x:c>
      <x:c r="N719" s="8" t="n">
        <x:f>M719*('Source Data'!H$8/'Source Data'!G$8)*EXP(F719*('Source Data'!H$7-'Source Data'!G$7))</x:f>
        <x:v>55012.893925189754</x:v>
      </x:c>
      <x:c r="O719" s="14" t="n">
        <x:f>I719/N719-1</x:f>
        <x:v>0.12442730397202295</x:v>
      </x:c>
      <x:c r="P719" s="2" t="str"/>
    </x:row>
    <x:row r="720">
      <x:c r="A720" s="2" t="str">
        <x:f>'Source Data'!A720</x:f>
        <x:v>621340</x:v>
      </x:c>
      <x:c r="B720" s="2" t="str">
        <x:f>'Source Data'!B720</x:f>
        <x:v>Offices of Physical, Occupational and Speech Therapists, and Audiologists</x:v>
      </x:c>
      <x:c r="C720" s="13" t="n">
        <x:f>LN('Source Data'!C720/'Source Data'!C$8)</x:f>
        <x:v>-5.994469838321063</x:v>
      </x:c>
      <x:c r="D720" s="13" t="n">
        <x:f>LN('Source Data'!D720/'Source Data'!D$8)</x:f>
        <x:v>-5.962697794992375</x:v>
      </x:c>
      <x:c r="E720" s="13" t="n">
        <x:f>LN('Source Data'!E720/'Source Data'!E$8)</x:f>
        <x:v>-5.875409235603409</x:v>
      </x:c>
      <x:c r="F720" s="13" t="n">
        <x:f>SLOPE(C720:E720,'Source Data'!C$7:E$7)</x:f>
        <x:v>0.059530301358826865</x:v>
      </x:c>
      <x:c r="G720" s="14" t="n">
        <x:f>EXP(F720)-1</x:f>
        <x:v>0.06133792047346054</x:v>
      </x:c>
      <x:c r="H720" s="8" t="n">
        <x:f>'Source Data'!F720</x:f>
        <x:v>46411</x:v>
      </x:c>
      <x:c r="I720" s="8" t="n">
        <x:f>'Source Data'!H720</x:f>
        <x:v>49457</x:v>
      </x:c>
      <x:c r="J720" s="14" t="n">
        <x:f>I720/H720-1</x:f>
        <x:v>0.06563099265260397</x:v>
      </x:c>
      <x:c r="K720" s="8" t="n">
        <x:f>H720*('Source Data'!H$8/'Source Data'!F$8)*EXP(F720*('Source Data'!H$7-'Source Data'!F$7))</x:f>
        <x:v>59934.10511578961</x:v>
      </x:c>
      <x:c r="L720" s="14" t="n">
        <x:f>I720/K720-1</x:f>
        <x:v>-0.1748104037850966</x:v>
      </x:c>
      <x:c r="M720" s="8" t="n">
        <x:f>'Source Data'!G720</x:f>
        <x:v>46492</x:v>
      </x:c>
      <x:c r="N720" s="8" t="n">
        <x:f>M720*('Source Data'!H$8/'Source Data'!G$8)*EXP(F720*('Source Data'!H$7-'Source Data'!G$7))</x:f>
        <x:v>56451.87478236917</x:v>
      </x:c>
      <x:c r="O720" s="14" t="n">
        <x:f>I720/N720-1</x:f>
        <x:v>-0.12390863561813503</x:v>
      </x:c>
      <x:c r="P720" s="2" t="str"/>
    </x:row>
    <x:row r="721">
      <x:c r="A721" s="2" t="str">
        <x:f>'Source Data'!A721</x:f>
        <x:v>621391</x:v>
      </x:c>
      <x:c r="B721" s="2" t="str">
        <x:f>'Source Data'!B721</x:f>
        <x:v>Offices of Podiatrists</x:v>
      </x:c>
      <x:c r="C721" s="13" t="n">
        <x:f>LN('Source Data'!C721/'Source Data'!C$8)</x:f>
        <x:v>-8.696111823960754</x:v>
      </x:c>
      <x:c r="D721" s="13" t="n">
        <x:f>LN('Source Data'!D721/'Source Data'!D$8)</x:f>
        <x:v>-8.651630579996974</x:v>
      </x:c>
      <x:c r="E721" s="13" t="n">
        <x:f>LN('Source Data'!E721/'Source Data'!E$8)</x:f>
        <x:v>-8.676868645725328</x:v>
      </x:c>
      <x:c r="F721" s="13" t="n">
        <x:f>SLOPE(C721:E721,'Source Data'!C$7:E$7)</x:f>
        <x:v>0.009621589117712936</x:v>
      </x:c>
      <x:c r="G721" s="14" t="n">
        <x:f>EXP(F721)-1</x:f>
        <x:v>0.009668025417130188</x:v>
      </x:c>
      <x:c r="H721" s="8" t="n">
        <x:f>'Source Data'!F721</x:f>
        <x:v>2473</x:v>
      </x:c>
      <x:c r="I721" s="8" t="n">
        <x:f>'Source Data'!H721</x:f>
        <x:v>2676</x:v>
      </x:c>
      <x:c r="J721" s="14" t="n">
        <x:f>I721/H721-1</x:f>
        <x:v>0.08208653457339254</x:v>
      </x:c>
      <x:c r="K721" s="8" t="n">
        <x:f>H721*('Source Data'!H$8/'Source Data'!F$8)*EXP(F721*('Source Data'!H$7-'Source Data'!F$7))</x:f>
        <x:v>2615.6335672672094</x:v>
      </x:c>
      <x:c r="L721" s="14" t="n">
        <x:f>I721/K721-1</x:f>
        <x:v>0.023079086263547488</x:v>
      </x:c>
      <x:c r="M721" s="8" t="n">
        <x:f>'Source Data'!G721</x:f>
        <x:v>2650</x:v>
      </x:c>
      <x:c r="N721" s="8" t="n">
        <x:f>M721*('Source Data'!H$8/'Source Data'!G$8)*EXP(F721*('Source Data'!H$7-'Source Data'!G$7))</x:f>
        <x:v>2770.261582668429</x:v>
      </x:c>
      <x:c r="O721" s="14" t="n">
        <x:f>I721/N721-1</x:f>
        <x:v>-0.0340262389870174</x:v>
      </x:c>
      <x:c r="P721" s="2" t="str"/>
    </x:row>
    <x:row r="722">
      <x:c r="A722" s="2" t="str">
        <x:f>'Source Data'!A722</x:f>
        <x:v>621399</x:v>
      </x:c>
      <x:c r="B722" s="2" t="str">
        <x:f>'Source Data'!B722</x:f>
        <x:v>Offices of All Other Miscellaneous Health Practitioners</x:v>
      </x:c>
      <x:c r="C722" s="13" t="n">
        <x:f>LN('Source Data'!C722/'Source Data'!C$8)</x:f>
        <x:v>-7.340190403934905</x:v>
      </x:c>
      <x:c r="D722" s="13" t="n">
        <x:f>LN('Source Data'!D722/'Source Data'!D$8)</x:f>
        <x:v>-7.304940417131972</x:v>
      </x:c>
      <x:c r="E722" s="13" t="n">
        <x:f>LN('Source Data'!E722/'Source Data'!E$8)</x:f>
        <x:v>-7.199375458090995</x:v>
      </x:c>
      <x:c r="F722" s="13" t="n">
        <x:f>SLOPE(C722:E722,'Source Data'!C$7:E$7)</x:f>
        <x:v>0.07040747292195482</x:v>
      </x:c>
      <x:c r="G722" s="14" t="n">
        <x:f>EXP(F722)-1</x:f>
        <x:v>0.07294528834525638</x:v>
      </x:c>
      <x:c r="H722" s="8" t="n">
        <x:f>'Source Data'!F722</x:f>
        <x:v>13498</x:v>
      </x:c>
      <x:c r="I722" s="8" t="n">
        <x:f>'Source Data'!H722</x:f>
        <x:v>20026</x:v>
      </x:c>
      <x:c r="J722" s="14" t="n">
        <x:f>I722/H722-1</x:f>
        <x:v>0.48362720403022674</x:v>
      </x:c>
      <x:c r="K722" s="8" t="n">
        <x:f>H722*('Source Data'!H$8/'Source Data'!F$8)*EXP(F722*('Source Data'!H$7-'Source Data'!F$7))</x:f>
        <x:v>18206.149526945563</x:v>
      </x:c>
      <x:c r="L722" s="14" t="n">
        <x:f>I722/K722-1</x:f>
        <x:v>0.09995800981207004</x:v>
      </x:c>
      <x:c r="M722" s="8" t="n">
        <x:f>'Source Data'!G722</x:f>
        <x:v>13939</x:v>
      </x:c>
      <x:c r="N722" s="8" t="n">
        <x:f>M722*('Source Data'!H$8/'Source Data'!G$8)*EXP(F722*('Source Data'!H$7-'Source Data'!G$7))</x:f>
        <x:v>17486.522267767235</x:v>
      </x:c>
      <x:c r="O722" s="14" t="n">
        <x:f>I722/N722-1</x:f>
        <x:v>0.14522485908554628</x:v>
      </x:c>
      <x:c r="P722" s="2" t="str"/>
    </x:row>
    <x:row r="723">
      <x:c r="A723" s="2" t="str">
        <x:f>'Source Data'!A723</x:f>
        <x:v>621410</x:v>
      </x:c>
      <x:c r="B723" s="2" t="str">
        <x:f>'Source Data'!B723</x:f>
        <x:v>Family Planning Centers</x:v>
      </x:c>
      <x:c r="C723" s="13" t="n">
        <x:f>LN('Source Data'!C723/'Source Data'!C$8)</x:f>
        <x:v>-7.8444600366764785</x:v>
      </x:c>
      <x:c r="D723" s="13" t="n">
        <x:f>LN('Source Data'!D723/'Source Data'!D$8)</x:f>
        <x:v>-7.897398605508106</x:v>
      </x:c>
      <x:c r="E723" s="13" t="n">
        <x:f>LN('Source Data'!E723/'Source Data'!E$8)</x:f>
        <x:v>-7.90128630317765</x:v>
      </x:c>
      <x:c r="F723" s="13" t="n">
        <x:f>SLOPE(C723:E723,'Source Data'!C$7:E$7)</x:f>
        <x:v>-0.028413133250585698</x:v>
      </x:c>
      <x:c r="G723" s="14" t="n">
        <x:f>EXP(F723)-1</x:f>
        <x:v>-0.028013276193810666</x:v>
      </x:c>
      <x:c r="H723" s="8" t="n">
        <x:f>'Source Data'!F723</x:f>
        <x:v>6469</x:v>
      </x:c>
      <x:c r="I723" s="8" t="n">
        <x:f>'Source Data'!H723</x:f>
        <x:v>7774</x:v>
      </x:c>
      <x:c r="J723" s="14" t="n">
        <x:f>I723/H723-1</x:f>
        <x:v>0.20173133405472243</x:v>
      </x:c>
      <x:c r="K723" s="8" t="n">
        <x:f>H723*('Source Data'!H$8/'Source Data'!F$8)*EXP(F723*('Source Data'!H$7-'Source Data'!F$7))</x:f>
        <x:v>5876.474511134412</x:v>
      </x:c>
      <x:c r="L723" s="14" t="n">
        <x:f>I723/K723-1</x:f>
        <x:v>0.3229020197858876</x:v>
      </x:c>
      <x:c r="M723" s="8" t="n">
        <x:f>'Source Data'!G723</x:f>
        <x:v>6874</x:v>
      </x:c>
      <x:c r="N723" s="8" t="n">
        <x:f>M723*('Source Data'!H$8/'Source Data'!G$8)*EXP(F723*('Source Data'!H$7-'Source Data'!G$7))</x:f>
        <x:v>6411.0567775832615</x:v>
      </x:c>
      <x:c r="O723" s="14" t="n">
        <x:f>I723/N723-1</x:f>
        <x:v>0.21259259895846983</x:v>
      </x:c>
      <x:c r="P723" s="2" t="str"/>
    </x:row>
    <x:row r="724">
      <x:c r="A724" s="2" t="str">
        <x:f>'Source Data'!A724</x:f>
        <x:v>621420</x:v>
      </x:c>
      <x:c r="B724" s="2" t="str">
        <x:f>'Source Data'!B724</x:f>
        <x:v>Outpatient Mental Health and Substance Abuse Centers</x:v>
      </x:c>
      <x:c r="C724" s="13" t="n">
        <x:f>LN('Source Data'!C724/'Source Data'!C$8)</x:f>
        <x:v>-6.636584840527325</x:v>
      </x:c>
      <x:c r="D724" s="13" t="n">
        <x:f>LN('Source Data'!D724/'Source Data'!D$8)</x:f>
        <x:v>-6.547219735889536</x:v>
      </x:c>
      <x:c r="E724" s="13" t="n">
        <x:f>LN('Source Data'!E724/'Source Data'!E$8)</x:f>
        <x:v>-6.437493302628998</x:v>
      </x:c>
      <x:c r="F724" s="13" t="n">
        <x:f>SLOPE(C724:E724,'Source Data'!C$7:E$7)</x:f>
        <x:v>0.09954576894916345</x:v>
      </x:c>
      <x:c r="G724" s="14" t="n">
        <x:f>EXP(F724)-1</x:f>
        <x:v>0.10466902912357856</x:v>
      </x:c>
      <x:c r="H724" s="8" t="n">
        <x:f>'Source Data'!F724</x:f>
        <x:v>28190</x:v>
      </x:c>
      <x:c r="I724" s="8" t="n">
        <x:f>'Source Data'!H724</x:f>
        <x:v>38241</x:v>
      </x:c>
      <x:c r="J724" s="14" t="n">
        <x:f>I724/H724-1</x:f>
        <x:v>0.35654487406881863</x:v>
      </x:c>
      <x:c r="K724" s="8" t="n">
        <x:f>H724*('Source Data'!H$8/'Source Data'!F$8)*EXP(F724*('Source Data'!H$7-'Source Data'!F$7))</x:f>
        <x:v>42723.041403573545</x:v>
      </x:c>
      <x:c r="L724" s="14" t="n">
        <x:f>I724/K724-1</x:f>
        <x:v>-0.10490923062417201</x:v>
      </x:c>
      <x:c r="M724" s="8" t="n">
        <x:f>'Source Data'!G724</x:f>
        <x:v>30666</x:v>
      </x:c>
      <x:c r="N724" s="8" t="n">
        <x:f>M724*('Source Data'!H$8/'Source Data'!G$8)*EXP(F724*('Source Data'!H$7-'Source Data'!G$7))</x:f>
        <x:v>41984.86509367217</x:v>
      </x:c>
      <x:c r="O724" s="14" t="n">
        <x:f>I724/N724-1</x:f>
        <x:v>-0.08917177857590475</x:v>
      </x:c>
      <x:c r="P724" s="2" t="str"/>
    </x:row>
    <x:row r="725">
      <x:c r="A725" s="2" t="str">
        <x:f>'Source Data'!A725</x:f>
        <x:v>621491</x:v>
      </x:c>
      <x:c r="B725" s="2" t="str">
        <x:f>'Source Data'!B725</x:f>
        <x:v>HMO Medical Centers</x:v>
      </x:c>
      <x:c r="C725" s="13" t="n">
        <x:f>LN('Source Data'!C725/'Source Data'!C$8)</x:f>
        <x:v>-4.780463598427609</x:v>
      </x:c>
      <x:c r="D725" s="13" t="n">
        <x:f>LN('Source Data'!D725/'Source Data'!D$8)</x:f>
        <x:v>-4.768930019768373</x:v>
      </x:c>
      <x:c r="E725" s="13" t="n">
        <x:f>LN('Source Data'!E725/'Source Data'!E$8)</x:f>
        <x:v>-4.748069530213489</x:v>
      </x:c>
      <x:c r="F725" s="13" t="n">
        <x:f>SLOPE(C725:E725,'Source Data'!C$7:E$7)</x:f>
        <x:v>0.01619703410705986</x:v>
      </x:c>
      <x:c r="G725" s="14" t="n">
        <x:f>EXP(F725)-1</x:f>
        <x:v>0.016328917139874388</x:v>
      </x:c>
      <x:c r="H725" s="8" t="n">
        <x:f>'Source Data'!F725</x:f>
        <x:v>130027</x:v>
      </x:c>
      <x:c r="I725" s="8" t="n">
        <x:f>'Source Data'!H725</x:f>
        <x:v>160572</x:v>
      </x:c>
      <x:c r="J725" s="14" t="n">
        <x:f>I725/H725-1</x:f>
        <x:v>0.2349127488906151</x:v>
      </x:c>
      <x:c r="K725" s="8" t="n">
        <x:f>H725*('Source Data'!H$8/'Source Data'!F$8)*EXP(F725*('Source Data'!H$7-'Source Data'!F$7))</x:f>
        <x:v>141191.66064475273</x:v>
      </x:c>
      <x:c r="L725" s="14" t="n">
        <x:f>I725/K725-1</x:f>
        <x:v>0.13726263482380485</x:v>
      </x:c>
      <x:c r="M725" s="8" t="n">
        <x:f>'Source Data'!G725</x:f>
        <x:v>128547</x:v>
      </x:c>
      <x:c r="N725" s="8" t="n">
        <x:f>M725*('Source Data'!H$8/'Source Data'!G$8)*EXP(F725*('Source Data'!H$7-'Source Data'!G$7))</x:f>
        <x:v>137057.84199987294</x:v>
      </x:c>
      <x:c r="O725" s="14" t="n">
        <x:f>I725/N725-1</x:f>
        <x:v>0.1715637548134521</x:v>
      </x:c>
      <x:c r="P725" s="2" t="str"/>
    </x:row>
    <x:row r="726">
      <x:c r="A726" s="2" t="str">
        <x:f>'Source Data'!A726</x:f>
        <x:v>621492</x:v>
      </x:c>
      <x:c r="B726" s="2" t="str">
        <x:f>'Source Data'!B726</x:f>
        <x:v>Kidney Dialysis Centers</x:v>
      </x:c>
      <x:c r="C726" s="13" t="n">
        <x:f>LN('Source Data'!C726/'Source Data'!C$8)</x:f>
        <x:v>-6.718955568499621</x:v>
      </x:c>
      <x:c r="D726" s="13" t="n">
        <x:f>LN('Source Data'!D726/'Source Data'!D$8)</x:f>
        <x:v>-6.711606263118922</x:v>
      </x:c>
      <x:c r="E726" s="13" t="n">
        <x:f>LN('Source Data'!E726/'Source Data'!E$8)</x:f>
        <x:v>-6.742398195555402</x:v>
      </x:c>
      <x:c r="F726" s="13" t="n">
        <x:f>SLOPE(C726:E726,'Source Data'!C$7:E$7)</x:f>
        <x:v>-0.011721313527890409</x:v>
      </x:c>
      <x:c r="G726" s="14" t="n">
        <x:f>EXP(F726)-1</x:f>
        <x:v>-0.01165288654479324</x:v>
      </x:c>
      <x:c r="H726" s="8" t="n">
        <x:f>'Source Data'!F726</x:f>
        <x:v>17577</x:v>
      </x:c>
      <x:c r="I726" s="8" t="n">
        <x:f>'Source Data'!H726</x:f>
        <x:v>17523</x:v>
      </x:c>
      <x:c r="J726" s="14" t="n">
        <x:f>I726/H726-1</x:f>
        <x:v>-0.003072196620583667</x:v>
      </x:c>
      <x:c r="K726" s="8" t="n">
        <x:f>H726*('Source Data'!H$8/'Source Data'!F$8)*EXP(F726*('Source Data'!H$7-'Source Data'!F$7))</x:f>
        <x:v>17069.512545999885</x:v>
      </x:c>
      <x:c r="L726" s="14" t="n">
        <x:f>I726/K726-1</x:f>
        <x:v>0.026567100424105927</x:v>
      </x:c>
      <x:c r="M726" s="8" t="n">
        <x:f>'Source Data'!G726</x:f>
        <x:v>17581</x:v>
      </x:c>
      <x:c r="N726" s="8" t="n">
        <x:f>M726*('Source Data'!H$8/'Source Data'!G$8)*EXP(F726*('Source Data'!H$7-'Source Data'!G$7))</x:f>
        <x:v>17238.964083094965</x:v>
      </x:c>
      <x:c r="O726" s="14" t="n">
        <x:f>I726/N726-1</x:f>
        <x:v>0.01647639124578082</x:v>
      </x:c>
      <x:c r="P726" s="2" t="str"/>
    </x:row>
    <x:row r="727">
      <x:c r="A727" s="2" t="str">
        <x:f>'Source Data'!A727</x:f>
        <x:v>621493</x:v>
      </x:c>
      <x:c r="B727" s="2" t="str">
        <x:f>'Source Data'!B727</x:f>
        <x:v>Freestanding Ambulatory Surgical and Emergency Centers</x:v>
      </x:c>
      <x:c r="C727" s="13" t="n">
        <x:f>LN('Source Data'!C727/'Source Data'!C$8)</x:f>
        <x:v>-6.797444919018084</x:v>
      </x:c>
      <x:c r="D727" s="13" t="n">
        <x:f>LN('Source Data'!D727/'Source Data'!D$8)</x:f>
        <x:v>-6.7708403864494375</x:v>
      </x:c>
      <x:c r="E727" s="13" t="n">
        <x:f>LN('Source Data'!E727/'Source Data'!E$8)</x:f>
        <x:v>-6.743423953566473</x:v>
      </x:c>
      <x:c r="F727" s="13" t="n">
        <x:f>SLOPE(C727:E727,'Source Data'!C$7:E$7)</x:f>
        <x:v>0.02701048272580575</x:v>
      </x:c>
      <x:c r="G727" s="14" t="n">
        <x:f>EXP(F727)-1</x:f>
        <x:v>0.02737857243491515</x:v>
      </x:c>
      <x:c r="H727" s="8" t="n">
        <x:f>'Source Data'!F727</x:f>
        <x:v>20083</x:v>
      </x:c>
      <x:c r="I727" s="8" t="n">
        <x:f>'Source Data'!H727</x:f>
        <x:v>19658</x:v>
      </x:c>
      <x:c r="J727" s="14" t="n">
        <x:f>I727/H727-1</x:f>
        <x:v>-0.02116217696559275</x:v>
      </x:c>
      <x:c r="K727" s="8" t="n">
        <x:f>H727*('Source Data'!H$8/'Source Data'!F$8)*EXP(F727*('Source Data'!H$7-'Source Data'!F$7))</x:f>
        <x:v>22771.36036554447</x:v>
      </x:c>
      <x:c r="L727" s="14" t="n">
        <x:f>I727/K727-1</x:f>
        <x:v>-0.13672263385086658</x:v>
      </x:c>
      <x:c r="M727" s="8" t="n">
        <x:f>'Source Data'!G727</x:f>
        <x:v>19103</x:v>
      </x:c>
      <x:c r="N727" s="8" t="n">
        <x:f>M727*('Source Data'!H$8/'Source Data'!G$8)*EXP(F727*('Source Data'!H$7-'Source Data'!G$7))</x:f>
        <x:v>21039.343428748</x:v>
      </x:c>
      <x:c r="O727" s="14" t="n">
        <x:f>I727/N727-1</x:f>
        <x:v>-0.06565525361692337</x:v>
      </x:c>
      <x:c r="P727" s="2" t="str"/>
    </x:row>
    <x:row r="728">
      <x:c r="A728" s="2" t="str">
        <x:f>'Source Data'!A728</x:f>
        <x:v>621498</x:v>
      </x:c>
      <x:c r="B728" s="2" t="str">
        <x:f>'Source Data'!B728</x:f>
        <x:v>All Other Outpatient Care Centers</x:v>
      </x:c>
      <x:c r="C728" s="13" t="n">
        <x:f>LN('Source Data'!C728/'Source Data'!C$8)</x:f>
        <x:v>-6.402014533509625</x:v>
      </x:c>
      <x:c r="D728" s="13" t="n">
        <x:f>LN('Source Data'!D728/'Source Data'!D$8)</x:f>
        <x:v>-6.304474659601153</x:v>
      </x:c>
      <x:c r="E728" s="13" t="n">
        <x:f>LN('Source Data'!E728/'Source Data'!E$8)</x:f>
        <x:v>-6.196241274333008</x:v>
      </x:c>
      <x:c r="F728" s="13" t="n">
        <x:f>SLOPE(C728:E728,'Source Data'!C$7:E$7)</x:f>
        <x:v>0.10288662958830841</x:v>
      </x:c>
      <x:c r="G728" s="14" t="n">
        <x:f>EXP(F728)-1</x:f>
        <x:v>0.10836574607197158</x:v>
      </x:c>
      <x:c r="H728" s="8" t="n">
        <x:f>'Source Data'!F728</x:f>
        <x:v>42377</x:v>
      </x:c>
      <x:c r="I728" s="8" t="n">
        <x:f>'Source Data'!H728</x:f>
        <x:v>66423</x:v>
      </x:c>
      <x:c r="J728" s="14" t="n">
        <x:f>I728/H728-1</x:f>
        <x:v>0.567430445760672</x:v>
      </x:c>
      <x:c r="K728" s="8" t="n">
        <x:f>H728*('Source Data'!H$8/'Source Data'!F$8)*EXP(F728*('Source Data'!H$7-'Source Data'!F$7))</x:f>
        <x:v>65088.005548952155</x:v>
      </x:c>
      <x:c r="L728" s="14" t="n">
        <x:f>I728/K728-1</x:f>
        <x:v>0.020510606213671734</x:v>
      </x:c>
      <x:c r="M728" s="8" t="n">
        <x:f>'Source Data'!G728</x:f>
        <x:v>45510</x:v>
      </x:c>
      <x:c r="N728" s="8" t="n">
        <x:f>M728*('Source Data'!H$8/'Source Data'!G$8)*EXP(F728*('Source Data'!H$7-'Source Data'!G$7))</x:f>
        <x:v>62935.43208900653</x:v>
      </x:c>
      <x:c r="O728" s="14" t="n">
        <x:f>I728/N728-1</x:f>
        <x:v>0.05541501496424428</x:v>
      </x:c>
      <x:c r="P728" s="2" t="str"/>
    </x:row>
    <x:row r="729">
      <x:c r="A729" s="2" t="str">
        <x:f>'Source Data'!A729</x:f>
        <x:v>621511</x:v>
      </x:c>
      <x:c r="B729" s="2" t="str">
        <x:f>'Source Data'!B729</x:f>
        <x:v>Medical Laboratories</x:v>
      </x:c>
      <x:c r="C729" s="13" t="n">
        <x:f>LN('Source Data'!C729/'Source Data'!C$8)</x:f>
        <x:v>-6.320719664396705</x:v>
      </x:c>
      <x:c r="D729" s="13" t="n">
        <x:f>LN('Source Data'!D729/'Source Data'!D$8)</x:f>
        <x:v>-6.308674298305703</x:v>
      </x:c>
      <x:c r="E729" s="13" t="n">
        <x:f>LN('Source Data'!E729/'Source Data'!E$8)</x:f>
        <x:v>-6.289093568064706</x:v>
      </x:c>
      <x:c r="F729" s="13" t="n">
        <x:f>SLOPE(C729:E729,'Source Data'!C$7:E$7)</x:f>
        <x:v>0.01581304816599971</x:v>
      </x:c>
      <x:c r="G729" s="14" t="n">
        <x:f>EXP(F729)-1</x:f>
        <x:v>0.01593873604102214</x:v>
      </x:c>
      <x:c r="H729" s="8" t="n">
        <x:f>'Source Data'!F729</x:f>
        <x:v>35491</x:v>
      </x:c>
      <x:c r="I729" s="8" t="n">
        <x:f>'Source Data'!H729</x:f>
        <x:v>28393</x:v>
      </x:c>
      <x:c r="J729" s="14" t="n">
        <x:f>I729/H729-1</x:f>
        <x:v>-0.19999436476853283</x:v>
      </x:c>
      <x:c r="K729" s="8" t="n">
        <x:f>H729*('Source Data'!H$8/'Source Data'!F$8)*EXP(F729*('Source Data'!H$7-'Source Data'!F$7))</x:f>
        <x:v>38479.25792721111</x:v>
      </x:c>
      <x:c r="L729" s="14" t="n">
        <x:f>I729/K729-1</x:f>
        <x:v>-0.2621219449265544</x:v>
      </x:c>
      <x:c r="M729" s="8" t="n">
        <x:f>'Source Data'!G729</x:f>
        <x:v>32172</x:v>
      </x:c>
      <x:c r="N729" s="8" t="n">
        <x:f>M729*('Source Data'!H$8/'Source Data'!G$8)*EXP(F729*('Source Data'!H$7-'Source Data'!G$7))</x:f>
        <x:v>34262.552575044734</x:v>
      </x:c>
      <x:c r="O729" s="14" t="n">
        <x:f>I729/N729-1</x:f>
        <x:v>-0.17131101257528158</x:v>
      </x:c>
      <x:c r="P729" s="2" t="str"/>
    </x:row>
    <x:row r="730">
      <x:c r="A730" s="2" t="str">
        <x:f>'Source Data'!A730</x:f>
        <x:v>621512</x:v>
      </x:c>
      <x:c r="B730" s="2" t="str">
        <x:f>'Source Data'!B730</x:f>
        <x:v>Diagnostic Imaging Centers</x:v>
      </x:c>
      <x:c r="C730" s="13" t="n">
        <x:f>LN('Source Data'!C730/'Source Data'!C$8)</x:f>
        <x:v>-7.373854017934263</x:v>
      </x:c>
      <x:c r="D730" s="13" t="n">
        <x:f>LN('Source Data'!D730/'Source Data'!D$8)</x:f>
        <x:v>-7.394072508921</x:v>
      </x:c>
      <x:c r="E730" s="13" t="n">
        <x:f>LN('Source Data'!E730/'Source Data'!E$8)</x:f>
        <x:v>-7.347964587881543</x:v>
      </x:c>
      <x:c r="F730" s="13" t="n">
        <x:f>SLOPE(C730:E730,'Source Data'!C$7:E$7)</x:f>
        <x:v>0.012944715026359965</x:v>
      </x:c>
      <x:c r="G730" s="14" t="n">
        <x:f>EXP(F730)-1</x:f>
        <x:v>0.013028860537804166</x:v>
      </x:c>
      <x:c r="H730" s="8" t="n">
        <x:f>'Source Data'!F730</x:f>
        <x:v>9847</x:v>
      </x:c>
      <x:c r="I730" s="8" t="n">
        <x:f>'Source Data'!H730</x:f>
        <x:v>11728</x:v>
      </x:c>
      <x:c r="J730" s="14" t="n">
        <x:f>I730/H730-1</x:f>
        <x:v>0.19102264649131717</x:v>
      </x:c>
      <x:c r="K730" s="8" t="n">
        <x:f>H730*('Source Data'!H$8/'Source Data'!F$8)*EXP(F730*('Source Data'!H$7-'Source Data'!F$7))</x:f>
        <x:v>10554.303648083634</x:v>
      </x:c>
      <x:c r="L730" s="14" t="n">
        <x:f>I730/K730-1</x:f>
        <x:v>0.1112054751361522</x:v>
      </x:c>
      <x:c r="M730" s="8" t="n">
        <x:f>'Source Data'!G730</x:f>
        <x:v>10015</x:v>
      </x:c>
      <x:c r="N730" s="8" t="n">
        <x:f>M730*('Source Data'!H$8/'Source Data'!G$8)*EXP(F730*('Source Data'!H$7-'Source Data'!G$7))</x:f>
        <x:v>10574.394406445139</x:v>
      </x:c>
      <x:c r="O730" s="14" t="n">
        <x:f>I730/N730-1</x:f>
        <x:v>0.10909424683949132</x:v>
      </x:c>
      <x:c r="P730" s="2" t="str"/>
    </x:row>
    <x:row r="731">
      <x:c r="A731" s="2" t="str">
        <x:f>'Source Data'!A731</x:f>
        <x:v>621610</x:v>
      </x:c>
      <x:c r="B731" s="2" t="str">
        <x:f>'Source Data'!B731</x:f>
        <x:v>Home Health Care Services</x:v>
      </x:c>
      <x:c r="C731" s="13" t="n">
        <x:f>LN('Source Data'!C731/'Source Data'!C$8)</x:f>
        <x:v>-5.182532608780373</x:v>
      </x:c>
      <x:c r="D731" s="13" t="n">
        <x:f>LN('Source Data'!D731/'Source Data'!D$8)</x:f>
        <x:v>-5.098901639577661</x:v>
      </x:c>
      <x:c r="E731" s="13" t="n">
        <x:f>LN('Source Data'!E731/'Source Data'!E$8)</x:f>
        <x:v>-5.068532122917496</x:v>
      </x:c>
      <x:c r="F731" s="13" t="n">
        <x:f>SLOPE(C731:E731,'Source Data'!C$7:E$7)</x:f>
        <x:v>0.05700024293143846</x:v>
      </x:c>
      <x:c r="G731" s="14" t="n">
        <x:f>EXP(F731)-1</x:f>
        <x:v>0.058656067576310145</x:v>
      </x:c>
      <x:c r="H731" s="8" t="n">
        <x:f>'Source Data'!F731</x:f>
        <x:v>108900</x:v>
      </x:c>
      <x:c r="I731" s="8" t="n">
        <x:f>'Source Data'!H731</x:f>
        <x:v>141542</x:v>
      </x:c>
      <x:c r="J731" s="14" t="n">
        <x:f>I731/H731-1</x:f>
        <x:v>0.29974288337924704</x:v>
      </x:c>
      <x:c r="K731" s="8" t="n">
        <x:f>H731*('Source Data'!H$8/'Source Data'!F$8)*EXP(F731*('Source Data'!H$7-'Source Data'!F$7))</x:f>
        <x:v>139214.9312345139</x:v>
      </x:c>
      <x:c r="L731" s="14" t="n">
        <x:f>I731/K731-1</x:f>
        <x:v>0.016715655029603482</x:v>
      </x:c>
      <x:c r="M731" s="8" t="n">
        <x:f>'Source Data'!G731</x:f>
        <x:v>113744</x:v>
      </x:c>
      <x:c r="N731" s="8" t="n">
        <x:f>M731*('Source Data'!H$8/'Source Data'!G$8)*EXP(F731*('Source Data'!H$7-'Source Data'!G$7))</x:f>
        <x:v>137066.79757557667</x:v>
      </x:c>
      <x:c r="O731" s="14" t="n">
        <x:f>I731/N731-1</x:f>
        <x:v>0.032649791952392926</x:v>
      </x:c>
      <x:c r="P731" s="2" t="str"/>
    </x:row>
    <x:row r="732">
      <x:c r="A732" s="2" t="str">
        <x:f>'Source Data'!A732</x:f>
        <x:v>621910</x:v>
      </x:c>
      <x:c r="B732" s="2" t="str">
        <x:f>'Source Data'!B732</x:f>
        <x:v>Ambulance Services</x:v>
      </x:c>
      <x:c r="C732" s="13" t="n">
        <x:f>LN('Source Data'!C732/'Source Data'!C$8)</x:f>
        <x:v>-6.543863215710915</x:v>
      </x:c>
      <x:c r="D732" s="13" t="n">
        <x:f>LN('Source Data'!D732/'Source Data'!D$8)</x:f>
        <x:v>-6.560375293394999</x:v>
      </x:c>
      <x:c r="E732" s="13" t="n">
        <x:f>LN('Source Data'!E732/'Source Data'!E$8)</x:f>
        <x:v>-6.578683876702245</x:v>
      </x:c>
      <x:c r="F732" s="13" t="n">
        <x:f>SLOPE(C732:E732,'Source Data'!C$7:E$7)</x:f>
        <x:v>-0.017410330495664983</x:v>
      </x:c>
      <x:c r="G732" s="14" t="n">
        <x:f>EXP(F732)-1</x:f>
        <x:v>-0.017259646445336396</x:v>
      </x:c>
      <x:c r="H732" s="8" t="n">
        <x:f>'Source Data'!F732</x:f>
        <x:v>19367</x:v>
      </x:c>
      <x:c r="I732" s="8" t="n">
        <x:f>'Source Data'!H732</x:f>
        <x:v>24145</x:v>
      </x:c>
      <x:c r="J732" s="14" t="n">
        <x:f>I732/H732-1</x:f>
        <x:v>0.2467083182733516</x:v>
      </x:c>
      <x:c r="K732" s="8" t="n">
        <x:f>H732*('Source Data'!H$8/'Source Data'!F$8)*EXP(F732*('Source Data'!H$7-'Source Data'!F$7))</x:f>
        <x:v>18384.671924600207</x:v>
      </x:c>
      <x:c r="L732" s="14" t="n">
        <x:f>I732/K732-1</x:f>
        <x:v>0.3133223208455518</x:v>
      </x:c>
      <x:c r="M732" s="8" t="n">
        <x:f>'Source Data'!G732</x:f>
        <x:v>20815</x:v>
      </x:c>
      <x:c r="N732" s="8" t="n">
        <x:f>M732*('Source Data'!H$8/'Source Data'!G$8)*EXP(F732*('Source Data'!H$7-'Source Data'!G$7))</x:f>
        <x:v>20064.663472777425</x:v>
      </x:c>
      <x:c r="O732" s="14" t="n">
        <x:f>I732/N732-1</x:f>
        <x:v>0.20335933033507092</x:v>
      </x:c>
      <x:c r="P732" s="2" t="str"/>
    </x:row>
    <x:row r="733">
      <x:c r="A733" s="2" t="str">
        <x:f>'Source Data'!A733</x:f>
        <x:v>621991</x:v>
      </x:c>
      <x:c r="B733" s="2" t="str">
        <x:f>'Source Data'!B733</x:f>
        <x:v>Blood and Organ Banks</x:v>
      </x:c>
      <x:c r="C733" s="13" t="n">
        <x:f>LN('Source Data'!C733/'Source Data'!C$8)</x:f>
        <x:v>-8.206941588818804</x:v>
      </x:c>
      <x:c r="D733" s="13" t="n">
        <x:f>LN('Source Data'!D733/'Source Data'!D$8)</x:f>
        <x:v>-8.246687256403648</x:v>
      </x:c>
      <x:c r="E733" s="13" t="n">
        <x:f>LN('Source Data'!E733/'Source Data'!E$8)</x:f>
        <x:v>-8.0984543680886</x:v>
      </x:c>
      <x:c r="F733" s="13" t="n">
        <x:f>SLOPE(C733:E733,'Source Data'!C$7:E$7)</x:f>
        <x:v>0.05424361036510206</x:v>
      </x:c>
      <x:c r="G733" s="14" t="n">
        <x:f>EXP(F733)-1</x:f>
        <x:v>0.05574176046631396</x:v>
      </x:c>
      <x:c r="H733" s="8" t="n">
        <x:f>'Source Data'!F733</x:f>
        <x:v>5035</x:v>
      </x:c>
      <x:c r="I733" s="8" t="n">
        <x:f>'Source Data'!H733</x:f>
        <x:v>5822</x:v>
      </x:c>
      <x:c r="J733" s="14" t="n">
        <x:f>I733/H733-1</x:f>
        <x:v>0.15630585898709026</x:v>
      </x:c>
      <x:c r="K733" s="8" t="n">
        <x:f>H733*('Source Data'!H$8/'Source Data'!F$8)*EXP(F733*('Source Data'!H$7-'Source Data'!F$7))</x:f>
        <x:v>6366.029562945105</x:v>
      </x:c>
      <x:c r="L733" s="14" t="n">
        <x:f>I733/K733-1</x:f>
        <x:v>-0.08545822126113745</x:v>
      </x:c>
      <x:c r="M733" s="8" t="n">
        <x:f>'Source Data'!G733</x:f>
        <x:v>5713</x:v>
      </x:c>
      <x:c r="N733" s="8" t="n">
        <x:f>M733*('Source Data'!H$8/'Source Data'!G$8)*EXP(F733*('Source Data'!H$7-'Source Data'!G$7))</x:f>
        <x:v>6827.731313047442</x:v>
      </x:c>
      <x:c r="O733" s="14" t="n">
        <x:f>I733/N733-1</x:f>
        <x:v>-0.14730095062843807</x:v>
      </x:c>
      <x:c r="P733" s="2" t="str"/>
    </x:row>
    <x:row r="734">
      <x:c r="A734" s="2" t="str">
        <x:f>'Source Data'!A734</x:f>
        <x:v>621999</x:v>
      </x:c>
      <x:c r="B734" s="2" t="str">
        <x:f>'Source Data'!B734</x:f>
        <x:v>All Other Miscellaneous Ambulatory Health Care Services</x:v>
      </x:c>
      <x:c r="C734" s="13" t="n">
        <x:f>LN('Source Data'!C734/'Source Data'!C$8)</x:f>
        <x:v>-8.123785762165014</x:v>
      </x:c>
      <x:c r="D734" s="13" t="n">
        <x:f>LN('Source Data'!D734/'Source Data'!D$8)</x:f>
        <x:v>-8.150002049711901</x:v>
      </x:c>
      <x:c r="E734" s="13" t="n">
        <x:f>LN('Source Data'!E734/'Source Data'!E$8)</x:f>
        <x:v>-8.059012636037302</x:v>
      </x:c>
      <x:c r="F734" s="13" t="n">
        <x:f>SLOPE(C734:E734,'Source Data'!C$7:E$7)</x:f>
        <x:v>0.03238656306385579</x:v>
      </x:c>
      <x:c r="G734" s="14" t="n">
        <x:f>EXP(F734)-1</x:f>
        <x:v>0.03291671559045817</x:v>
      </x:c>
      <x:c r="H734" s="8" t="n">
        <x:f>'Source Data'!F734</x:f>
        <x:v>6287</x:v>
      </x:c>
      <x:c r="I734" s="8" t="n">
        <x:f>'Source Data'!H734</x:f>
        <x:v>9980</x:v>
      </x:c>
      <x:c r="J734" s="14" t="n">
        <x:f>I734/H734-1</x:f>
        <x:v>0.5874025767456656</x:v>
      </x:c>
      <x:c r="K734" s="8" t="n">
        <x:f>H734*('Source Data'!H$8/'Source Data'!F$8)*EXP(F734*('Source Data'!H$7-'Source Data'!F$7))</x:f>
        <x:v>7283.549169970696</x:v>
      </x:c>
      <x:c r="L734" s="14" t="n">
        <x:f>I734/K734-1</x:f>
        <x:v>0.37021111097134973</x:v>
      </x:c>
      <x:c r="M734" s="8" t="n">
        <x:f>'Source Data'!G734</x:f>
        <x:v>7785</x:v>
      </x:c>
      <x:c r="N734" s="8" t="n">
        <x:f>M734*('Source Data'!H$8/'Source Data'!G$8)*EXP(F734*('Source Data'!H$7-'Source Data'!G$7))</x:f>
        <x:v>8713.519953281271</x:v>
      </x:c>
      <x:c r="O734" s="14" t="n">
        <x:f>I734/N734-1</x:f>
        <x:v>0.1453465480665832</x:v>
      </x:c>
      <x:c r="P734" s="2" t="str"/>
    </x:row>
    <x:row r="735">
      <x:c r="A735" s="2" t="str">
        <x:f>'Source Data'!A735</x:f>
        <x:v>622110</x:v>
      </x:c>
      <x:c r="B735" s="2" t="str">
        <x:f>'Source Data'!B735</x:f>
        <x:v>General Medical and Surgical Hospitals</x:v>
      </x:c>
      <x:c r="C735" s="13" t="n">
        <x:f>LN('Source Data'!C735/'Source Data'!C$8)</x:f>
        <x:v>-3.651879906125103</x:v>
      </x:c>
      <x:c r="D735" s="13" t="n">
        <x:f>LN('Source Data'!D735/'Source Data'!D$8)</x:f>
        <x:v>-3.6587232280346407</x:v>
      </x:c>
      <x:c r="E735" s="13" t="n">
        <x:f>LN('Source Data'!E735/'Source Data'!E$8)</x:f>
        <x:v>-3.6685036972468006</x:v>
      </x:c>
      <x:c r="F735" s="13" t="n">
        <x:f>SLOPE(C735:E735,'Source Data'!C$7:E$7)</x:f>
        <x:v>-0.00831189556084877</x:v>
      </x:c>
      <x:c r="G735" s="14" t="n">
        <x:f>EXP(F735)-1</x:f>
        <x:v>-0.008277447266556104</x:v>
      </x:c>
      <x:c r="H735" s="8" t="n">
        <x:f>'Source Data'!F735</x:f>
        <x:v>381828</x:v>
      </x:c>
      <x:c r="I735" s="8" t="n">
        <x:f>'Source Data'!H735</x:f>
        <x:v>393706</x:v>
      </x:c>
      <x:c r="J735" s="14" t="n">
        <x:f>I735/H735-1</x:f>
        <x:v>0.03110824769267828</x:v>
      </x:c>
      <x:c r="K735" s="8" t="n">
        <x:f>H735*('Source Data'!H$8/'Source Data'!F$8)*EXP(F735*('Source Data'!H$7-'Source Data'!F$7))</x:f>
        <x:v>375895.30793784244</x:v>
      </x:c>
      <x:c r="L735" s="14" t="n">
        <x:f>I735/K735-1</x:f>
        <x:v>0.047382054753135394</x:v>
      </x:c>
      <x:c r="M735" s="8" t="n">
        <x:f>'Source Data'!G735</x:f>
        <x:v>380282</x:v>
      </x:c>
      <x:c r="N735" s="8" t="n">
        <x:f>M735*('Source Data'!H$8/'Source Data'!G$8)*EXP(F735*('Source Data'!H$7-'Source Data'!G$7))</x:f>
        <x:v>376717.18693206017</x:v>
      </x:c>
      <x:c r="O735" s="14" t="n">
        <x:f>I735/N735-1</x:f>
        <x:v>0.04509699492687003</x:v>
      </x:c>
      <x:c r="P735" s="2" t="str"/>
    </x:row>
    <x:row r="736">
      <x:c r="A736" s="2" t="str">
        <x:f>'Source Data'!A736</x:f>
        <x:v>622210</x:v>
      </x:c>
      <x:c r="B736" s="2" t="str">
        <x:f>'Source Data'!B736</x:f>
        <x:v>Psychiatric and Substance Abuse Hospitals</x:v>
      </x:c>
      <x:c r="C736" s="13" t="n">
        <x:f>LN('Source Data'!C736/'Source Data'!C$8)</x:f>
        <x:v>-7.486589592671193</x:v>
      </x:c>
      <x:c r="D736" s="13" t="n">
        <x:f>LN('Source Data'!D736/'Source Data'!D$8)</x:f>
        <x:v>-7.470330715559059</x:v>
      </x:c>
      <x:c r="E736" s="13" t="n">
        <x:f>LN('Source Data'!E736/'Source Data'!E$8)</x:f>
        <x:v>-7.496184237367901</x:v>
      </x:c>
      <x:c r="F736" s="13" t="n">
        <x:f>SLOPE(C736:E736,'Source Data'!C$7:E$7)</x:f>
        <x:v>-0.0047973223483537275</x:v>
      </x:c>
      <x:c r="G736" s="14" t="n">
        <x:f>EXP(F736)-1</x:f>
        <x:v>-0.004785833576619436</x:v>
      </x:c>
      <x:c r="H736" s="8" t="n">
        <x:f>'Source Data'!F736</x:f>
        <x:v>8307</x:v>
      </x:c>
      <x:c r="I736" s="8" t="n">
        <x:f>'Source Data'!H736</x:f>
        <x:v>10580</x:v>
      </x:c>
      <x:c r="J736" s="14" t="n">
        <x:f>I736/H736-1</x:f>
        <x:v>0.27362465390634405</x:v>
      </x:c>
      <x:c r="K736" s="8" t="n">
        <x:f>H736*('Source Data'!H$8/'Source Data'!F$8)*EXP(F736*('Source Data'!H$7-'Source Data'!F$7))</x:f>
        <x:v>8293.708775720439</x:v>
      </x:c>
      <x:c r="L736" s="14" t="n">
        <x:f>I736/K736-1</x:f>
        <x:v>0.27566572279130463</x:v>
      </x:c>
      <x:c r="M736" s="8" t="n">
        <x:f>'Source Data'!G736</x:f>
        <x:v>8670</x:v>
      </x:c>
      <x:c r="N736" s="8" t="n">
        <x:f>M736*('Source Data'!H$8/'Source Data'!G$8)*EXP(F736*('Source Data'!H$7-'Source Data'!G$7))</x:f>
        <x:v>8679.762497971553</x:v>
      </x:c>
      <x:c r="O736" s="14" t="n">
        <x:f>I736/N736-1</x:f>
        <x:v>0.21892736148858094</x:v>
      </x:c>
      <x:c r="P736" s="2" t="str"/>
    </x:row>
    <x:row r="737">
      <x:c r="A737" s="2" t="str">
        <x:f>'Source Data'!A737</x:f>
        <x:v>622310</x:v>
      </x:c>
      <x:c r="B737" s="2" t="str">
        <x:f>'Source Data'!B737</x:f>
        <x:v>Specialty (except Psychiatric and Substance Abuse) Hospitals</x:v>
      </x:c>
      <x:c r="C737" s="13" t="n">
        <x:f>LN('Source Data'!C737/'Source Data'!C$8)</x:f>
        <x:v>-6.911280061666883</x:v>
      </x:c>
      <x:c r="D737" s="13" t="n">
        <x:f>LN('Source Data'!D737/'Source Data'!D$8)</x:f>
        <x:v>-6.897476019968974</x:v>
      </x:c>
      <x:c r="E737" s="13" t="n">
        <x:f>LN('Source Data'!E737/'Source Data'!E$8)</x:f>
        <x:v>-6.856932825013088</x:v>
      </x:c>
      <x:c r="F737" s="13" t="n">
        <x:f>SLOPE(C737:E737,'Source Data'!C$7:E$7)</x:f>
        <x:v>0.027173618326897575</x:v>
      </x:c>
      <x:c r="G737" s="14" t="n">
        <x:f>EXP(F737)-1</x:f>
        <x:v>0.02754618812754983</x:v>
      </x:c>
      <x:c r="H737" s="8" t="n">
        <x:f>'Source Data'!F737</x:f>
        <x:v>17406</x:v>
      </x:c>
      <x:c r="I737" s="8" t="n">
        <x:f>'Source Data'!H737</x:f>
        <x:v>29179</x:v>
      </x:c>
      <x:c r="J737" s="14" t="n">
        <x:f>I737/H737-1</x:f>
        <x:v>0.6763759623118464</x:v>
      </x:c>
      <x:c r="K737" s="8" t="n">
        <x:f>H737*('Source Data'!H$8/'Source Data'!F$8)*EXP(F737*('Source Data'!H$7-'Source Data'!F$7))</x:f>
        <x:v>19748.893269188513</x:v>
      </x:c>
      <x:c r="L737" s="14" t="n">
        <x:f>I737/K737-1</x:f>
        <x:v>0.47750051622001455</x:v>
      </x:c>
      <x:c r="M737" s="8" t="n">
        <x:f>'Source Data'!G737</x:f>
        <x:v>23358</x:v>
      </x:c>
      <x:c r="N737" s="8" t="n">
        <x:f>M737*('Source Data'!H$8/'Source Data'!G$8)*EXP(F737*('Source Data'!H$7-'Source Data'!G$7))</x:f>
        <x:v>25738.23772579215</x:v>
      </x:c>
      <x:c r="O737" s="14" t="n">
        <x:f>I737/N737-1</x:f>
        <x:v>0.13368290054916532</x:v>
      </x:c>
      <x:c r="P737" s="2" t="str"/>
    </x:row>
    <x:row r="738">
      <x:c r="A738" s="2" t="str">
        <x:f>'Source Data'!A738</x:f>
        <x:v>623110</x:v>
      </x:c>
      <x:c r="B738" s="2" t="str">
        <x:f>'Source Data'!B738</x:f>
        <x:v>Nursing Care Facilities (Skilled Nursing Facilities)</x:v>
      </x:c>
      <x:c r="C738" s="13" t="n">
        <x:f>LN('Source Data'!C738/'Source Data'!C$8)</x:f>
        <x:v>-4.652319437590369</x:v>
      </x:c>
      <x:c r="D738" s="13" t="n">
        <x:f>LN('Source Data'!D738/'Source Data'!D$8)</x:f>
        <x:v>-4.669874236554152</x:v>
      </x:c>
      <x:c r="E738" s="13" t="n">
        <x:f>LN('Source Data'!E738/'Source Data'!E$8)</x:f>
        <x:v>-4.667881330699761</x:v>
      </x:c>
      <x:c r="F738" s="13" t="n">
        <x:f>SLOPE(C738:E738,'Source Data'!C$7:E$7)</x:f>
        <x:v>-0.0077809465546963</x:v>
      </x:c>
      <x:c r="G738" s="14" t="n">
        <x:f>EXP(F738)-1</x:f>
        <x:v>-0.007750753351371098</x:v>
      </x:c>
      <x:c r="H738" s="8" t="n">
        <x:f>'Source Data'!F738</x:f>
        <x:v>127002</x:v>
      </x:c>
      <x:c r="I738" s="8" t="n">
        <x:f>'Source Data'!H738</x:f>
        <x:v>152903</x:v>
      </x:c>
      <x:c r="J738" s="14" t="n">
        <x:f>I738/H738-1</x:f>
        <x:v>0.20394167020991794</x:v>
      </x:c>
      <x:c r="K738" s="8" t="n">
        <x:f>H738*('Source Data'!H$8/'Source Data'!F$8)*EXP(F738*('Source Data'!H$7-'Source Data'!F$7))</x:f>
        <x:v>125294.5108956711</x:v>
      </x:c>
      <x:c r="L738" s="14" t="n">
        <x:f>I738/K738-1</x:f>
        <x:v>0.2203487519682139</x:v>
      </x:c>
      <x:c r="M738" s="8" t="n">
        <x:f>'Source Data'!G738</x:f>
        <x:v>135158</x:v>
      </x:c>
      <x:c r="N738" s="8" t="n">
        <x:f>M738*('Source Data'!H$8/'Source Data'!G$8)*EXP(F738*('Source Data'!H$7-'Source Data'!G$7))</x:f>
        <x:v>134104.4491193288</x:v>
      </x:c>
      <x:c r="O738" s="14" t="n">
        <x:f>I738/N738-1</x:f>
        <x:v>0.140178428114222</x:v>
      </x:c>
      <x:c r="P738" s="2" t="str"/>
    </x:row>
    <x:row r="739">
      <x:c r="A739" s="2" t="str">
        <x:f>'Source Data'!A739</x:f>
        <x:v>623210</x:v>
      </x:c>
      <x:c r="B739" s="2" t="str">
        <x:f>'Source Data'!B739</x:f>
        <x:v>Residential Intellectual and Developmental Disability Facilities</x:v>
      </x:c>
      <x:c r="C739" s="13" t="n">
        <x:f>LN('Source Data'!C739/'Source Data'!C$8)</x:f>
        <x:v>-6.463536257745605</x:v>
      </x:c>
      <x:c r="D739" s="13" t="n">
        <x:f>LN('Source Data'!D739/'Source Data'!D$8)</x:f>
        <x:v>-6.309952686207284</x:v>
      </x:c>
      <x:c r="E739" s="13" t="n">
        <x:f>LN('Source Data'!E739/'Source Data'!E$8)</x:f>
        <x:v>-6.31008998662978</x:v>
      </x:c>
      <x:c r="F739" s="13" t="n">
        <x:f>SLOPE(C739:E739,'Source Data'!C$7:E$7)</x:f>
        <x:v>0.07672313555791233</x:v>
      </x:c>
      <x:c r="G739" s="14" t="n">
        <x:f>EXP(F739)-1</x:f>
        <x:v>0.07974309253659784</x:v>
      </x:c>
      <x:c r="H739" s="8" t="n">
        <x:f>'Source Data'!F739</x:f>
        <x:v>26162</x:v>
      </x:c>
      <x:c r="I739" s="8" t="n">
        <x:f>'Source Data'!H739</x:f>
        <x:v>34043</x:v>
      </x:c>
      <x:c r="J739" s="14" t="n">
        <x:f>I739/H739-1</x:f>
        <x:v>0.30123843742833123</x:v>
      </x:c>
      <x:c r="K739" s="8" t="n">
        <x:f>H739*('Source Data'!H$8/'Source Data'!F$8)*EXP(F739*('Source Data'!H$7-'Source Data'!F$7))</x:f>
        <x:v>36190.20577768529</x:v>
      </x:c>
      <x:c r="L739" s="14" t="n">
        <x:f>I739/K739-1</x:f>
        <x:v>-0.05933112928054274</x:v>
      </x:c>
      <x:c r="M739" s="8" t="n">
        <x:f>'Source Data'!G739</x:f>
        <x:v>28110</x:v>
      </x:c>
      <x:c r="N739" s="8" t="n">
        <x:f>M739*('Source Data'!H$8/'Source Data'!G$8)*EXP(F739*('Source Data'!H$7-'Source Data'!G$7))</x:f>
        <x:v>35938.607452698656</x:v>
      </x:c>
      <x:c r="O739" s="14" t="n">
        <x:f>I739/N739-1</x:f>
        <x:v>-0.05274571239838932</x:v>
      </x:c>
      <x:c r="P739" s="2" t="str"/>
    </x:row>
    <x:row r="740">
      <x:c r="A740" s="2" t="str">
        <x:f>'Source Data'!A740</x:f>
        <x:v>623220</x:v>
      </x:c>
      <x:c r="B740" s="2" t="str">
        <x:f>'Source Data'!B740</x:f>
        <x:v>Residential Mental Health and Substance Abuse Facilities</x:v>
      </x:c>
      <x:c r="C740" s="13" t="n">
        <x:f>LN('Source Data'!C740/'Source Data'!C$8)</x:f>
        <x:v>-6.254274287110468</x:v>
      </x:c>
      <x:c r="D740" s="13" t="n">
        <x:f>LN('Source Data'!D740/'Source Data'!D$8)</x:f>
        <x:v>-6.248591354177765</x:v>
      </x:c>
      <x:c r="E740" s="13" t="n">
        <x:f>LN('Source Data'!E740/'Source Data'!E$8)</x:f>
        <x:v>-6.257455731610704</x:v>
      </x:c>
      <x:c r="F740" s="13" t="n">
        <x:f>SLOPE(C740:E740,'Source Data'!C$7:E$7)</x:f>
        <x:v>-0.0015907222501176932</x:v>
      </x:c>
      <x:c r="G740" s="14" t="n">
        <x:f>EXP(F740)-1</x:f>
        <x:v>-0.0015894577220723072</x:v>
      </x:c>
      <x:c r="H740" s="8" t="n">
        <x:f>'Source Data'!F740</x:f>
        <x:v>29943</x:v>
      </x:c>
      <x:c r="I740" s="8" t="n">
        <x:f>'Source Data'!H740</x:f>
        <x:v>35915</x:v>
      </x:c>
      <x:c r="J740" s="14" t="n">
        <x:f>I740/H740-1</x:f>
        <x:v>0.1994456133319975</x:v>
      </x:c>
      <x:c r="K740" s="8" t="n">
        <x:f>H740*('Source Data'!H$8/'Source Data'!F$8)*EXP(F740*('Source Data'!H$7-'Source Data'!F$7))</x:f>
        <x:v>30281.007187137322</x:v>
      </x:c>
      <x:c r="L740" s="14" t="n">
        <x:f>I740/K740-1</x:f>
        <x:v>0.1860569821223077</x:v>
      </x:c>
      <x:c r="M740" s="8" t="n">
        <x:f>'Source Data'!G740</x:f>
        <x:v>32797</x:v>
      </x:c>
      <x:c r="N740" s="8" t="n">
        <x:f>M740*('Source Data'!H$8/'Source Data'!G$8)*EXP(F740*('Source Data'!H$7-'Source Data'!G$7))</x:f>
        <x:v>33151.309682121224</x:v>
      </x:c>
      <x:c r="O740" s="14" t="n">
        <x:f>I740/N740-1</x:f>
        <x:v>0.08336594675682618</x:v>
      </x:c>
      <x:c r="P740" s="2" t="str"/>
    </x:row>
    <x:row r="741">
      <x:c r="A741" s="2" t="str">
        <x:f>'Source Data'!A741</x:f>
        <x:v>623311</x:v>
      </x:c>
      <x:c r="B741" s="2" t="str">
        <x:f>'Source Data'!B741</x:f>
        <x:v>Continuing Care Retirement Communities</x:v>
      </x:c>
      <x:c r="C741" s="13" t="n">
        <x:f>LN('Source Data'!C741/'Source Data'!C$8)</x:f>
        <x:v>-5.995284296400433</x:v>
      </x:c>
      <x:c r="D741" s="13" t="n">
        <x:f>LN('Source Data'!D741/'Source Data'!D$8)</x:f>
        <x:v>-5.960679309233218</x:v>
      </x:c>
      <x:c r="E741" s="13" t="n">
        <x:f>LN('Source Data'!E741/'Source Data'!E$8)</x:f>
        <x:v>-5.957634341005929</x:v>
      </x:c>
      <x:c r="F741" s="13" t="n">
        <x:f>SLOPE(C741:E741,'Source Data'!C$7:E$7)</x:f>
        <x:v>0.018824977697252</x:v>
      </x:c>
      <x:c r="G741" s="14" t="n">
        <x:f>EXP(F741)-1</x:f>
        <x:v>0.019003284707634904</x:v>
      </x:c>
      <x:c r="H741" s="8" t="n">
        <x:f>'Source Data'!F741</x:f>
        <x:v>33655</x:v>
      </x:c>
      <x:c r="I741" s="8" t="n">
        <x:f>'Source Data'!H741</x:f>
        <x:v>39894</x:v>
      </x:c>
      <x:c r="J741" s="14" t="n">
        <x:f>I741/H741-1</x:f>
        <x:v>0.18538107264893777</x:v>
      </x:c>
      <x:c r="K741" s="8" t="n">
        <x:f>H741*('Source Data'!H$8/'Source Data'!F$8)*EXP(F741*('Source Data'!H$7-'Source Data'!F$7))</x:f>
        <x:v>36930.93509739337</x:v>
      </x:c>
      <x:c r="L741" s="14" t="n">
        <x:f>I741/K741-1</x:f>
        <x:v>0.0802325988982544</x:v>
      </x:c>
      <x:c r="M741" s="8" t="n">
        <x:f>'Source Data'!G741</x:f>
        <x:v>34384</x:v>
      </x:c>
      <x:c r="N741" s="8" t="n">
        <x:f>M741*('Source Data'!H$8/'Source Data'!G$8)*EXP(F741*('Source Data'!H$7-'Source Data'!G$7))</x:f>
        <x:v>36950.66392960164</x:v>
      </x:c>
      <x:c r="O741" s="14" t="n">
        <x:f>I741/N741-1</x:f>
        <x:v>0.07965583719973224</x:v>
      </x:c>
      <x:c r="P741" s="2" t="str"/>
    </x:row>
    <x:row r="742">
      <x:c r="A742" s="2" t="str">
        <x:f>'Source Data'!A742</x:f>
        <x:v>623312</x:v>
      </x:c>
      <x:c r="B742" s="2" t="str">
        <x:f>'Source Data'!B742</x:f>
        <x:v>Assisted Living Facilities for the Elderly</x:v>
      </x:c>
      <x:c r="C742" s="13" t="n">
        <x:f>LN('Source Data'!C742/'Source Data'!C$8)</x:f>
        <x:v>-5.555211110709751</x:v>
      </x:c>
      <x:c r="D742" s="13" t="n">
        <x:f>LN('Source Data'!D742/'Source Data'!D$8)</x:f>
        <x:v>-5.545445146536094</x:v>
      </x:c>
      <x:c r="E742" s="13" t="n">
        <x:f>LN('Source Data'!E742/'Source Data'!E$8)</x:f>
        <x:v>-5.521370539177175</x:v>
      </x:c>
      <x:c r="F742" s="13" t="n">
        <x:f>SLOPE(C742:E742,'Source Data'!C$7:E$7)</x:f>
        <x:v>0.01692028576628779</x:v>
      </x:c>
      <x:c r="G742" s="14" t="n">
        <x:f>EXP(F742)-1</x:f>
        <x:v>0.017064244596864953</x:v>
      </x:c>
      <x:c r="H742" s="8" t="n">
        <x:f>'Source Data'!F742</x:f>
        <x:v>58704</x:v>
      </x:c>
      <x:c r="I742" s="8" t="n">
        <x:f>'Source Data'!H742</x:f>
        <x:v>76273</x:v>
      </x:c>
      <x:c r="J742" s="14" t="n">
        <x:f>I742/H742-1</x:f>
        <x:v>0.29928113927500677</x:v>
      </x:c>
      <x:c r="K742" s="8" t="n">
        <x:f>H742*('Source Data'!H$8/'Source Data'!F$8)*EXP(F742*('Source Data'!H$7-'Source Data'!F$7))</x:f>
        <x:v>63929.25080861862</x:v>
      </x:c>
      <x:c r="L742" s="14" t="n">
        <x:f>I742/K742-1</x:f>
        <x:v>0.19308452758713157</x:v>
      </x:c>
      <x:c r="M742" s="8" t="n">
        <x:f>'Source Data'!G742</x:f>
        <x:v>62849</x:v>
      </x:c>
      <x:c r="N742" s="8" t="n">
        <x:f>M742*('Source Data'!H$8/'Source Data'!G$8)*EXP(F742*('Source Data'!H$7-'Source Data'!G$7))</x:f>
        <x:v>67155.66104445061</x:v>
      </x:c>
      <x:c r="O742" s="14" t="n">
        <x:f>I742/N742-1</x:f>
        <x:v>0.13576426489964244</x:v>
      </x:c>
      <x:c r="P742" s="2" t="str"/>
    </x:row>
    <x:row r="743">
      <x:c r="A743" s="2" t="str">
        <x:f>'Source Data'!A743</x:f>
        <x:v>623990</x:v>
      </x:c>
      <x:c r="B743" s="2" t="str">
        <x:f>'Source Data'!B743</x:f>
        <x:v>Other Residential Care Facilities</x:v>
      </x:c>
      <x:c r="C743" s="13" t="n">
        <x:f>LN('Source Data'!C743/'Source Data'!C$8)</x:f>
        <x:v>-6.973718876412692</x:v>
      </x:c>
      <x:c r="D743" s="13" t="n">
        <x:f>LN('Source Data'!D743/'Source Data'!D$8)</x:f>
        <x:v>-7.037742490409473</x:v>
      </x:c>
      <x:c r="E743" s="13" t="n">
        <x:f>LN('Source Data'!E743/'Source Data'!E$8)</x:f>
        <x:v>-7.100041883337169</x:v>
      </x:c>
      <x:c r="F743" s="13" t="n">
        <x:f>SLOPE(C743:E743,'Source Data'!C$7:E$7)</x:f>
        <x:v>-0.06316150346223859</x:v>
      </x:c>
      <x:c r="G743" s="14" t="n">
        <x:f>EXP(F743)-1</x:f>
        <x:v>-0.06120815668796886</x:v>
      </x:c>
      <x:c r="H743" s="8" t="n">
        <x:f>'Source Data'!F743</x:f>
        <x:v>11059</x:v>
      </x:c>
      <x:c r="I743" s="8" t="n">
        <x:f>'Source Data'!H743</x:f>
        <x:v>11798</x:v>
      </x:c>
      <x:c r="J743" s="14" t="n">
        <x:f>I743/H743-1</x:f>
        <x:v>0.0668234017542273</x:v>
      </x:c>
      <x:c r="K743" s="8" t="n">
        <x:f>H743*('Source Data'!H$8/'Source Data'!F$8)*EXP(F743*('Source Data'!H$7-'Source Data'!F$7))</x:f>
        <x:v>8742.41587471802</x:v>
      </x:c>
      <x:c r="L743" s="14" t="n">
        <x:f>I743/K743-1</x:f>
        <x:v>0.34951255683435845</x:v>
      </x:c>
      <x:c r="M743" s="8" t="n">
        <x:f>'Source Data'!G743</x:f>
        <x:v>11532</x:v>
      </x:c>
      <x:c r="N743" s="8" t="n">
        <x:f>M743*('Source Data'!H$8/'Source Data'!G$8)*EXP(F743*('Source Data'!H$7-'Source Data'!G$7))</x:f>
        <x:v>9690.621982809284</x:v>
      </x:c>
      <x:c r="O743" s="14" t="n">
        <x:f>I743/N743-1</x:f>
        <x:v>0.21746571282308902</x:v>
      </x:c>
      <x:c r="P743" s="2" t="str"/>
    </x:row>
    <x:row r="744">
      <x:c r="A744" s="2" t="str">
        <x:f>'Source Data'!A744</x:f>
        <x:v>624110</x:v>
      </x:c>
      <x:c r="B744" s="2" t="str">
        <x:f>'Source Data'!B744</x:f>
        <x:v>Child and Youth Services</x:v>
      </x:c>
      <x:c r="C744" s="13" t="n">
        <x:f>LN('Source Data'!C744/'Source Data'!C$8)</x:f>
        <x:v>-6.4907844126168435</x:v>
      </x:c>
      <x:c r="D744" s="13" t="n">
        <x:f>LN('Source Data'!D744/'Source Data'!D$8)</x:f>
        <x:v>-6.462261502601063</x:v>
      </x:c>
      <x:c r="E744" s="13" t="n">
        <x:f>LN('Source Data'!E744/'Source Data'!E$8)</x:f>
        <x:v>-6.4433890495139945</x:v>
      </x:c>
      <x:c r="F744" s="13" t="n">
        <x:f>SLOPE(C744:E744,'Source Data'!C$7:E$7)</x:f>
        <x:v>0.023697681551424488</x:v>
      </x:c>
      <x:c r="G744" s="14" t="n">
        <x:f>EXP(F744)-1</x:f>
        <x:v>0.023980702834355716</x:v>
      </x:c>
      <x:c r="H744" s="8" t="n">
        <x:f>'Source Data'!F744</x:f>
        <x:v>26094</x:v>
      </x:c>
      <x:c r="I744" s="8" t="n">
        <x:f>'Source Data'!H744</x:f>
        <x:v>32791</x:v>
      </x:c>
      <x:c r="J744" s="14" t="n">
        <x:f>I744/H744-1</x:f>
        <x:v>0.2566490380930482</x:v>
      </x:c>
      <x:c r="K744" s="8" t="n">
        <x:f>H744*('Source Data'!H$8/'Source Data'!F$8)*EXP(F744*('Source Data'!H$7-'Source Data'!F$7))</x:f>
        <x:v>29197.530510750723</x:v>
      </x:c>
      <x:c r="L744" s="14" t="n">
        <x:f>I744/K744-1</x:f>
        <x:v>0.12307443219987868</x:v>
      </x:c>
      <x:c r="M744" s="8" t="n">
        <x:f>'Source Data'!G744</x:f>
        <x:v>28677</x:v>
      </x:c>
      <x:c r="N744" s="8" t="n">
        <x:f>M744*('Source Data'!H$8/'Source Data'!G$8)*EXP(F744*('Source Data'!H$7-'Source Data'!G$7))</x:f>
        <x:v>31271.457950830187</x:v>
      </x:c>
      <x:c r="O744" s="14" t="n">
        <x:f>I744/N744-1</x:f>
        <x:v>0.048591979675494335</x:v>
      </x:c>
      <x:c r="P744" s="2" t="str"/>
    </x:row>
    <x:row r="745">
      <x:c r="A745" s="2" t="str">
        <x:f>'Source Data'!A745</x:f>
        <x:v>624120</x:v>
      </x:c>
      <x:c r="B745" s="2" t="str">
        <x:f>'Source Data'!B745</x:f>
        <x:v>Services for the Elderly and Persons with Disabilities</x:v>
      </x:c>
      <x:c r="C745" s="13" t="n">
        <x:f>LN('Source Data'!C745/'Source Data'!C$8)</x:f>
        <x:v>-3.2512897899278532</x:v>
      </x:c>
      <x:c r="D745" s="13" t="n">
        <x:f>LN('Source Data'!D745/'Source Data'!D$8)</x:f>
        <x:v>-3.232555992654033</x:v>
      </x:c>
      <x:c r="E745" s="13" t="n">
        <x:f>LN('Source Data'!E745/'Source Data'!E$8)</x:f>
        <x:v>-3.2054744652757226</x:v>
      </x:c>
      <x:c r="F745" s="13" t="n">
        <x:f>SLOPE(C745:E745,'Source Data'!C$7:E$7)</x:f>
        <x:v>0.022907662326065337</x:v>
      </x:c>
      <x:c r="G745" s="14" t="n">
        <x:f>EXP(F745)-1</x:f>
        <x:v>0.023172057857317352</x:v>
      </x:c>
      <x:c r="H745" s="8" t="n">
        <x:f>'Source Data'!F745</x:f>
        <x:v>686869</x:v>
      </x:c>
      <x:c r="I745" s="8" t="n">
        <x:f>'Source Data'!H745</x:f>
        <x:v>919346</x:v>
      </x:c>
      <x:c r="J745" s="14" t="n">
        <x:f>I745/H745-1</x:f>
        <x:v>0.33845900746721713</x:v>
      </x:c>
      <x:c r="K745" s="8" t="n">
        <x:f>H745*('Source Data'!H$8/'Source Data'!F$8)*EXP(F745*('Source Data'!H$7-'Source Data'!F$7))</x:f>
        <x:v>766137.949539736</x:v>
      </x:c>
      <x:c r="L745" s="14" t="n">
        <x:f>I745/K745-1</x:f>
        <x:v>0.19997449617566265</x:v>
      </x:c>
      <x:c r="M745" s="8" t="n">
        <x:f>'Source Data'!G745</x:f>
        <x:v>663025</x:v>
      </x:c>
      <x:c r="N745" s="8" t="n">
        <x:f>M745*('Source Data'!H$8/'Source Data'!G$8)*EXP(F745*('Source Data'!H$7-'Source Data'!G$7))</x:f>
        <x:v>721298.4758224749</x:v>
      </x:c>
      <x:c r="O745" s="14" t="n">
        <x:f>I745/N745-1</x:f>
        <x:v>0.2745708341497568</x:v>
      </x:c>
      <x:c r="P745" s="2" t="str"/>
    </x:row>
    <x:row r="746">
      <x:c r="A746" s="2" t="str">
        <x:f>'Source Data'!A746</x:f>
        <x:v>624190</x:v>
      </x:c>
      <x:c r="B746" s="2" t="str">
        <x:f>'Source Data'!B746</x:f>
        <x:v>Other Individual and Family Services</x:v>
      </x:c>
      <x:c r="C746" s="13" t="n">
        <x:f>LN('Source Data'!C746/'Source Data'!C$8)</x:f>
        <x:v>-5.758899954588368</x:v>
      </x:c>
      <x:c r="D746" s="13" t="n">
        <x:f>LN('Source Data'!D746/'Source Data'!D$8)</x:f>
        <x:v>-5.746501272721845</x:v>
      </x:c>
      <x:c r="E746" s="13" t="n">
        <x:f>LN('Source Data'!E746/'Source Data'!E$8)</x:f>
        <x:v>-5.753965637644271</x:v>
      </x:c>
      <x:c r="F746" s="13" t="n">
        <x:f>SLOPE(C746:E746,'Source Data'!C$7:E$7)</x:f>
        <x:v>0.0024671584720485917</x:v>
      </x:c>
      <x:c r="G746" s="14" t="n">
        <x:f>EXP(F746)-1</x:f>
        <x:v>0.0024702044119353506</x:v>
      </x:c>
      <x:c r="H746" s="8" t="n">
        <x:f>'Source Data'!F746</x:f>
        <x:v>55170</x:v>
      </x:c>
      <x:c r="I746" s="8" t="n">
        <x:f>'Source Data'!H746</x:f>
        <x:v>63692</x:v>
      </x:c>
      <x:c r="J746" s="14" t="n">
        <x:f>I746/H746-1</x:f>
        <x:v>0.15446800797534888</x:v>
      </x:c>
      <x:c r="K746" s="8" t="n">
        <x:f>H746*('Source Data'!H$8/'Source Data'!F$8)*EXP(F746*('Source Data'!H$7-'Source Data'!F$7))</x:f>
        <x:v>56705.76983254457</x:v>
      </x:c>
      <x:c r="L746" s="14" t="n">
        <x:f>I746/K746-1</x:f>
        <x:v>0.12320139887151127</x:v>
      </x:c>
      <x:c r="M746" s="8" t="n">
        <x:f>'Source Data'!G746</x:f>
        <x:v>57974</x:v>
      </x:c>
      <x:c r="N746" s="8" t="n">
        <x:f>M746*('Source Data'!H$8/'Source Data'!G$8)*EXP(F746*('Source Data'!H$7-'Source Data'!G$7))</x:f>
        <x:v>59318.038610148185</x:v>
      </x:c>
      <x:c r="O746" s="14" t="n">
        <x:f>I746/N746-1</x:f>
        <x:v>0.07373745815498878</x:v>
      </x:c>
      <x:c r="P746" s="2" t="str"/>
    </x:row>
    <x:row r="747">
      <x:c r="A747" s="2" t="str">
        <x:f>'Source Data'!A747</x:f>
        <x:v>624210</x:v>
      </x:c>
      <x:c r="B747" s="2" t="str">
        <x:f>'Source Data'!B747</x:f>
        <x:v>Community Food Services</x:v>
      </x:c>
      <x:c r="C747" s="13" t="n">
        <x:f>LN('Source Data'!C747/'Source Data'!C$8)</x:f>
        <x:v>-8.098149308069935</x:v>
      </x:c>
      <x:c r="D747" s="13" t="n">
        <x:f>LN('Source Data'!D747/'Source Data'!D$8)</x:f>
        <x:v>-8.171070580982667</x:v>
      </x:c>
      <x:c r="E747" s="13" t="n">
        <x:f>LN('Source Data'!E747/'Source Data'!E$8)</x:f>
        <x:v>-8.179695111127666</x:v>
      </x:c>
      <x:c r="F747" s="13" t="n">
        <x:f>SLOPE(C747:E747,'Source Data'!C$7:E$7)</x:f>
        <x:v>-0.04077290152886537</x:v>
      </x:c>
      <x:c r="G747" s="14" t="n">
        <x:f>EXP(F747)-1</x:f>
        <x:v>-0.03995286957138844</x:v>
      </x:c>
      <x:c r="H747" s="8" t="n">
        <x:f>'Source Data'!F747</x:f>
        <x:v>5320</x:v>
      </x:c>
      <x:c r="I747" s="8" t="n">
        <x:f>'Source Data'!H747</x:f>
        <x:v>6733</x:v>
      </x:c>
      <x:c r="J747" s="14" t="n">
        <x:f>I747/H747-1</x:f>
        <x:v>0.2656015037593984</x:v>
      </x:c>
      <x:c r="K747" s="8" t="n">
        <x:f>H747*('Source Data'!H$8/'Source Data'!F$8)*EXP(F747*('Source Data'!H$7-'Source Data'!F$7))</x:f>
        <x:v>4599.601651922226</x:v>
      </x:c>
      <x:c r="L747" s="14" t="n">
        <x:f>I747/K747-1</x:f>
        <x:v>0.4638224154011692</x:v>
      </x:c>
      <x:c r="M747" s="8" t="n">
        <x:f>'Source Data'!G747</x:f>
        <x:v>5856</x:v>
      </x:c>
      <x:c r="N747" s="8" t="n">
        <x:f>M747*('Source Data'!H$8/'Source Data'!G$8)*EXP(F747*('Source Data'!H$7-'Source Data'!G$7))</x:f>
        <x:v>5262.811631477374</x:v>
      </x:c>
      <x:c r="O747" s="14" t="n">
        <x:f>I747/N747-1</x:f>
        <x:v>0.27935416873545127</x:v>
      </x:c>
      <x:c r="P747" s="2" t="str"/>
    </x:row>
    <x:row r="748">
      <x:c r="A748" s="2" t="str">
        <x:f>'Source Data'!A748</x:f>
        <x:v>624221</x:v>
      </x:c>
      <x:c r="B748" s="2" t="str">
        <x:f>'Source Data'!B748</x:f>
        <x:v>Temporary Shelters</x:v>
      </x:c>
      <x:c r="C748" s="13" t="n">
        <x:f>LN('Source Data'!C748/'Source Data'!C$8)</x:f>
        <x:v>-7.469632691539614</x:v>
      </x:c>
      <x:c r="D748" s="13" t="n">
        <x:f>LN('Source Data'!D748/'Source Data'!D$8)</x:f>
        <x:v>-7.466735313795243</x:v>
      </x:c>
      <x:c r="E748" s="13" t="n">
        <x:f>LN('Source Data'!E748/'Source Data'!E$8)</x:f>
        <x:v>-7.40078603520584</x:v>
      </x:c>
      <x:c r="F748" s="13" t="n">
        <x:f>SLOPE(C748:E748,'Source Data'!C$7:E$7)</x:f>
        <x:v>0.03442332816688687</x:v>
      </x:c>
      <x:c r="G748" s="14" t="n">
        <x:f>EXP(F748)-1</x:f>
        <x:v>0.03502266824852174</x:v>
      </x:c>
      <x:c r="H748" s="8" t="n">
        <x:f>'Source Data'!F748</x:f>
        <x:v>11334</x:v>
      </x:c>
      <x:c r="I748" s="8" t="n">
        <x:f>'Source Data'!H748</x:f>
        <x:v>15054</x:v>
      </x:c>
      <x:c r="J748" s="14" t="n">
        <x:f>I748/H748-1</x:f>
        <x:v>0.3282159872948649</x:v>
      </x:c>
      <x:c r="K748" s="8" t="n">
        <x:f>H748*('Source Data'!H$8/'Source Data'!F$8)*EXP(F748*('Source Data'!H$7-'Source Data'!F$7))</x:f>
        <x:v>13237.958880416192</x:v>
      </x:c>
      <x:c r="L748" s="14" t="n">
        <x:f>I748/K748-1</x:f>
        <x:v>0.1371843753246884</x:v>
      </x:c>
      <x:c r="M748" s="8" t="n">
        <x:f>'Source Data'!G748</x:f>
        <x:v>12293</x:v>
      </x:c>
      <x:c r="N748" s="8" t="n">
        <x:f>M748*('Source Data'!H$8/'Source Data'!G$8)*EXP(F748*('Source Data'!H$7-'Source Data'!G$7))</x:f>
        <x:v>13843.520950214179</x:v>
      </x:c>
      <x:c r="O748" s="14" t="n">
        <x:f>I748/N748-1</x:f>
        <x:v>0.08744011398105278</x:v>
      </x:c>
      <x:c r="P748" s="2" t="str"/>
    </x:row>
    <x:row r="749">
      <x:c r="A749" s="2" t="str">
        <x:f>'Source Data'!A749</x:f>
        <x:v>624229</x:v>
      </x:c>
      <x:c r="B749" s="2" t="str">
        <x:f>'Source Data'!B749</x:f>
        <x:v>Other Community Housing Services</x:v>
      </x:c>
      <x:c r="C749" s="13" t="n">
        <x:f>LN('Source Data'!C749/'Source Data'!C$8)</x:f>
        <x:v>-7.938164650173893</x:v>
      </x:c>
      <x:c r="D749" s="13" t="n">
        <x:f>LN('Source Data'!D749/'Source Data'!D$8)</x:f>
        <x:v>-7.911483345389845</x:v>
      </x:c>
      <x:c r="E749" s="13" t="n">
        <x:f>LN('Source Data'!E749/'Source Data'!E$8)</x:f>
        <x:v>-7.832220839044302</x:v>
      </x:c>
      <x:c r="F749" s="13" t="n">
        <x:f>SLOPE(C749:E749,'Source Data'!C$7:E$7)</x:f>
        <x:v>0.052971905564795474</x:v>
      </x:c>
      <x:c r="G749" s="14" t="n">
        <x:f>EXP(F749)-1</x:f>
        <x:v>0.0544000219301386</x:v>
      </x:c>
      <x:c r="H749" s="8" t="n">
        <x:f>'Source Data'!F749</x:f>
        <x:v>7496</x:v>
      </x:c>
      <x:c r="I749" s="8" t="n">
        <x:f>'Source Data'!H749</x:f>
        <x:v>8272</x:v>
      </x:c>
      <x:c r="J749" s="14" t="n">
        <x:f>I749/H749-1</x:f>
        <x:v>0.10352187833511195</x:v>
      </x:c>
      <x:c r="K749" s="8" t="n">
        <x:f>H749*('Source Data'!H$8/'Source Data'!F$8)*EXP(F749*('Source Data'!H$7-'Source Data'!F$7))</x:f>
        <x:v>9429.519795596381</x:v>
      </x:c>
      <x:c r="L749" s="14" t="n">
        <x:f>I749/K749-1</x:f>
        <x:v>-0.12275490382203202</x:v>
      </x:c>
      <x:c r="M749" s="8" t="n">
        <x:f>'Source Data'!G749</x:f>
        <x:v>7558</x:v>
      </x:c>
      <x:c r="N749" s="8" t="n">
        <x:f>M749*('Source Data'!H$8/'Source Data'!G$8)*EXP(F749*('Source Data'!H$7-'Source Data'!G$7))</x:f>
        <x:v>8998.335935518735</x:v>
      </x:c>
      <x:c r="O749" s="14" t="n">
        <x:f>I749/N749-1</x:f>
        <x:v>-0.08071891744469117</x:v>
      </x:c>
      <x:c r="P749" s="2" t="str"/>
    </x:row>
    <x:row r="750">
      <x:c r="A750" s="2" t="str">
        <x:f>'Source Data'!A750</x:f>
        <x:v>624230</x:v>
      </x:c>
      <x:c r="B750" s="2" t="str">
        <x:f>'Source Data'!B750</x:f>
        <x:v>Emergency and Other Relief Services</x:v>
      </x:c>
      <x:c r="C750" s="13" t="n">
        <x:f>LN('Source Data'!C750/'Source Data'!C$8)</x:f>
        <x:v>-8.731890768057307</x:v>
      </x:c>
      <x:c r="D750" s="13" t="n">
        <x:f>LN('Source Data'!D750/'Source Data'!D$8)</x:f>
        <x:v>-8.763270551139643</x:v>
      </x:c>
      <x:c r="E750" s="13" t="n">
        <x:f>LN('Source Data'!E750/'Source Data'!E$8)</x:f>
        <x:v>-8.774072616042783</x:v>
      </x:c>
      <x:c r="F750" s="13" t="n">
        <x:f>SLOPE(C750:E750,'Source Data'!C$7:E$7)</x:f>
        <x:v>-0.021090923992738375</x:v>
      </x:c>
      <x:c r="G750" s="14" t="n">
        <x:f>EXP(F750)-1</x:f>
        <x:v>-0.02087006588100082</x:v>
      </x:c>
      <x:c r="H750" s="8" t="n">
        <x:f>'Source Data'!F750</x:f>
        <x:v>2925</x:v>
      </x:c>
      <x:c r="I750" s="8" t="n">
        <x:f>'Source Data'!H750</x:f>
        <x:v>3051</x:v>
      </x:c>
      <x:c r="J750" s="14" t="n">
        <x:f>I750/H750-1</x:f>
        <x:v>0.04307692307692301</x:v>
      </x:c>
      <x:c r="K750" s="8" t="n">
        <x:f>H750*('Source Data'!H$8/'Source Data'!F$8)*EXP(F750*('Source Data'!H$7-'Source Data'!F$7))</x:f>
        <x:v>2736.0596182305426</x:v>
      </x:c>
      <x:c r="L750" s="14" t="n">
        <x:f>I750/K750-1</x:f>
        <x:v>0.11510728043752749</x:v>
      </x:c>
      <x:c r="M750" s="8" t="n">
        <x:f>'Source Data'!G750</x:f>
        <x:v>3237</x:v>
      </x:c>
      <x:c r="N750" s="8" t="n">
        <x:f>M750*('Source Data'!H$8/'Source Data'!G$8)*EXP(F750*('Source Data'!H$7-'Source Data'!G$7))</x:f>
        <x:v>3086.048733233386</x:v>
      </x:c>
      <x:c r="O750" s="14" t="n">
        <x:f>I750/N750-1</x:f>
        <x:v>-0.011357154816108106</x:v>
      </x:c>
      <x:c r="P750" s="2" t="str"/>
    </x:row>
    <x:row r="751">
      <x:c r="A751" s="2" t="str">
        <x:f>'Source Data'!A751</x:f>
        <x:v>624310</x:v>
      </x:c>
      <x:c r="B751" s="2" t="str">
        <x:f>'Source Data'!B751</x:f>
        <x:v>Vocational Rehabilitation Services</x:v>
      </x:c>
      <x:c r="C751" s="13" t="n">
        <x:f>LN('Source Data'!C751/'Source Data'!C$8)</x:f>
        <x:v>-5.964955463788625</x:v>
      </x:c>
      <x:c r="D751" s="13" t="n">
        <x:f>LN('Source Data'!D751/'Source Data'!D$8)</x:f>
        <x:v>-6.008000666716136</x:v>
      </x:c>
      <x:c r="E751" s="13" t="n">
        <x:f>LN('Source Data'!E751/'Source Data'!E$8)</x:f>
        <x:v>-6.049592817436975</x:v>
      </x:c>
      <x:c r="F751" s="13" t="n">
        <x:f>SLOPE(C751:E751,'Source Data'!C$7:E$7)</x:f>
        <x:v>-0.042318676824174783</x:v>
      </x:c>
      <x:c r="G751" s="14" t="n">
        <x:f>EXP(F751)-1</x:f>
        <x:v>-0.04143574032018593</x:v>
      </x:c>
      <x:c r="H751" s="8" t="n">
        <x:f>'Source Data'!F751</x:f>
        <x:v>28979</x:v>
      </x:c>
      <x:c r="I751" s="8" t="n">
        <x:f>'Source Data'!H751</x:f>
        <x:v>30036</x:v>
      </x:c>
      <x:c r="J751" s="14" t="n">
        <x:f>I751/H751-1</x:f>
        <x:v>0.03647468856758351</x:v>
      </x:c>
      <x:c r="K751" s="8" t="n">
        <x:f>H751*('Source Data'!H$8/'Source Data'!F$8)*EXP(F751*('Source Data'!H$7-'Source Data'!F$7))</x:f>
        <x:v>24900.421412972213</x:v>
      </x:c>
      <x:c r="L751" s="14" t="n">
        <x:f>I751/K751-1</x:f>
        <x:v>0.20624464549633426</x:v>
      </x:c>
      <x:c r="M751" s="8" t="n">
        <x:f>'Source Data'!G751</x:f>
        <x:v>30824</x:v>
      </x:c>
      <x:c r="N751" s="8" t="n">
        <x:f>M751*('Source Data'!H$8/'Source Data'!G$8)*EXP(F751*('Source Data'!H$7-'Source Data'!G$7))</x:f>
        <x:v>27573.49318537142</x:v>
      </x:c>
      <x:c r="O751" s="14" t="n">
        <x:f>I751/N751-1</x:f>
        <x:v>0.08930703114304772</x:v>
      </x:c>
      <x:c r="P751" s="2" t="str"/>
    </x:row>
    <x:row r="752">
      <x:c r="A752" s="2" t="str">
        <x:f>'Source Data'!A752</x:f>
        <x:v>624410</x:v>
      </x:c>
      <x:c r="B752" s="2" t="str">
        <x:f>'Source Data'!B752</x:f>
        <x:v>Child Care Services</x:v>
      </x:c>
      <x:c r="C752" s="13" t="n">
        <x:f>LN('Source Data'!C752/'Source Data'!C$8)</x:f>
        <x:v>-5.319009952855148</x:v>
      </x:c>
      <x:c r="D752" s="13" t="n">
        <x:f>LN('Source Data'!D752/'Source Data'!D$8)</x:f>
        <x:v>-5.305398492722502</x:v>
      </x:c>
      <x:c r="E752" s="13" t="n">
        <x:f>LN('Source Data'!E752/'Source Data'!E$8)</x:f>
        <x:v>-5.285242610111592</x:v>
      </x:c>
      <x:c r="F752" s="13" t="n">
        <x:f>SLOPE(C752:E752,'Source Data'!C$7:E$7)</x:f>
        <x:v>0.016883671371778153</x:v>
      </x:c>
      <x:c r="G752" s="14" t="n">
        <x:f>EXP(F752)-1</x:f>
        <x:v>0.01702700608710872</x:v>
      </x:c>
      <x:c r="H752" s="8" t="n">
        <x:f>'Source Data'!F752</x:f>
        <x:v>70663</x:v>
      </x:c>
      <x:c r="I752" s="8" t="n">
        <x:f>'Source Data'!H752</x:f>
        <x:v>86166</x:v>
      </x:c>
      <x:c r="J752" s="14" t="n">
        <x:f>I752/H752-1</x:f>
        <x:v>0.21939345909457564</x:v>
      </x:c>
      <x:c r="K752" s="8" t="n">
        <x:f>H752*('Source Data'!H$8/'Source Data'!F$8)*EXP(F752*('Source Data'!H$7-'Source Data'!F$7))</x:f>
        <x:v>76941.45349705745</x:v>
      </x:c>
      <x:c r="L752" s="14" t="n">
        <x:f>I752/K752-1</x:f>
        <x:v>0.11989046325067587</x:v>
      </x:c>
      <x:c r="M752" s="8" t="n">
        <x:f>'Source Data'!G752</x:f>
        <x:v>75647</x:v>
      </x:c>
      <x:c r="N752" s="8" t="n">
        <x:f>M752*('Source Data'!H$8/'Source Data'!G$8)*EXP(F752*('Source Data'!H$7-'Source Data'!G$7))</x:f>
        <x:v>80821.75221007124</x:v>
      </x:c>
      <x:c r="O752" s="14" t="n">
        <x:f>I752/N752-1</x:f>
        <x:v>0.06612387932444275</x:v>
      </x:c>
      <x:c r="P752" s="2" t="str"/>
    </x:row>
    <x:row r="753">
      <x:c r="A753" s="2" t="str">
        <x:f>'Source Data'!A753</x:f>
        <x:v>711110</x:v>
      </x:c>
      <x:c r="B753" s="2" t="str">
        <x:f>'Source Data'!B753</x:f>
        <x:v>Theater Companies and Dinner Theaters</x:v>
      </x:c>
      <x:c r="C753" s="13" t="n">
        <x:f>LN('Source Data'!C753/'Source Data'!C$8)</x:f>
        <x:v>-7.56606033396076</x:v>
      </x:c>
      <x:c r="D753" s="13" t="n">
        <x:f>LN('Source Data'!D753/'Source Data'!D$8)</x:f>
        <x:v>-7.59428595982968</x:v>
      </x:c>
      <x:c r="E753" s="13" t="n">
        <x:f>LN('Source Data'!E753/'Source Data'!E$8)</x:f>
        <x:v>-7.533547562518761</x:v>
      </x:c>
      <x:c r="F753" s="13" t="n">
        <x:f>SLOPE(C753:E753,'Source Data'!C$7:E$7)</x:f>
        <x:v>0.01625638572099941</x:v>
      </x:c>
      <x:c r="G753" s="14" t="n">
        <x:f>EXP(F753)-1</x:f>
        <x:v>0.016389239691502855</x:v>
      </x:c>
      <x:c r="H753" s="8" t="n">
        <x:f>'Source Data'!F753</x:f>
        <x:v>7682</x:v>
      </x:c>
      <x:c r="I753" s="8" t="n">
        <x:f>'Source Data'!H753</x:f>
        <x:v>8993</x:v>
      </x:c>
      <x:c r="J753" s="14" t="n">
        <x:f>I753/H753-1</x:f>
        <x:v>0.1706586826347305</x:v>
      </x:c>
      <x:c r="K753" s="8" t="n">
        <x:f>H753*('Source Data'!H$8/'Source Data'!F$8)*EXP(F753*('Source Data'!H$7-'Source Data'!F$7))</x:f>
        <x:v>8343.589153292418</x:v>
      </x:c>
      <x:c r="L753" s="14" t="n">
        <x:f>I753/K753-1</x:f>
        <x:v>0.07783351202657451</x:v>
      </x:c>
      <x:c r="M753" s="8" t="n">
        <x:f>'Source Data'!G753</x:f>
        <x:v>8524</x:v>
      </x:c>
      <x:c r="N753" s="8" t="n">
        <x:f>M753*('Source Data'!H$8/'Source Data'!G$8)*EXP(F753*('Source Data'!H$7-'Source Data'!G$7))</x:f>
        <x:v>9089.97550953375</x:v>
      </x:c>
      <x:c r="O753" s="14" t="n">
        <x:f>I753/N753-1</x:f>
        <x:v>-0.010668401629029711</x:v>
      </x:c>
      <x:c r="P753" s="2" t="str"/>
    </x:row>
    <x:row r="754">
      <x:c r="A754" s="2" t="str">
        <x:f>'Source Data'!A754</x:f>
        <x:v>711120</x:v>
      </x:c>
      <x:c r="B754" s="2" t="str">
        <x:f>'Source Data'!B754</x:f>
        <x:v>Dance Companies</x:v>
      </x:c>
      <x:c r="C754" s="13" t="n">
        <x:f>LN('Source Data'!C754/'Source Data'!C$8)</x:f>
        <x:v>-9.383418353791157</x:v>
      </x:c>
      <x:c r="D754" s="13" t="n">
        <x:f>LN('Source Data'!D754/'Source Data'!D$8)</x:f>
        <x:v>-9.304143577099287</x:v>
      </x:c>
      <x:c r="E754" s="13" t="n">
        <x:f>LN('Source Data'!E754/'Source Data'!E$8)</x:f>
        <x:v>-9.377533171280263</x:v>
      </x:c>
      <x:c r="F754" s="13" t="n">
        <x:f>SLOPE(C754:E754,'Source Data'!C$7:E$7)</x:f>
        <x:v>0.002942591255447269</x:v>
      </x:c>
      <x:c r="G754" s="14" t="n">
        <x:f>EXP(F754)-1</x:f>
        <x:v>0.002946924926794159</x:v>
      </x:c>
      <x:c r="H754" s="8" t="n">
        <x:f>'Source Data'!F754</x:f>
        <x:v>1316</x:v>
      </x:c>
      <x:c r="I754" s="8" t="n">
        <x:f>'Source Data'!H754</x:f>
        <x:v>1332</x:v>
      </x:c>
      <x:c r="J754" s="14" t="n">
        <x:f>I754/H754-1</x:f>
        <x:v>0.012158054711246091</x:v>
      </x:c>
      <x:c r="K754" s="8" t="n">
        <x:f>H754*('Source Data'!H$8/'Source Data'!F$8)*EXP(F754*('Source Data'!H$7-'Source Data'!F$7))</x:f>
        <x:v>1355.208345493977</x:v>
      </x:c>
      <x:c r="L754" s="14" t="n">
        <x:f>I754/K754-1</x:f>
        <x:v>-0.017125297059410904</x:v>
      </x:c>
      <x:c r="M754" s="8" t="n">
        <x:f>'Source Data'!G754</x:f>
        <x:v>1533</x:v>
      </x:c>
      <x:c r="N754" s="8" t="n">
        <x:f>M754*('Source Data'!H$8/'Source Data'!G$8)*EXP(F754*('Source Data'!H$7-'Source Data'!G$7))</x:f>
        <x:v>1570.7790653024738</x:v>
      </x:c>
      <x:c r="O754" s="14" t="n">
        <x:f>I754/N754-1</x:f>
        <x:v>-0.15201314467257288</x:v>
      </x:c>
      <x:c r="P754" s="2" t="str"/>
    </x:row>
    <x:row r="755">
      <x:c r="A755" s="2" t="str">
        <x:f>'Source Data'!A755</x:f>
        <x:v>711130</x:v>
      </x:c>
      <x:c r="B755" s="2" t="str">
        <x:f>'Source Data'!B755</x:f>
        <x:v>Musical Groups and Artists</x:v>
      </x:c>
      <x:c r="C755" s="13" t="n">
        <x:f>LN('Source Data'!C755/'Source Data'!C$8)</x:f>
        <x:v>-7.823436384512467</x:v>
      </x:c>
      <x:c r="D755" s="13" t="n">
        <x:f>LN('Source Data'!D755/'Source Data'!D$8)</x:f>
        <x:v>-7.88969920908606</x:v>
      </x:c>
      <x:c r="E755" s="13" t="n">
        <x:f>LN('Source Data'!E755/'Source Data'!E$8)</x:f>
        <x:v>-7.930567467013306</x:v>
      </x:c>
      <x:c r="F755" s="13" t="n">
        <x:f>SLOPE(C755:E755,'Source Data'!C$7:E$7)</x:f>
        <x:v>-0.05356554125041946</x:v>
      </x:c>
      <x:c r="G755" s="14" t="n">
        <x:f>EXP(F755)-1</x:f>
        <x:v>-0.05215618390095611</x:v>
      </x:c>
      <x:c r="H755" s="8" t="n">
        <x:f>'Source Data'!F755</x:f>
        <x:v>6342</x:v>
      </x:c>
      <x:c r="I755" s="8" t="n">
        <x:f>'Source Data'!H755</x:f>
        <x:v>5464</x:v>
      </x:c>
      <x:c r="J755" s="14" t="n">
        <x:f>I755/H755-1</x:f>
        <x:v>-0.1384421318196153</x:v>
      </x:c>
      <x:c r="K755" s="8" t="n">
        <x:f>H755*('Source Data'!H$8/'Source Data'!F$8)*EXP(F755*('Source Data'!H$7-'Source Data'!F$7))</x:f>
        <x:v>5209.688245262723</x:v>
      </x:c>
      <x:c r="L755" s="14" t="n">
        <x:f>I755/K755-1</x:f>
        <x:v>0.04881515798349878</x:v>
      </x:c>
      <x:c r="M755" s="8" t="n">
        <x:f>'Source Data'!G755</x:f>
        <x:v>5998</x:v>
      </x:c>
      <x:c r="N755" s="8" t="n">
        <x:f>M755*('Source Data'!H$8/'Source Data'!G$8)*EXP(F755*('Source Data'!H$7-'Source Data'!G$7))</x:f>
        <x:v>5187.473614286292</x:v>
      </x:c>
      <x:c r="O755" s="14" t="n">
        <x:f>I755/N755-1</x:f>
        <x:v>0.053306562360559306</x:v>
      </x:c>
      <x:c r="P755" s="2" t="str"/>
    </x:row>
    <x:row r="756">
      <x:c r="A756" s="2" t="str">
        <x:f>'Source Data'!A756</x:f>
        <x:v>711190</x:v>
      </x:c>
      <x:c r="B756" s="2" t="str">
        <x:f>'Source Data'!B756</x:f>
        <x:v>Other Performing Arts Companies</x:v>
      </x:c>
      <x:c r="C756" s="13" t="n">
        <x:f>LN('Source Data'!C756/'Source Data'!C$8)</x:f>
        <x:v>-10.851142962698972</x:v>
      </x:c>
      <x:c r="D756" s="13" t="n">
        <x:f>LN('Source Data'!D756/'Source Data'!D$8)</x:f>
        <x:v>-10.933308988171706</x:v>
      </x:c>
      <x:c r="E756" s="13" t="n">
        <x:f>LN('Source Data'!E756/'Source Data'!E$8)</x:f>
        <x:v>-10.86311702505596</x:v>
      </x:c>
      <x:c r="F756" s="13" t="n">
        <x:f>SLOPE(C756:E756,'Source Data'!C$7:E$7)</x:f>
        <x:v>-0.005987031178493751</x:v>
      </x:c>
      <x:c r="G756" s="14" t="n">
        <x:f>EXP(F756)-1</x:f>
        <x:v>-0.005969144620922462</x:v>
      </x:c>
      <x:c r="H756" s="8" t="n">
        <x:f>'Source Data'!F756</x:f>
        <x:v>482</x:v>
      </x:c>
      <x:c r="I756" s="8" t="n">
        <x:f>'Source Data'!H756</x:f>
        <x:v>769</x:v>
      </x:c>
      <x:c r="J756" s="14" t="n">
        <x:f>I756/H756-1</x:f>
        <x:v>0.595435684647303</x:v>
      </x:c>
      <x:c r="K756" s="8" t="n">
        <x:f>H756*('Source Data'!H$8/'Source Data'!F$8)*EXP(F756*('Source Data'!H$7-'Source Data'!F$7))</x:f>
        <x:v>478.94415043099985</x:v>
      </x:c>
      <x:c r="L756" s="14" t="n">
        <x:f>I756/K756-1</x:f>
        <x:v>0.6056151835406698</x:v>
      </x:c>
      <x:c r="M756" s="8" t="n">
        <x:f>'Source Data'!G756</x:f>
        <x:v>516</x:v>
      </x:c>
      <x:c r="N756" s="8" t="n">
        <x:f>M756*('Source Data'!H$8/'Source Data'!G$8)*EXP(F756*('Source Data'!H$7-'Source Data'!G$7))</x:f>
        <x:v>514.7405640003258</x:v>
      </x:c>
      <x:c r="O756" s="14" t="n">
        <x:f>I756/N756-1</x:f>
        <x:v>0.4939564778491272</x:v>
      </x:c>
      <x:c r="P756" s="2" t="str"/>
    </x:row>
    <x:row r="757">
      <x:c r="A757" s="2" t="str">
        <x:f>'Source Data'!A757</x:f>
        <x:v>711211</x:v>
      </x:c>
      <x:c r="B757" s="2" t="str">
        <x:f>'Source Data'!B757</x:f>
        <x:v>Sports Teams and Clubs</x:v>
      </x:c>
      <x:c r="C757" s="13" t="n">
        <x:f>LN('Source Data'!C757/'Source Data'!C$8)</x:f>
        <x:v>-7.245017469613948</x:v>
      </x:c>
      <x:c r="D757" s="13" t="n">
        <x:f>LN('Source Data'!D757/'Source Data'!D$8)</x:f>
        <x:v>-7.148248956426713</x:v>
      </x:c>
      <x:c r="E757" s="13" t="n">
        <x:f>LN('Source Data'!E757/'Source Data'!E$8)</x:f>
        <x:v>-7.05778095064806</x:v>
      </x:c>
      <x:c r="F757" s="13" t="n">
        <x:f>SLOPE(C757:E757,'Source Data'!C$7:E$7)</x:f>
        <x:v>0.09361825948294422</x:v>
      </x:c>
      <x:c r="G757" s="14" t="n">
        <x:f>EXP(F757)-1</x:f>
        <x:v>0.09814046118582742</x:v>
      </x:c>
      <x:c r="H757" s="8" t="n">
        <x:f>'Source Data'!F757</x:f>
        <x:v>9761</x:v>
      </x:c>
      <x:c r="I757" s="8" t="n">
        <x:f>'Source Data'!H757</x:f>
        <x:v>14479</x:v>
      </x:c>
      <x:c r="J757" s="14" t="n">
        <x:f>I757/H757-1</x:f>
        <x:v>0.48335211556193003</x:v>
      </x:c>
      <x:c r="K757" s="8" t="n">
        <x:f>H757*('Source Data'!H$8/'Source Data'!F$8)*EXP(F757*('Source Data'!H$7-'Source Data'!F$7))</x:f>
        <x:v>14446.55383551256</x:v>
      </x:c>
      <x:c r="L757" s="14" t="n">
        <x:f>I757/K757-1</x:f>
        <x:v>0.0022459449400091813</x:v>
      </x:c>
      <x:c r="M757" s="8" t="n">
        <x:f>'Source Data'!G757</x:f>
        <x:v>11840</x:v>
      </x:c>
      <x:c r="N757" s="8" t="n">
        <x:f>M757*('Source Data'!H$8/'Source Data'!G$8)*EXP(F757*('Source Data'!H$7-'Source Data'!G$7))</x:f>
        <x:v>15924.451377468751</x:v>
      </x:c>
      <x:c r="O757" s="14" t="n">
        <x:f>I757/N757-1</x:f>
        <x:v>-0.09076930458740307</x:v>
      </x:c>
      <x:c r="P757" s="2" t="str"/>
    </x:row>
    <x:row r="758">
      <x:c r="A758" s="2" t="str">
        <x:f>'Source Data'!A758</x:f>
        <x:v>711212</x:v>
      </x:c>
      <x:c r="B758" s="2" t="str">
        <x:f>'Source Data'!B758</x:f>
        <x:v>Racetracks</x:v>
      </x:c>
      <x:c r="C758" s="13" t="n">
        <x:f>LN('Source Data'!C758/'Source Data'!C$8)</x:f>
        <x:v>-8.8024025722438</x:v>
      </x:c>
      <x:c r="D758" s="13" t="n">
        <x:f>LN('Source Data'!D758/'Source Data'!D$8)</x:f>
        <x:v>-8.761522298946113</x:v>
      </x:c>
      <x:c r="E758" s="13" t="n">
        <x:f>LN('Source Data'!E758/'Source Data'!E$8)</x:f>
        <x:v>-8.880302319065196</x:v>
      </x:c>
      <x:c r="F758" s="13" t="n">
        <x:f>SLOPE(C758:E758,'Source Data'!C$7:E$7)</x:f>
        <x:v>-0.03894987341069811</x:v>
      </x:c>
      <x:c r="G758" s="14" t="n">
        <x:f>EXP(F758)-1</x:f>
        <x:v>-0.038201080362521456</x:v>
      </x:c>
      <x:c r="H758" s="8" t="n">
        <x:f>'Source Data'!F758</x:f>
        <x:v>1755</x:v>
      </x:c>
      <x:c r="I758" s="8" t="n">
        <x:f>'Source Data'!H758</x:f>
        <x:v>1635</x:v>
      </x:c>
      <x:c r="J758" s="14" t="n">
        <x:f>I758/H758-1</x:f>
        <x:v>-0.06837606837606836</x:v>
      </x:c>
      <x:c r="K758" s="8" t="n">
        <x:f>H758*('Source Data'!H$8/'Source Data'!F$8)*EXP(F758*('Source Data'!H$7-'Source Data'!F$7))</x:f>
        <x:v>1528.454919124418</x:v>
      </x:c>
      <x:c r="L758" s="14" t="n">
        <x:f>I758/K758-1</x:f>
        <x:v>0.06970770255796421</x:v>
      </x:c>
      <x:c r="M758" s="8" t="n">
        <x:f>'Source Data'!G758</x:f>
        <x:v>1750</x:v>
      </x:c>
      <x:c r="N758" s="8" t="n">
        <x:f>M758*('Source Data'!H$8/'Source Data'!G$8)*EXP(F758*('Source Data'!H$7-'Source Data'!G$7))</x:f>
        <x:v>1581.3572705393685</x:v>
      </x:c>
      <x:c r="O758" s="14" t="n">
        <x:f>I758/N758-1</x:f>
        <x:v>0.03392195455131719</x:v>
      </x:c>
      <x:c r="P758" s="2" t="str"/>
    </x:row>
    <x:row r="759">
      <x:c r="A759" s="2" t="str">
        <x:f>'Source Data'!A759</x:f>
        <x:v>711219</x:v>
      </x:c>
      <x:c r="B759" s="2" t="str">
        <x:f>'Source Data'!B759</x:f>
        <x:v>Other Spectator Sports</x:v>
      </x:c>
      <x:c r="C759" s="13" t="n">
        <x:f>LN('Source Data'!C759/'Source Data'!C$8)</x:f>
        <x:v>-8.674587814215661</x:v>
      </x:c>
      <x:c r="D759" s="13" t="n">
        <x:f>LN('Source Data'!D759/'Source Data'!D$8)</x:f>
        <x:v>-8.692354770223542</x:v>
      </x:c>
      <x:c r="E759" s="13" t="n">
        <x:f>LN('Source Data'!E759/'Source Data'!E$8)</x:f>
        <x:v>-8.786310531014129</x:v>
      </x:c>
      <x:c r="F759" s="13" t="n">
        <x:f>SLOPE(C759:E759,'Source Data'!C$7:E$7)</x:f>
        <x:v>-0.05586135839923401</x:v>
      </x:c>
      <x:c r="G759" s="14" t="n">
        <x:f>EXP(F759)-1</x:f>
        <x:v>-0.05432976396245981</x:v>
      </x:c>
      <x:c r="H759" s="8" t="n">
        <x:f>'Source Data'!F759</x:f>
        <x:v>2403</x:v>
      </x:c>
      <x:c r="I759" s="8" t="n">
        <x:f>'Source Data'!H759</x:f>
        <x:v>2025</x:v>
      </x:c>
      <x:c r="J759" s="14" t="n">
        <x:f>I759/H759-1</x:f>
        <x:v>-0.1573033707865169</x:v>
      </x:c>
      <x:c r="K759" s="8" t="n">
        <x:f>H759*('Source Data'!H$8/'Source Data'!F$8)*EXP(F759*('Source Data'!H$7-'Source Data'!F$7))</x:f>
        <x:v>1955.9197208426378</x:v>
      </x:c>
      <x:c r="L759" s="14" t="n">
        <x:f>I759/K759-1</x:f>
        <x:v>0.03531856569634728</x:v>
      </x:c>
      <x:c r="M759" s="8" t="n">
        <x:f>'Source Data'!G759</x:f>
        <x:v>2543</x:v>
      </x:c>
      <x:c r="N759" s="8" t="n">
        <x:f>M759*('Source Data'!H$8/'Source Data'!G$8)*EXP(F759*('Source Data'!H$7-'Source Data'!G$7))</x:f>
        <x:v>2184.2614315466913</x:v>
      </x:c>
      <x:c r="O759" s="14" t="n">
        <x:f>I759/N759-1</x:f>
        <x:v>-0.07291317295929955</x:v>
      </x:c>
      <x:c r="P759" s="2" t="str"/>
    </x:row>
    <x:row r="760">
      <x:c r="A760" s="2" t="str">
        <x:f>'Source Data'!A760</x:f>
        <x:v>711310</x:v>
      </x:c>
      <x:c r="B760" s="2" t="str">
        <x:f>'Source Data'!B760</x:f>
        <x:v>Promoters of Performing Arts, Sports, and Similar Events with Facilities</x:v>
      </x:c>
      <x:c r="C760" s="13" t="n">
        <x:f>LN('Source Data'!C760/'Source Data'!C$8)</x:f>
        <x:v>-7.21975113354255</x:v>
      </x:c>
      <x:c r="D760" s="13" t="n">
        <x:f>LN('Source Data'!D760/'Source Data'!D$8)</x:f>
        <x:v>-7.155145836530504</x:v>
      </x:c>
      <x:c r="E760" s="13" t="n">
        <x:f>LN('Source Data'!E760/'Source Data'!E$8)</x:f>
        <x:v>-7.179338276750637</x:v>
      </x:c>
      <x:c r="F760" s="13" t="n">
        <x:f>SLOPE(C760:E760,'Source Data'!C$7:E$7)</x:f>
        <x:v>0.020206428395956433</x:v>
      </x:c>
      <x:c r="G760" s="14" t="n">
        <x:f>EXP(F760)-1</x:f>
        <x:v>0.02041196029118386</x:v>
      </x:c>
      <x:c r="H760" s="8" t="n">
        <x:f>'Source Data'!F760</x:f>
        <x:v>12134</x:v>
      </x:c>
      <x:c r="I760" s="8" t="n">
        <x:f>'Source Data'!H760</x:f>
        <x:v>23047</x:v>
      </x:c>
      <x:c r="J760" s="14" t="n">
        <x:f>I760/H760-1</x:f>
        <x:v>0.8993736607878688</x:v>
      </x:c>
      <x:c r="K760" s="8" t="n">
        <x:f>H760*('Source Data'!H$8/'Source Data'!F$8)*EXP(F760*('Source Data'!H$7-'Source Data'!F$7))</x:f>
        <x:v>13388.888522146011</x:v>
      </x:c>
      <x:c r="L760" s="14" t="n">
        <x:f>I760/K760-1</x:f>
        <x:v>0.7213527442460144</x:v>
      </x:c>
      <x:c r="M760" s="8" t="n">
        <x:f>'Source Data'!G760</x:f>
        <x:v>16266</x:v>
      </x:c>
      <x:c r="N760" s="8" t="n">
        <x:f>M760*('Source Data'!H$8/'Source Data'!G$8)*EXP(F760*('Source Data'!H$7-'Source Data'!G$7))</x:f>
        <x:v>17552.803267498417</x:v>
      </x:c>
      <x:c r="O760" s="14" t="n">
        <x:f>I760/N760-1</x:f>
        <x:v>0.31300964573988543</x:v>
      </x:c>
      <x:c r="P760" s="2" t="str"/>
    </x:row>
    <x:row r="761">
      <x:c r="A761" s="2" t="str">
        <x:f>'Source Data'!A761</x:f>
        <x:v>711320</x:v>
      </x:c>
      <x:c r="B761" s="2" t="str">
        <x:f>'Source Data'!B761</x:f>
        <x:v>Promoters of Performing Arts, Sports, and Similar Events without Facilities</x:v>
      </x:c>
      <x:c r="C761" s="13" t="n">
        <x:f>LN('Source Data'!C761/'Source Data'!C$8)</x:f>
        <x:v>-7.876571639266079</x:v>
      </x:c>
      <x:c r="D761" s="13" t="n">
        <x:f>LN('Source Data'!D761/'Source Data'!D$8)</x:f>
        <x:v>-7.750477317870047</x:v>
      </x:c>
      <x:c r="E761" s="13" t="n">
        <x:f>LN('Source Data'!E761/'Source Data'!E$8)</x:f>
        <x:v>-7.711281092762073</x:v>
      </x:c>
      <x:c r="F761" s="13" t="n">
        <x:f>SLOPE(C761:E761,'Source Data'!C$7:E$7)</x:f>
        <x:v>0.0826452732520031</x:v>
      </x:c>
      <x:c r="G761" s="14" t="n">
        <x:f>EXP(F761)-1</x:f>
        <x:v>0.08615645145820361</x:v>
      </x:c>
      <x:c r="H761" s="8" t="n">
        <x:f>'Source Data'!F761</x:f>
        <x:v>5371</x:v>
      </x:c>
      <x:c r="I761" s="8" t="n">
        <x:f>'Source Data'!H761</x:f>
        <x:v>5914</x:v>
      </x:c>
      <x:c r="J761" s="14" t="n">
        <x:f>I761/H761-1</x:f>
        <x:v>0.10109849190094944</x:v>
      </x:c>
      <x:c r="K761" s="8" t="n">
        <x:f>H761*('Source Data'!H$8/'Source Data'!F$8)*EXP(F761*('Source Data'!H$7-'Source Data'!F$7))</x:f>
        <x:v>7607.869780967597</x:v>
      </x:c>
      <x:c r="L761" s="14" t="n">
        <x:f>I761/K761-1</x:f>
        <x:v>-0.222647052293811</x:v>
      </x:c>
      <x:c r="M761" s="8" t="n">
        <x:f>'Source Data'!G761</x:f>
        <x:v>5240</x:v>
      </x:c>
      <x:c r="N761" s="8" t="n">
        <x:f>M761*('Source Data'!H$8/'Source Data'!G$8)*EXP(F761*('Source Data'!H$7-'Source Data'!G$7))</x:f>
        <x:v>6819.421612138243</x:v>
      </x:c>
      <x:c r="O761" s="14" t="n">
        <x:f>I761/N761-1</x:f>
        <x:v>-0.13277102716843847</x:v>
      </x:c>
      <x:c r="P761" s="2" t="str"/>
    </x:row>
    <x:row r="762">
      <x:c r="A762" s="2" t="str">
        <x:f>'Source Data'!A762</x:f>
        <x:v>711410</x:v>
      </x:c>
      <x:c r="B762" s="2" t="str">
        <x:f>'Source Data'!B762</x:f>
        <x:v>Agents and Managers for Artists, Athletes, Entertainers, and Other Public Figures</x:v>
      </x:c>
      <x:c r="C762" s="13" t="n">
        <x:f>LN('Source Data'!C762/'Source Data'!C$8)</x:f>
        <x:v>-7.057318241585875</x:v>
      </x:c>
      <x:c r="D762" s="13" t="n">
        <x:f>LN('Source Data'!D762/'Source Data'!D$8)</x:f>
        <x:v>-6.925001008265193</x:v>
      </x:c>
      <x:c r="E762" s="13" t="n">
        <x:f>LN('Source Data'!E762/'Source Data'!E$8)</x:f>
        <x:v>-6.921569283713412</x:v>
      </x:c>
      <x:c r="F762" s="13" t="n">
        <x:f>SLOPE(C762:E762,'Source Data'!C$7:E$7)</x:f>
        <x:v>0.06787447893623177</x:v>
      </x:c>
      <x:c r="G762" s="14" t="n">
        <x:f>EXP(F762)-1</x:f>
        <x:v>0.0702309635183711</x:v>
      </x:c>
      <x:c r="H762" s="8" t="n">
        <x:f>'Source Data'!F762</x:f>
        <x:v>14714</x:v>
      </x:c>
      <x:c r="I762" s="8" t="n">
        <x:f>'Source Data'!H762</x:f>
        <x:v>12606</x:v>
      </x:c>
      <x:c r="J762" s="14" t="n">
        <x:f>I762/H762-1</x:f>
        <x:v>-0.14326491776539352</x:v>
      </x:c>
      <x:c r="K762" s="8" t="n">
        <x:f>H762*('Source Data'!H$8/'Source Data'!F$8)*EXP(F762*('Source Data'!H$7-'Source Data'!F$7))</x:f>
        <x:v>19646.227641510908</x:v>
      </x:c>
      <x:c r="L762" s="14" t="n">
        <x:f>I762/K762-1</x:f>
        <x:v>-0.35835010007903345</x:v>
      </x:c>
      <x:c r="M762" s="8" t="n">
        <x:f>'Source Data'!G762</x:f>
        <x:v>14952</x:v>
      </x:c>
      <x:c r="N762" s="8" t="n">
        <x:f>M762*('Source Data'!H$8/'Source Data'!G$8)*EXP(F762*('Source Data'!H$7-'Source Data'!G$7))</x:f>
        <x:v>18615.337720171512</x:v>
      </x:c>
      <x:c r="O762" s="14" t="n">
        <x:f>I762/N762-1</x:f>
        <x:v>-0.322816475881596</x:v>
      </x:c>
      <x:c r="P762" s="2" t="str"/>
    </x:row>
    <x:row r="763">
      <x:c r="A763" s="2" t="str">
        <x:f>'Source Data'!A763</x:f>
        <x:v>711510</x:v>
      </x:c>
      <x:c r="B763" s="2" t="str">
        <x:f>'Source Data'!B763</x:f>
        <x:v>Independent Artists, Writers, and Performers</x:v>
      </x:c>
      <x:c r="C763" s="13" t="n">
        <x:f>LN('Source Data'!C763/'Source Data'!C$8)</x:f>
        <x:v>-6.926848984165179</x:v>
      </x:c>
      <x:c r="D763" s="13" t="n">
        <x:f>LN('Source Data'!D763/'Source Data'!D$8)</x:f>
        <x:v>-6.985904045897444</x:v>
      </x:c>
      <x:c r="E763" s="13" t="n">
        <x:f>LN('Source Data'!E763/'Source Data'!E$8)</x:f>
        <x:v>-6.933702276915945</x:v>
      </x:c>
      <x:c r="F763" s="13" t="n">
        <x:f>SLOPE(C763:E763,'Source Data'!C$7:E$7)</x:f>
        <x:v>-0.0034266463753827026</x:v>
      </x:c>
      <x:c r="G763" s="14" t="n">
        <x:f>EXP(F763)-1</x:f>
        <x:v>-0.003420782122843913</x:v>
      </x:c>
      <x:c r="H763" s="8" t="n">
        <x:f>'Source Data'!F763</x:f>
        <x:v>17833</x:v>
      </x:c>
      <x:c r="I763" s="8" t="n">
        <x:f>'Source Data'!H763</x:f>
        <x:v>17363</x:v>
      </x:c>
      <x:c r="J763" s="14" t="n">
        <x:f>I763/H763-1</x:f>
        <x:v>-0.026355632815566632</x:v>
      </x:c>
      <x:c r="K763" s="8" t="n">
        <x:f>H763*('Source Data'!H$8/'Source Data'!F$8)*EXP(F763*('Source Data'!H$7-'Source Data'!F$7))</x:f>
        <x:v>17902.35186044846</x:v>
      </x:c>
      <x:c r="L763" s="14" t="n">
        <x:f>I763/K763-1</x:f>
        <x:v>-0.030127430443373515</x:v>
      </x:c>
      <x:c r="M763" s="8" t="n">
        <x:f>'Source Data'!G763</x:f>
        <x:v>19295</x:v>
      </x:c>
      <x:c r="N763" s="8" t="n">
        <x:f>M763*('Source Data'!H$8/'Source Data'!G$8)*EXP(F763*('Source Data'!H$7-'Source Data'!G$7))</x:f>
        <x:v>19396.32079670465</x:v>
      </x:c>
      <x:c r="O763" s="14" t="n">
        <x:f>I763/N763-1</x:f>
        <x:v>-0.10483023136274916</x:v>
      </x:c>
      <x:c r="P763" s="2" t="str"/>
    </x:row>
    <x:row r="764">
      <x:c r="A764" s="2" t="str">
        <x:f>'Source Data'!A764</x:f>
        <x:v>712110</x:v>
      </x:c>
      <x:c r="B764" s="2" t="str">
        <x:f>'Source Data'!B764</x:f>
        <x:v>Museums</x:v>
      </x:c>
      <x:c r="C764" s="13" t="n">
        <x:f>LN('Source Data'!C764/'Source Data'!C$8)</x:f>
        <x:v>-7.07180591057743</x:v>
      </x:c>
      <x:c r="D764" s="13" t="n">
        <x:f>LN('Source Data'!D764/'Source Data'!D$8)</x:f>
        <x:v>-7.062187801650207</x:v>
      </x:c>
      <x:c r="E764" s="13" t="n">
        <x:f>LN('Source Data'!E764/'Source Data'!E$8)</x:f>
        <x:v>-7.0731228982374175</x:v>
      </x:c>
      <x:c r="F764" s="13" t="n">
        <x:f>SLOPE(C764:E764,'Source Data'!C$7:E$7)</x:f>
        <x:v>-0.0006584938299938337</x:v>
      </x:c>
      <x:c r="G764" s="14" t="n">
        <x:f>EXP(F764)-1</x:f>
        <x:v>-0.0006582770705125807</x:v>
      </x:c>
      <x:c r="H764" s="8" t="n">
        <x:f>'Source Data'!F764</x:f>
        <x:v>10527</x:v>
      </x:c>
      <x:c r="I764" s="8" t="n">
        <x:f>'Source Data'!H764</x:f>
        <x:v>13654</x:v>
      </x:c>
      <x:c r="J764" s="14" t="n">
        <x:f>I764/H764-1</x:f>
        <x:v>0.29704569203001796</x:v>
      </x:c>
      <x:c r="K764" s="8" t="n">
        <x:f>H764*('Source Data'!H$8/'Source Data'!F$8)*EXP(F764*('Source Data'!H$7-'Source Data'!F$7))</x:f>
        <x:v>10685.604000341335</x:v>
      </x:c>
      <x:c r="L764" s="14" t="n">
        <x:f>I764/K764-1</x:f>
        <x:v>0.27779393654900986</x:v>
      </x:c>
      <x:c r="M764" s="8" t="n">
        <x:f>'Source Data'!G764</x:f>
        <x:v>12073</x:v>
      </x:c>
      <x:c r="N764" s="8" t="n">
        <x:f>M764*('Source Data'!H$8/'Source Data'!G$8)*EXP(F764*('Source Data'!H$7-'Source Data'!G$7))</x:f>
        <x:v>12237.602888062065</x:v>
      </x:c>
      <x:c r="O764" s="14" t="n">
        <x:f>I764/N764-1</x:f>
        <x:v>0.11574138537537015</x:v>
      </x:c>
      <x:c r="P764" s="2" t="str"/>
    </x:row>
    <x:row r="765">
      <x:c r="A765" s="2" t="str">
        <x:f>'Source Data'!A765</x:f>
        <x:v>712120</x:v>
      </x:c>
      <x:c r="B765" s="2" t="str">
        <x:f>'Source Data'!B765</x:f>
        <x:v>Historical Sites</x:v>
      </x:c>
      <x:c r="C765" s="13" t="n">
        <x:f>LN('Source Data'!C765/'Source Data'!C$8)</x:f>
        <x:v>-10.558958406278876</x:v>
      </x:c>
      <x:c r="D765" s="13" t="n">
        <x:f>LN('Source Data'!D765/'Source Data'!D$8)</x:f>
        <x:v>-10.552408786887824</x:v>
      </x:c>
      <x:c r="E765" s="13" t="n">
        <x:f>LN('Source Data'!E765/'Source Data'!E$8)</x:f>
        <x:v>-10.514191327363461</x:v>
      </x:c>
      <x:c r="F765" s="13" t="n">
        <x:f>SLOPE(C765:E765,'Source Data'!C$7:E$7)</x:f>
        <x:v>0.022383539457707435</x:v>
      </x:c>
      <x:c r="G765" s="14" t="n">
        <x:f>EXP(F765)-1</x:f>
        <x:v>0.02263593049410839</x:v>
      </x:c>
      <x:c r="H765" s="8" t="n">
        <x:f>'Source Data'!F765</x:f>
        <x:v>280</x:v>
      </x:c>
      <x:c r="I765" s="8" t="n">
        <x:f>'Source Data'!H765</x:f>
        <x:v>304</x:v>
      </x:c>
      <x:c r="J765" s="14" t="n">
        <x:f>I765/H765-1</x:f>
        <x:v>0.08571428571428563</x:v>
      </x:c>
      <x:c r="K765" s="8" t="n">
        <x:f>H765*('Source Data'!H$8/'Source Data'!F$8)*EXP(F765*('Source Data'!H$7-'Source Data'!F$7))</x:f>
        <x:v>311.65966218616984</x:v>
      </x:c>
      <x:c r="L765" s="14" t="n">
        <x:f>I765/K765-1</x:f>
        <x:v>-0.02457700856261069</x:v>
      </x:c>
      <x:c r="M765" s="8" t="n">
        <x:f>'Source Data'!G765</x:f>
        <x:v>314</x:v>
      </x:c>
      <x:c r="N765" s="8" t="n">
        <x:f>M765*('Source Data'!H$8/'Source Data'!G$8)*EXP(F765*('Source Data'!H$7-'Source Data'!G$7))</x:f>
        <x:v>341.06086355215075</x:v>
      </x:c>
      <x:c r="O765" s="14" t="n">
        <x:f>I765/N765-1</x:f>
        <x:v>-0.1086634894609767</x:v>
      </x:c>
      <x:c r="P765" s="2" t="str"/>
    </x:row>
    <x:row r="766">
      <x:c r="A766" s="2" t="str">
        <x:f>'Source Data'!A766</x:f>
        <x:v>712130</x:v>
      </x:c>
      <x:c r="B766" s="2" t="str">
        <x:f>'Source Data'!B766</x:f>
        <x:v>Zoos and Botanical Gardens</x:v>
      </x:c>
      <x:c r="C766" s="13" t="n">
        <x:f>LN('Source Data'!C766/'Source Data'!C$8)</x:f>
        <x:v>-7.893303764144351</x:v>
      </x:c>
      <x:c r="D766" s="13" t="n">
        <x:f>LN('Source Data'!D766/'Source Data'!D$8)</x:f>
        <x:v>-7.90999136450883</x:v>
      </x:c>
      <x:c r="E766" s="13" t="n">
        <x:f>LN('Source Data'!E766/'Source Data'!E$8)</x:f>
        <x:v>-7.856045772621451</x:v>
      </x:c>
      <x:c r="F766" s="13" t="n">
        <x:f>SLOPE(C766:E766,'Source Data'!C$7:E$7)</x:f>
        <x:v>0.01862899576144983</x:v>
      </x:c>
      <x:c r="G766" s="14" t="n">
        <x:f>EXP(F766)-1</x:f>
        <x:v>0.018803598039438096</x:v>
      </x:c>
      <x:c r="H766" s="8" t="n">
        <x:f>'Source Data'!F766</x:f>
        <x:v>5685</x:v>
      </x:c>
      <x:c r="I766" s="8" t="n">
        <x:f>'Source Data'!H766</x:f>
        <x:v>6477</x:v>
      </x:c>
      <x:c r="J766" s="14" t="n">
        <x:f>I766/H766-1</x:f>
        <x:v>0.13931398416886553</x:v>
      </x:c>
      <x:c r="K766" s="8" t="n">
        <x:f>H766*('Source Data'!H$8/'Source Data'!F$8)*EXP(F766*('Source Data'!H$7-'Source Data'!F$7))</x:f>
        <x:v>6233.482188075842</x:v>
      </x:c>
      <x:c r="L766" s="14" t="n">
        <x:f>I766/K766-1</x:f>
        <x:v>0.03906609573538011</x:v>
      </x:c>
      <x:c r="M766" s="8" t="n">
        <x:f>'Source Data'!G766</x:f>
        <x:v>6185</x:v>
      </x:c>
      <x:c r="N766" s="8" t="n">
        <x:f>M766*('Source Data'!H$8/'Source Data'!G$8)*EXP(F766*('Source Data'!H$7-'Source Data'!G$7))</x:f>
        <x:v>6642.785215428903</x:v>
      </x:c>
      <x:c r="O766" s="14" t="n">
        <x:f>I766/N766-1</x:f>
        <x:v>-0.024957184381611652</x:v>
      </x:c>
      <x:c r="P766" s="2" t="str"/>
    </x:row>
    <x:row r="767">
      <x:c r="A767" s="2" t="str">
        <x:f>'Source Data'!A767</x:f>
        <x:v>712190</x:v>
      </x:c>
      <x:c r="B767" s="2" t="str">
        <x:f>'Source Data'!B767</x:f>
        <x:v>Nature Parks and Other Similar Institutions</x:v>
      </x:c>
      <x:c r="C767" s="13" t="n">
        <x:f>LN('Source Data'!C767/'Source Data'!C$8)</x:f>
        <x:v>-9.546622650721645</x:v>
      </x:c>
      <x:c r="D767" s="13" t="n">
        <x:f>LN('Source Data'!D767/'Source Data'!D$8)</x:f>
        <x:v>-9.508494129519839</x:v>
      </x:c>
      <x:c r="E767" s="13" t="n">
        <x:f>LN('Source Data'!E767/'Source Data'!E$8)</x:f>
        <x:v>-9.49452224103547</x:v>
      </x:c>
      <x:c r="F767" s="13" t="n">
        <x:f>SLOPE(C767:E767,'Source Data'!C$7:E$7)</x:f>
        <x:v>0.026050204843087066</x:v>
      </x:c>
      <x:c r="G767" s="14" t="n">
        <x:f>EXP(F767)-1</x:f>
        <x:v>0.026392477053195362</x:v>
      </x:c>
      <x:c r="H767" s="8" t="n">
        <x:f>'Source Data'!F767</x:f>
        <x:v>1173</x:v>
      </x:c>
      <x:c r="I767" s="8" t="n">
        <x:f>'Source Data'!H767</x:f>
        <x:v>1506</x:v>
      </x:c>
      <x:c r="J767" s="14" t="n">
        <x:f>I767/H767-1</x:f>
        <x:v>0.2838874680306904</x:v>
      </x:c>
      <x:c r="K767" s="8" t="n">
        <x:f>H767*('Source Data'!H$8/'Source Data'!F$8)*EXP(F767*('Source Data'!H$7-'Source Data'!F$7))</x:f>
        <x:v>1324.9217407946537</x:v>
      </x:c>
      <x:c r="L767" s="14" t="n">
        <x:f>I767/K767-1</x:f>
        <x:v>0.1366709094053662</x:v>
      </x:c>
      <x:c r="M767" s="8" t="n">
        <x:f>'Source Data'!G767</x:f>
        <x:v>1201</x:v>
      </x:c>
      <x:c r="N767" s="8" t="n">
        <x:f>M767*('Source Data'!H$8/'Source Data'!G$8)*EXP(F767*('Source Data'!H$7-'Source Data'!G$7))</x:f>
        <x:v>1318.9322400381363</x:v>
      </x:c>
      <x:c r="O767" s="14" t="n">
        <x:f>I767/N767-1</x:f>
        <x:v>0.14183272975149563</x:v>
      </x:c>
      <x:c r="P767" s="2" t="str"/>
    </x:row>
    <x:row r="768">
      <x:c r="A768" s="2" t="str">
        <x:f>'Source Data'!A768</x:f>
        <x:v>713110</x:v>
      </x:c>
      <x:c r="B768" s="2" t="str">
        <x:f>'Source Data'!B768</x:f>
        <x:v>Amusement and Theme Parks</x:v>
      </x:c>
      <x:c r="C768" s="13" t="n">
        <x:f>LN('Source Data'!C768/'Source Data'!C$8)</x:f>
        <x:v>-5.876003918246727</x:v>
      </x:c>
      <x:c r="D768" s="13" t="n">
        <x:f>LN('Source Data'!D768/'Source Data'!D$8)</x:f>
        <x:v>-5.88097545521693</x:v>
      </x:c>
      <x:c r="E768" s="13" t="n">
        <x:f>LN('Source Data'!E768/'Source Data'!E$8)</x:f>
        <x:v>-5.835733873658482</x:v>
      </x:c>
      <x:c r="F768" s="13" t="n">
        <x:f>SLOPE(C768:E768,'Source Data'!C$7:E$7)</x:f>
        <x:v>0.020135022294122784</x:v>
      </x:c>
      <x:c r="G768" s="14" t="n">
        <x:f>EXP(F768)-1</x:f>
        <x:v>0.020339099252227433</x:v>
      </x:c>
      <x:c r="H768" s="8" t="n">
        <x:f>'Source Data'!F768</x:f>
        <x:v>38876</x:v>
      </x:c>
      <x:c r="I768" s="8" t="n">
        <x:f>'Source Data'!H768</x:f>
        <x:v>46409</x:v>
      </x:c>
      <x:c r="J768" s="14" t="n">
        <x:f>I768/H768-1</x:f>
        <x:v>0.19376993517851626</x:v>
      </x:c>
      <x:c r="K768" s="8" t="n">
        <x:f>H768*('Source Data'!H$8/'Source Data'!F$8)*EXP(F768*('Source Data'!H$7-'Source Data'!F$7))</x:f>
        <x:v>42884.27411208893</x:v>
      </x:c>
      <x:c r="L768" s="14" t="n">
        <x:f>I768/K768-1</x:f>
        <x:v>0.08219157163995128</x:v>
      </x:c>
      <x:c r="M768" s="8" t="n">
        <x:f>'Source Data'!G768</x:f>
        <x:v>43782</x:v>
      </x:c>
      <x:c r="N768" s="8" t="n">
        <x:f>M768*('Source Data'!H$8/'Source Data'!G$8)*EXP(F768*('Source Data'!H$7-'Source Data'!G$7))</x:f>
        <x:v>47235.474253045795</x:v>
      </x:c>
      <x:c r="O768" s="14" t="n">
        <x:f>I768/N768-1</x:f>
        <x:v>-0.017496897535489553</x:v>
      </x:c>
      <x:c r="P768" s="2" t="str"/>
    </x:row>
    <x:row r="769">
      <x:c r="A769" s="2" t="str">
        <x:f>'Source Data'!A769</x:f>
        <x:v>713120</x:v>
      </x:c>
      <x:c r="B769" s="2" t="str">
        <x:f>'Source Data'!B769</x:f>
        <x:v>Amusement Arcades</x:v>
      </x:c>
      <x:c r="C769" s="13" t="n">
        <x:f>LN('Source Data'!C769/'Source Data'!C$8)</x:f>
        <x:v>-8.522897160229265</x:v>
      </x:c>
      <x:c r="D769" s="13" t="n">
        <x:f>LN('Source Data'!D769/'Source Data'!D$8)</x:f>
        <x:v>-8.324535956528171</x:v>
      </x:c>
      <x:c r="E769" s="13" t="n">
        <x:f>LN('Source Data'!E769/'Source Data'!E$8)</x:f>
        <x:v>-8.321376900504793</x:v>
      </x:c>
      <x:c r="F769" s="13" t="n">
        <x:f>SLOPE(C769:E769,'Source Data'!C$7:E$7)</x:f>
        <x:v>0.10076012986223581</x:v>
      </x:c>
      <x:c r="G769" s="14" t="n">
        <x:f>EXP(F769)-1</x:f>
        <x:v>0.10601131085671112</x:v>
      </x:c>
      <x:c r="H769" s="8" t="n">
        <x:f>'Source Data'!F769</x:f>
        <x:v>2654</x:v>
      </x:c>
      <x:c r="I769" s="8" t="n">
        <x:f>'Source Data'!H769</x:f>
        <x:v>3632</x:v>
      </x:c>
      <x:c r="J769" s="14" t="n">
        <x:f>I769/H769-1</x:f>
        <x:v>0.3685003767897512</x:v>
      </x:c>
      <x:c r="K769" s="8" t="n">
        <x:f>H769*('Source Data'!H$8/'Source Data'!F$8)*EXP(F769*('Source Data'!H$7-'Source Data'!F$7))</x:f>
        <x:v>4041.825557012405</x:v>
      </x:c>
      <x:c r="L769" s="14" t="n">
        <x:f>I769/K769-1</x:f>
        <x:v>-0.10139615162296511</x:v>
      </x:c>
      <x:c r="M769" s="8" t="n">
        <x:f>'Source Data'!G769</x:f>
        <x:v>3221</x:v>
      </x:c>
      <x:c r="N769" s="8" t="n">
        <x:f>M769*('Source Data'!H$8/'Source Data'!G$8)*EXP(F769*('Source Data'!H$7-'Source Data'!G$7))</x:f>
        <x:v>4425.970615319631</x:v>
      </x:c>
      <x:c r="O769" s="14" t="n">
        <x:f>I769/N769-1</x:f>
        <x:v>-0.17938903899891634</x:v>
      </x:c>
      <x:c r="P769" s="2" t="str"/>
    </x:row>
    <x:row r="770">
      <x:c r="A770" s="2" t="str">
        <x:f>'Source Data'!A770</x:f>
        <x:v>713210</x:v>
      </x:c>
      <x:c r="B770" s="2" t="str">
        <x:f>'Source Data'!B770</x:f>
        <x:v>Casinos (except Casino Hotels)</x:v>
      </x:c>
      <x:c r="C770" s="13" t="n">
        <x:f>LN('Source Data'!C770/'Source Data'!C$8)</x:f>
        <x:v>-7.080916458933522</x:v>
      </x:c>
      <x:c r="D770" s="13" t="n">
        <x:f>LN('Source Data'!D770/'Source Data'!D$8)</x:f>
        <x:v>-7.127072302112312</x:v>
      </x:c>
      <x:c r="E770" s="13" t="n">
        <x:f>LN('Source Data'!E770/'Source Data'!E$8)</x:f>
        <x:v>-7.125614505110352</x:v>
      </x:c>
      <x:c r="F770" s="13" t="n">
        <x:f>SLOPE(C770:E770,'Source Data'!C$7:E$7)</x:f>
        <x:v>-0.022349023088415354</x:v>
      </x:c>
      <x:c r="G770" s="14" t="n">
        <x:f>EXP(F770)-1</x:f>
        <x:v>-0.022101133800568884</x:v>
      </x:c>
      <x:c r="H770" s="8" t="n">
        <x:f>'Source Data'!F770</x:f>
        <x:v>7651</x:v>
      </x:c>
      <x:c r="I770" s="8" t="n">
        <x:f>'Source Data'!H770</x:f>
        <x:v>8588</x:v>
      </x:c>
      <x:c r="J770" s="14" t="n">
        <x:f>I770/H770-1</x:f>
        <x:v>0.12246765128741344</x:v>
      </x:c>
      <x:c r="K770" s="8" t="n">
        <x:f>H770*('Source Data'!H$8/'Source Data'!F$8)*EXP(F770*('Source Data'!H$7-'Source Data'!F$7))</x:f>
        <x:v>7120.858336199812</x:v>
      </x:c>
      <x:c r="L770" s="14" t="n">
        <x:f>I770/K770-1</x:f>
        <x:v>0.20603438441427513</x:v>
      </x:c>
      <x:c r="M770" s="8" t="n">
        <x:f>'Source Data'!G770</x:f>
        <x:v>9914</x:v>
      </x:c>
      <x:c r="N770" s="8" t="n">
        <x:f>M770*('Source Data'!H$8/'Source Data'!G$8)*EXP(F770*('Source Data'!H$7-'Source Data'!G$7))</x:f>
        <x:v>9416.0734727776</x:v>
      </x:c>
      <x:c r="O770" s="14" t="n">
        <x:f>I770/N770-1</x:f>
        <x:v>-0.08794254581504779</x:v>
      </x:c>
      <x:c r="P770" s="2" t="str"/>
    </x:row>
    <x:row r="771">
      <x:c r="A771" s="2" t="str">
        <x:f>'Source Data'!A771</x:f>
        <x:v>713290</x:v>
      </x:c>
      <x:c r="B771" s="2" t="str">
        <x:f>'Source Data'!B771</x:f>
        <x:v>Other Gambling Industries</x:v>
      </x:c>
      <x:c r="C771" s="13" t="n">
        <x:f>LN('Source Data'!C771/'Source Data'!C$8)</x:f>
        <x:v>-7.981645404824651</x:v>
      </x:c>
      <x:c r="D771" s="13" t="n">
        <x:f>LN('Source Data'!D771/'Source Data'!D$8)</x:f>
        <x:v>-8.015020630939993</x:v>
      </x:c>
      <x:c r="E771" s="13" t="n">
        <x:f>LN('Source Data'!E771/'Source Data'!E$8)</x:f>
        <x:v>-8.004833581711296</x:v>
      </x:c>
      <x:c r="F771" s="13" t="n">
        <x:f>SLOPE(C771:E771,'Source Data'!C$7:E$7)</x:f>
        <x:v>-0.011594088443322548</x:v>
      </x:c>
      <x:c r="G771" s="14" t="n">
        <x:f>EXP(F771)-1</x:f>
        <x:v>-0.011527136000559324</x:v>
      </x:c>
      <x:c r="H771" s="8" t="n">
        <x:f>'Source Data'!F771</x:f>
        <x:v>5125</x:v>
      </x:c>
      <x:c r="I771" s="8" t="n">
        <x:f>'Source Data'!H771</x:f>
        <x:v>6788</x:v>
      </x:c>
      <x:c r="J771" s="14" t="n">
        <x:f>I771/H771-1</x:f>
        <x:v>0.32448780487804885</x:v>
      </x:c>
      <x:c r="K771" s="8" t="n">
        <x:f>H771*('Source Data'!H$8/'Source Data'!F$8)*EXP(F771*('Source Data'!H$7-'Source Data'!F$7))</x:f>
        <x:v>4979.563200018865</x:v>
      </x:c>
      <x:c r="L771" s="14" t="n">
        <x:f>I771/K771-1</x:f>
        <x:v>0.3631717737761182</x:v>
      </x:c>
      <x:c r="M771" s="8" t="n">
        <x:f>'Source Data'!G771</x:f>
        <x:v>5971</x:v>
      </x:c>
      <x:c r="N771" s="8" t="n">
        <x:f>M771*('Source Data'!H$8/'Source Data'!G$8)*EXP(F771*('Source Data'!H$7-'Source Data'!G$7))</x:f>
        <x:v>5857.070095196882</x:v>
      </x:c>
      <x:c r="O771" s="14" t="n">
        <x:f>I771/N771-1</x:f>
        <x:v>0.15894122653005827</x:v>
      </x:c>
      <x:c r="P771" s="2" t="str"/>
    </x:row>
    <x:row r="772">
      <x:c r="A772" s="2" t="str">
        <x:f>'Source Data'!A772</x:f>
        <x:v>713910</x:v>
      </x:c>
      <x:c r="B772" s="2" t="str">
        <x:f>'Source Data'!B772</x:f>
        <x:v>Golf Courses and Country Clubs</x:v>
      </x:c>
      <x:c r="C772" s="13" t="n">
        <x:f>LN('Source Data'!C772/'Source Data'!C$8)</x:f>
        <x:v>-6.054696249099685</x:v>
      </x:c>
      <x:c r="D772" s="13" t="n">
        <x:f>LN('Source Data'!D772/'Source Data'!D$8)</x:f>
        <x:v>-6.0699980033913725</x:v>
      </x:c>
      <x:c r="E772" s="13" t="n">
        <x:f>LN('Source Data'!E772/'Source Data'!E$8)</x:f>
        <x:v>-6.082814807776718</x:v>
      </x:c>
      <x:c r="F772" s="13" t="n">
        <x:f>SLOPE(C772:E772,'Source Data'!C$7:E$7)</x:f>
        <x:v>-0.014059279338516806</x:v>
      </x:c>
      <x:c r="G772" s="14" t="n">
        <x:f>EXP(F772)-1</x:f>
        <x:v>-0.013960909214716155</x:v>
      </x:c>
      <x:c r="H772" s="8" t="n">
        <x:f>'Source Data'!F772</x:f>
        <x:v>33148</x:v>
      </x:c>
      <x:c r="I772" s="8" t="n">
        <x:f>'Source Data'!H772</x:f>
        <x:v>40061</x:v>
      </x:c>
      <x:c r="J772" s="14" t="n">
        <x:f>I772/H772-1</x:f>
        <x:v>0.208549535416918</x:v>
      </x:c>
      <x:c r="K772" s="8" t="n">
        <x:f>H772*('Source Data'!H$8/'Source Data'!F$8)*EXP(F772*('Source Data'!H$7-'Source Data'!F$7))</x:f>
        <x:v>31891.300810373155</x:v>
      </x:c>
      <x:c r="L772" s="14" t="n">
        <x:f>I772/K772-1</x:f>
        <x:v>0.256173281805097</x:v>
      </x:c>
      <x:c r="M772" s="8" t="n">
        <x:f>'Source Data'!G772</x:f>
        <x:v>34832</x:v>
      </x:c>
      <x:c r="N772" s="8" t="n">
        <x:f>M772*('Source Data'!H$8/'Source Data'!G$8)*EXP(F772*('Source Data'!H$7-'Source Data'!G$7))</x:f>
        <x:v>33915.63132153657</x:v>
      </x:c>
      <x:c r="O772" s="14" t="n">
        <x:f>I772/N772-1</x:f>
        <x:v>0.18119576251441005</x:v>
      </x:c>
      <x:c r="P772" s="2" t="str"/>
    </x:row>
    <x:row r="773">
      <x:c r="A773" s="2" t="str">
        <x:f>'Source Data'!A773</x:f>
        <x:v>713920</x:v>
      </x:c>
      <x:c r="B773" s="2" t="str">
        <x:f>'Source Data'!B773</x:f>
        <x:v>Skiing Facilities</x:v>
      </x:c>
      <x:c r="C773" s="13" t="n">
        <x:f>LN('Source Data'!C773/'Source Data'!C$8)</x:f>
        <x:v>-7.525146439352054</x:v>
      </x:c>
      <x:c r="D773" s="13" t="n">
        <x:f>LN('Source Data'!D773/'Source Data'!D$8)</x:f>
        <x:v>-7.599190601814217</x:v>
      </x:c>
      <x:c r="E773" s="13" t="n">
        <x:f>LN('Source Data'!E773/'Source Data'!E$8)</x:f>
        <x:v>-7.533924565350747</x:v>
      </x:c>
      <x:c r="F773" s="13" t="n">
        <x:f>SLOPE(C773:E773,'Source Data'!C$7:E$7)</x:f>
        <x:v>-0.004389062999346827</x:v>
      </x:c>
      <x:c r="G773" s="14" t="n">
        <x:f>EXP(F773)-1</x:f>
        <x:v>-0.004379445138617988</x:v>
      </x:c>
      <x:c r="H773" s="8" t="n">
        <x:f>'Source Data'!F773</x:f>
        <x:v>6392</x:v>
      </x:c>
      <x:c r="I773" s="8" t="n">
        <x:f>'Source Data'!H773</x:f>
        <x:v>7492</x:v>
      </x:c>
      <x:c r="J773" s="14" t="n">
        <x:f>I773/H773-1</x:f>
        <x:v>0.17209011264080099</x:v>
      </x:c>
      <x:c r="K773" s="8" t="n">
        <x:f>H773*('Source Data'!H$8/'Source Data'!F$8)*EXP(F773*('Source Data'!H$7-'Source Data'!F$7))</x:f>
        <x:v>6392.202969047773</x:v>
      </x:c>
      <x:c r="L773" s="14" t="n">
        <x:f>I773/K773-1</x:f>
        <x:v>0.17205289573526494</x:v>
      </x:c>
      <x:c r="M773" s="8" t="n">
        <x:f>'Source Data'!G773</x:f>
        <x:v>7564</x:v>
      </x:c>
      <x:c r="N773" s="8" t="n">
        <x:f>M773*('Source Data'!H$8/'Source Data'!G$8)*EXP(F773*('Source Data'!H$7-'Source Data'!G$7))</x:f>
        <x:v>7581.797466784037</x:v>
      </x:c>
      <x:c r="O773" s="14" t="n">
        <x:f>I773/N773-1</x:f>
        <x:v>-0.011843822942704696</x:v>
      </x:c>
      <x:c r="P773" s="2" t="str"/>
    </x:row>
    <x:row r="774">
      <x:c r="A774" s="2" t="str">
        <x:f>'Source Data'!A774</x:f>
        <x:v>713930</x:v>
      </x:c>
      <x:c r="B774" s="2" t="str">
        <x:f>'Source Data'!B774</x:f>
        <x:v>Marinas</x:v>
      </x:c>
      <x:c r="C774" s="13" t="n">
        <x:f>LN('Source Data'!C774/'Source Data'!C$8)</x:f>
        <x:v>-8.934538940229158</x:v>
      </x:c>
      <x:c r="D774" s="13" t="n">
        <x:f>LN('Source Data'!D774/'Source Data'!D$8)</x:f>
        <x:v>-8.883517249042399</x:v>
      </x:c>
      <x:c r="E774" s="13" t="n">
        <x:f>LN('Source Data'!E774/'Source Data'!E$8)</x:f>
        <x:v>-8.885630498296822</x:v>
      </x:c>
      <x:c r="F774" s="13" t="n">
        <x:f>SLOPE(C774:E774,'Source Data'!C$7:E$7)</x:f>
        <x:v>0.02445422096616845</x:v>
      </x:c>
      <x:c r="G774" s="14" t="n">
        <x:f>EXP(F774)-1</x:f>
        <x:v>0.024755677708542922</x:v>
      </x:c>
      <x:c r="H774" s="8" t="n">
        <x:f>'Source Data'!F774</x:f>
        <x:v>2067</x:v>
      </x:c>
      <x:c r="I774" s="8" t="n">
        <x:f>'Source Data'!H774</x:f>
        <x:v>2301</x:v>
      </x:c>
      <x:c r="J774" s="14" t="n">
        <x:f>I774/H774-1</x:f>
        <x:v>0.1132075471698113</x:v>
      </x:c>
      <x:c r="K774" s="8" t="n">
        <x:f>H774*('Source Data'!H$8/'Source Data'!F$8)*EXP(F774*('Source Data'!H$7-'Source Data'!F$7))</x:f>
        <x:v>2319.8514875989767</x:v>
      </x:c>
      <x:c r="L774" s="14" t="n">
        <x:f>I774/K774-1</x:f>
        <x:v>-0.008126161394274356</x:v>
      </x:c>
      <x:c r="M774" s="8" t="n">
        <x:f>'Source Data'!G774</x:f>
        <x:v>2078</x:v>
      </x:c>
      <x:c r="N774" s="8" t="n">
        <x:f>M774*('Source Data'!H$8/'Source Data'!G$8)*EXP(F774*('Source Data'!H$7-'Source Data'!G$7))</x:f>
        <x:v>2271.1490620172117</x:v>
      </x:c>
      <x:c r="O774" s="14" t="n">
        <x:f>I774/N774-1</x:f>
        <x:v>0.013143539753518008</x:v>
      </x:c>
      <x:c r="P774" s="2" t="str"/>
    </x:row>
    <x:row r="775">
      <x:c r="A775" s="2" t="str">
        <x:f>'Source Data'!A775</x:f>
        <x:v>713940</x:v>
      </x:c>
      <x:c r="B775" s="2" t="str">
        <x:f>'Source Data'!B775</x:f>
        <x:v>Fitness and Recreational Sports Centers</x:v>
      </x:c>
      <x:c r="C775" s="13" t="n">
        <x:f>LN('Source Data'!C775/'Source Data'!C$8)</x:f>
        <x:v>-5.2021178792345895</x:v>
      </x:c>
      <x:c r="D775" s="13" t="n">
        <x:f>LN('Source Data'!D775/'Source Data'!D$8)</x:f>
        <x:v>-5.167889707863759</x:v>
      </x:c>
      <x:c r="E775" s="13" t="n">
        <x:f>LN('Source Data'!E775/'Source Data'!E$8)</x:f>
        <x:v>-5.119652854896186</x:v>
      </x:c>
      <x:c r="F775" s="13" t="n">
        <x:f>SLOPE(C775:E775,'Source Data'!C$7:E$7)</x:f>
        <x:v>0.04123251216920165</x:v>
      </x:c>
      <x:c r="G775" s="14" t="n">
        <x:f>EXP(F775)-1</x:f>
        <x:v>0.04209437700296692</x:v>
      </x:c>
      <x:c r="H775" s="8" t="n">
        <x:f>'Source Data'!F775</x:f>
        <x:v>68793</x:v>
      </x:c>
      <x:c r="I775" s="8" t="n">
        <x:f>'Source Data'!H775</x:f>
        <x:v>91949</x:v>
      </x:c>
      <x:c r="J775" s="14" t="n">
        <x:f>I775/H775-1</x:f>
        <x:v>0.3366040149433809</x:v>
      </x:c>
      <x:c r="K775" s="8" t="n">
        <x:f>H775*('Source Data'!H$8/'Source Data'!F$8)*EXP(F775*('Source Data'!H$7-'Source Data'!F$7))</x:f>
        <x:v>82567.82273405184</x:v>
      </x:c>
      <x:c r="L775" s="14" t="n">
        <x:f>I775/K775-1</x:f>
        <x:v>0.11361783507559142</x:v>
      </x:c>
      <x:c r="M775" s="8" t="n">
        <x:f>'Source Data'!G775</x:f>
        <x:v>77953</x:v>
      </x:c>
      <x:c r="N775" s="8" t="n">
        <x:f>M775*('Source Data'!H$8/'Source Data'!G$8)*EXP(F775*('Source Data'!H$7-'Source Data'!G$7))</x:f>
        <x:v>89596.92140268926</x:v>
      </x:c>
      <x:c r="O775" s="14" t="n">
        <x:f>I775/N775-1</x:f>
        <x:v>0.026251779196066805</x:v>
      </x:c>
      <x:c r="P775" s="2" t="str"/>
    </x:row>
    <x:row r="776">
      <x:c r="A776" s="2" t="str">
        <x:f>'Source Data'!A776</x:f>
        <x:v>713950</x:v>
      </x:c>
      <x:c r="B776" s="2" t="str">
        <x:f>'Source Data'!B776</x:f>
        <x:v>Bowling Centers</x:v>
      </x:c>
      <x:c r="C776" s="13" t="n">
        <x:f>LN('Source Data'!C776/'Source Data'!C$8)</x:f>
        <x:v>-7.866300088944249</x:v>
      </x:c>
      <x:c r="D776" s="13" t="n">
        <x:f>LN('Source Data'!D776/'Source Data'!D$8)</x:f>
        <x:v>-7.870168751052191</x:v>
      </x:c>
      <x:c r="E776" s="13" t="n">
        <x:f>LN('Source Data'!E776/'Source Data'!E$8)</x:f>
        <x:v>-7.868262329443328</x:v>
      </x:c>
      <x:c r="F776" s="13" t="n">
        <x:f>SLOPE(C776:E776,'Source Data'!C$7:E$7)</x:f>
        <x:v>-0.0009811202495395577</x:v>
      </x:c>
      <x:c r="G776" s="14" t="n">
        <x:f>EXP(F776)-1</x:f>
        <x:v>-0.0009806391084328236</x:v>
      </x:c>
      <x:c r="H776" s="8" t="n">
        <x:f>'Source Data'!F776</x:f>
        <x:v>4736</x:v>
      </x:c>
      <x:c r="I776" s="8" t="n">
        <x:f>'Source Data'!H776</x:f>
        <x:v>4925</x:v>
      </x:c>
      <x:c r="J776" s="14" t="n">
        <x:f>I776/H776-1</x:f>
        <x:v>0.03990709459459452</x:v>
      </x:c>
      <x:c r="K776" s="8" t="n">
        <x:f>H776*('Source Data'!H$8/'Source Data'!F$8)*EXP(F776*('Source Data'!H$7-'Source Data'!F$7))</x:f>
        <x:v>4801.15455692172</x:v>
      </x:c>
      <x:c r="L776" s="14" t="n">
        <x:f>I776/K776-1</x:f>
        <x:v>0.025794929450820403</x:v>
      </x:c>
      <x:c r="M776" s="8" t="n">
        <x:f>'Source Data'!G776</x:f>
        <x:v>5164</x:v>
      </x:c>
      <x:c r="N776" s="8" t="n">
        <x:f>M776*('Source Data'!H$8/'Source Data'!G$8)*EXP(F776*('Source Data'!H$7-'Source Data'!G$7))</x:f>
        <x:v>5229.341985667417</x:v>
      </x:c>
      <x:c r="O776" s="14" t="n">
        <x:f>I776/N776-1</x:f>
        <x:v>-0.058198906574012166</x:v>
      </x:c>
      <x:c r="P776" s="2" t="str"/>
    </x:row>
    <x:row r="777">
      <x:c r="A777" s="2" t="str">
        <x:f>'Source Data'!A777</x:f>
        <x:v>713990</x:v>
      </x:c>
      <x:c r="B777" s="2" t="str">
        <x:f>'Source Data'!B777</x:f>
        <x:v>All Other Amusement and Recreation Industries</x:v>
      </x:c>
      <x:c r="C777" s="13" t="n">
        <x:f>LN('Source Data'!C777/'Source Data'!C$8)</x:f>
        <x:v>-6.662144819514258</x:v>
      </x:c>
      <x:c r="D777" s="13" t="n">
        <x:f>LN('Source Data'!D777/'Source Data'!D$8)</x:f>
        <x:v>-6.6460562786449495</x:v>
      </x:c>
      <x:c r="E777" s="13" t="n">
        <x:f>LN('Source Data'!E777/'Source Data'!E$8)</x:f>
        <x:v>-6.611269013833905</x:v>
      </x:c>
      <x:c r="F777" s="13" t="n">
        <x:f>SLOPE(C777:E777,'Source Data'!C$7:E$7)</x:f>
        <x:v>0.02543790284017655</x:v>
      </x:c>
      <x:c r="G777" s="14" t="n">
        <x:f>EXP(F777)-1</x:f>
        <x:v>0.025764207248782034</x:v>
      </x:c>
      <x:c r="H777" s="8" t="n">
        <x:f>'Source Data'!F777</x:f>
        <x:v>20275</x:v>
      </x:c>
      <x:c r="I777" s="8" t="n">
        <x:f>'Source Data'!H777</x:f>
        <x:v>25830</x:v>
      </x:c>
      <x:c r="J777" s="14" t="n">
        <x:f>I777/H777-1</x:f>
        <x:v>0.2739827373612824</x:v>
      </x:c>
      <x:c r="K777" s="8" t="n">
        <x:f>H777*('Source Data'!H$8/'Source Data'!F$8)*EXP(F777*('Source Data'!H$7-'Source Data'!F$7))</x:f>
        <x:v>22844.907282520235</x:v>
      </x:c>
      <x:c r="L777" s="14" t="n">
        <x:f>I777/K777-1</x:f>
        <x:v>0.13066775367321393</x:v>
      </x:c>
      <x:c r="M777" s="8" t="n">
        <x:f>'Source Data'!G777</x:f>
        <x:v>22401</x:v>
      </x:c>
      <x:c r="N777" s="8" t="n">
        <x:f>M777*('Source Data'!H$8/'Source Data'!G$8)*EXP(F777*('Source Data'!H$7-'Source Data'!G$7))</x:f>
        <x:v>24555.519400629208</x:v>
      </x:c>
      <x:c r="O777" s="14" t="n">
        <x:f>I777/N777-1</x:f>
        <x:v>0.05190200128033684</x:v>
      </x:c>
      <x:c r="P777" s="2" t="str"/>
    </x:row>
    <x:row r="778">
      <x:c r="A778" s="2" t="str">
        <x:f>'Source Data'!A778</x:f>
        <x:v>721110</x:v>
      </x:c>
      <x:c r="B778" s="2" t="str">
        <x:f>'Source Data'!B778</x:f>
        <x:v>Hotels (except Casino Hotels) and Motels</x:v>
      </x:c>
      <x:c r="C778" s="13" t="n">
        <x:f>LN('Source Data'!C778/'Source Data'!C$8)</x:f>
        <x:v>-4.234266195080774</x:v>
      </x:c>
      <x:c r="D778" s="13" t="n">
        <x:f>LN('Source Data'!D778/'Source Data'!D$8)</x:f>
        <x:v>-4.229646173901322</x:v>
      </x:c>
      <x:c r="E778" s="13" t="n">
        <x:f>LN('Source Data'!E778/'Source Data'!E$8)</x:f>
        <x:v>-4.220868134830015</x:v>
      </x:c>
      <x:c r="F778" s="13" t="n">
        <x:f>SLOPE(C778:E778,'Source Data'!C$7:E$7)</x:f>
        <x:v>0.006699030125379313</x:v>
      </x:c>
      <x:c r="G778" s="14" t="n">
        <x:f>EXP(F778)-1</x:f>
        <x:v>0.006721518817117689</x:v>
      </x:c>
      <x:c r="H778" s="8" t="n">
        <x:f>'Source Data'!F778</x:f>
        <x:v>172550</x:v>
      </x:c>
      <x:c r="I778" s="8" t="n">
        <x:f>'Source Data'!H778</x:f>
        <x:v>201629</x:v>
      </x:c>
      <x:c r="J778" s="14" t="n">
        <x:f>I778/H778-1</x:f>
        <x:v>0.16852506519849308</x:v>
      </x:c>
      <x:c r="K778" s="8" t="n">
        <x:f>H778*('Source Data'!H$8/'Source Data'!F$8)*EXP(F778*('Source Data'!H$7-'Source Data'!F$7))</x:f>
        <x:v>180380.98098251157</x:v>
      </x:c>
      <x:c r="L778" s="14" t="n">
        <x:f>I778/K778-1</x:f>
        <x:v>0.11779522930717667</x:v>
      </x:c>
      <x:c r="M778" s="8" t="n">
        <x:f>'Source Data'!G778</x:f>
        <x:v>196429</x:v>
      </x:c>
      <x:c r="N778" s="8" t="n">
        <x:f>M778*('Source Data'!H$8/'Source Data'!G$8)*EXP(F778*('Source Data'!H$7-'Source Data'!G$7))</x:f>
        <x:v>203550.77366529984</x:v>
      </x:c>
      <x:c r="O778" s="14" t="n">
        <x:f>I778/N778-1</x:f>
        <x:v>-0.009441249623839965</x:v>
      </x:c>
      <x:c r="P778" s="2" t="str"/>
    </x:row>
    <x:row r="779">
      <x:c r="A779" s="2" t="str">
        <x:f>'Source Data'!A779</x:f>
        <x:v>721191</x:v>
      </x:c>
      <x:c r="B779" s="2" t="str">
        <x:f>'Source Data'!B779</x:f>
        <x:v>Bed-and-Breakfast Inns</x:v>
      </x:c>
      <x:c r="C779" s="13" t="n">
        <x:f>LN('Source Data'!C779/'Source Data'!C$8)</x:f>
        <x:v>-8.879270551167773</x:v>
      </x:c>
      <x:c r="D779" s="13" t="n">
        <x:f>LN('Source Data'!D779/'Source Data'!D$8)</x:f>
        <x:v>-8.891442005721746</x:v>
      </x:c>
      <x:c r="E779" s="13" t="n">
        <x:f>LN('Source Data'!E779/'Source Data'!E$8)</x:f>
        <x:v>-8.886116288930616</x:v>
      </x:c>
      <x:c r="F779" s="13" t="n">
        <x:f>SLOPE(C779:E779,'Source Data'!C$7:E$7)</x:f>
        <x:v>-0.0034228688814215147</x:v>
      </x:c>
      <x:c r="G779" s="14" t="n">
        <x:f>EXP(F779)-1</x:f>
        <x:v>-0.003417017543756229</x:v>
      </x:c>
      <x:c r="H779" s="8" t="n">
        <x:f>'Source Data'!F779</x:f>
        <x:v>1821</x:v>
      </x:c>
      <x:c r="I779" s="8" t="n">
        <x:f>'Source Data'!H779</x:f>
        <x:v>1637</x:v>
      </x:c>
      <x:c r="J779" s="14" t="n">
        <x:f>I779/H779-1</x:f>
        <x:v>-0.10104338275672708</x:v>
      </x:c>
      <x:c r="K779" s="8" t="n">
        <x:f>H779*('Source Data'!H$8/'Source Data'!F$8)*EXP(F779*('Source Data'!H$7-'Source Data'!F$7))</x:f>
        <x:v>1828.1094223951025</x:v>
      </x:c>
      <x:c r="L779" s="14" t="n">
        <x:f>I779/K779-1</x:f>
        <x:v>-0.10453937825270876</x:v>
      </x:c>
      <x:c r="M779" s="8" t="n">
        <x:f>'Source Data'!G779</x:f>
        <x:v>1731</x:v>
      </x:c>
      <x:c r="N779" s="8" t="n">
        <x:f>M779*('Source Data'!H$8/'Source Data'!G$8)*EXP(F779*('Source Data'!H$7-'Source Data'!G$7))</x:f>
        <x:v>1740.109447508973</x:v>
      </x:c>
      <x:c r="O779" s="14" t="n">
        <x:f>I779/N779-1</x:f>
        <x:v>-0.059254576001858905</x:v>
      </x:c>
      <x:c r="P779" s="2" t="str"/>
    </x:row>
    <x:row r="780">
      <x:c r="A780" s="2" t="str">
        <x:f>'Source Data'!A780</x:f>
        <x:v>721211</x:v>
      </x:c>
      <x:c r="B780" s="2" t="str">
        <x:f>'Source Data'!B780</x:f>
        <x:v>RV (Recreational Vehicle) Parks and Campgrounds</x:v>
      </x:c>
      <x:c r="C780" s="13" t="n">
        <x:f>LN('Source Data'!C780/'Source Data'!C$8)</x:f>
        <x:v>-8.634060703464192</x:v>
      </x:c>
      <x:c r="D780" s="13" t="n">
        <x:f>LN('Source Data'!D780/'Source Data'!D$8)</x:f>
        <x:v>-8.609870058894455</x:v>
      </x:c>
      <x:c r="E780" s="13" t="n">
        <x:f>LN('Source Data'!E780/'Source Data'!E$8)</x:f>
        <x:v>-8.585399998639927</x:v>
      </x:c>
      <x:c r="F780" s="13" t="n">
        <x:f>SLOPE(C780:E780,'Source Data'!C$7:E$7)</x:f>
        <x:v>0.024330352412132328</x:v>
      </x:c>
      <x:c r="G780" s="14" t="n">
        <x:f>EXP(F780)-1</x:f>
        <x:v>0.024628750565808044</x:v>
      </x:c>
      <x:c r="H780" s="8" t="n">
        <x:f>'Source Data'!F780</x:f>
        <x:v>3109</x:v>
      </x:c>
      <x:c r="I780" s="8" t="n">
        <x:f>'Source Data'!H780</x:f>
        <x:v>3156</x:v>
      </x:c>
      <x:c r="J780" s="14" t="n">
        <x:f>I780/H780-1</x:f>
        <x:v>0.01511740109359927</x:v>
      </x:c>
      <x:c r="K780" s="8" t="n">
        <x:f>H780*('Source Data'!H$8/'Source Data'!F$8)*EXP(F780*('Source Data'!H$7-'Source Data'!F$7))</x:f>
        <x:v>3487.5885790096577</x:v>
      </x:c>
      <x:c r="L780" s="14" t="n">
        <x:f>I780/K780-1</x:f>
        <x:v>-0.09507674758581075</x:v>
      </x:c>
      <x:c r="M780" s="8" t="n">
        <x:f>'Source Data'!G780</x:f>
        <x:v>3129</x:v>
      </x:c>
      <x:c r="N780" s="8" t="n">
        <x:f>M780*('Source Data'!H$8/'Source Data'!G$8)*EXP(F780*('Source Data'!H$7-'Source Data'!G$7))</x:f>
        <x:v>3418.5683915954623</x:v>
      </x:c>
      <x:c r="O780" s="14" t="n">
        <x:f>I780/N780-1</x:f>
        <x:v>-0.07680653464209919</x:v>
      </x:c>
      <x:c r="P780" s="2" t="str"/>
    </x:row>
    <x:row r="781">
      <x:c r="A781" s="2" t="str">
        <x:f>'Source Data'!A781</x:f>
        <x:v>721214</x:v>
      </x:c>
      <x:c r="B781" s="2" t="str">
        <x:f>'Source Data'!B781</x:f>
        <x:v>Recreational and Vacation Camps (except Campgrounds)</x:v>
      </x:c>
      <x:c r="C781" s="13" t="n">
        <x:f>LN('Source Data'!C781/'Source Data'!C$8)</x:f>
        <x:v>-8.805198473412734</x:v>
      </x:c>
      <x:c r="D781" s="13" t="n">
        <x:f>LN('Source Data'!D781/'Source Data'!D$8)</x:f>
        <x:v>-8.699306341869192</x:v>
      </x:c>
      <x:c r="E781" s="13" t="n">
        <x:f>LN('Source Data'!E781/'Source Data'!E$8)</x:f>
        <x:v>-8.738651802002169</x:v>
      </x:c>
      <x:c r="F781" s="13" t="n">
        <x:f>SLOPE(C781:E781,'Source Data'!C$7:E$7)</x:f>
        <x:v>0.03327333570528257</x:v>
      </x:c>
      <x:c r="G781" s="14" t="n">
        <x:f>EXP(F781)-1</x:f>
        <x:v>0.033833084119936796</x:v>
      </x:c>
      <x:c r="H781" s="8" t="n">
        <x:f>'Source Data'!F781</x:f>
        <x:v>2204</x:v>
      </x:c>
      <x:c r="I781" s="8" t="n">
        <x:f>'Source Data'!H781</x:f>
        <x:v>2795</x:v>
      </x:c>
      <x:c r="J781" s="14" t="n">
        <x:f>I781/H781-1</x:f>
        <x:v>0.26814882032667886</x:v>
      </x:c>
      <x:c r="K781" s="8" t="n">
        <x:f>H781*('Source Data'!H$8/'Source Data'!F$8)*EXP(F781*('Source Data'!H$7-'Source Data'!F$7))</x:f>
        <x:v>2562.4279812993113</x:v>
      </x:c>
      <x:c r="L781" s="14" t="n">
        <x:f>I781/K781-1</x:f>
        <x:v>0.09076236303927665</x:v>
      </x:c>
      <x:c r="M781" s="8" t="n">
        <x:f>'Source Data'!G781</x:f>
        <x:v>2322</x:v>
      </x:c>
      <x:c r="N781" s="8" t="n">
        <x:f>M781*('Source Data'!H$8/'Source Data'!G$8)*EXP(F781*('Source Data'!H$7-'Source Data'!G$7))</x:f>
        <x:v>2605.8690628769627</x:v>
      </x:c>
      <x:c r="O781" s="14" t="n">
        <x:f>I781/N781-1</x:f>
        <x:v>0.07257883360963291</x:v>
      </x:c>
      <x:c r="P781" s="2" t="str"/>
    </x:row>
    <x:row r="782">
      <x:c r="A782" s="2" t="str">
        <x:f>'Source Data'!A782</x:f>
        <x:v>721310</x:v>
      </x:c>
      <x:c r="B782" s="2" t="str">
        <x:f>'Source Data'!B782</x:f>
        <x:v>Rooming and Boarding Houses, Dormitories, and Workers' Camps</x:v>
      </x:c>
      <x:c r="C782" s="13" t="n">
        <x:f>LN('Source Data'!C782/'Source Data'!C$8)</x:f>
        <x:v>-9.393451882780736</x:v>
      </x:c>
      <x:c r="D782" s="13" t="n">
        <x:f>LN('Source Data'!D782/'Source Data'!D$8)</x:f>
        <x:v>-9.448574554238563</x:v>
      </x:c>
      <x:c r="E782" s="13" t="n">
        <x:f>LN('Source Data'!E782/'Source Data'!E$8)</x:f>
        <x:v>-9.558108834447658</x:v>
      </x:c>
      <x:c r="F782" s="13" t="n">
        <x:f>SLOPE(C782:E782,'Source Data'!C$7:E$7)</x:f>
        <x:v>-0.08232847583346103</x:v>
      </x:c>
      <x:c r="G782" s="14" t="n">
        <x:f>EXP(F782)-1</x:f>
        <x:v>-0.07903060718261834</x:v>
      </x:c>
      <x:c r="H782" s="8" t="n">
        <x:f>'Source Data'!F782</x:f>
        <x:v>669</x:v>
      </x:c>
      <x:c r="I782" s="8" t="n">
        <x:f>'Source Data'!H782</x:f>
        <x:v>638</x:v>
      </x:c>
      <x:c r="J782" s="14" t="n">
        <x:f>I782/H782-1</x:f>
        <x:v>-0.046337817638266054</x:v>
      </x:c>
      <x:c r="K782" s="8" t="n">
        <x:f>H782*('Source Data'!H$8/'Source Data'!F$8)*EXP(F782*('Source Data'!H$7-'Source Data'!F$7))</x:f>
        <x:v>489.8298872222281</x:v>
      </x:c>
      <x:c r="L782" s="14" t="n">
        <x:f>I782/K782-1</x:f>
        <x:v>0.3024930014336784</x:v>
      </x:c>
      <x:c r="M782" s="8" t="n">
        <x:f>'Source Data'!G782</x:f>
        <x:v>674</x:v>
      </x:c>
      <x:c r="N782" s="8" t="n">
        <x:f>M782*('Source Data'!H$8/'Source Data'!G$8)*EXP(F782*('Source Data'!H$7-'Source Data'!G$7))</x:f>
        <x:v>534.7300424409987</x:v>
      </x:c>
      <x:c r="O782" s="14" t="n">
        <x:f>I782/N782-1</x:f>
        <x:v>0.19312540789289212</x:v>
      </x:c>
      <x:c r="P782" s="2" t="str"/>
    </x:row>
    <x:row r="783">
      <x:c r="A783" s="2" t="str">
        <x:f>'Source Data'!A783</x:f>
        <x:v>722310</x:v>
      </x:c>
      <x:c r="B783" s="2" t="str">
        <x:f>'Source Data'!B783</x:f>
        <x:v>Food Service Contractors</x:v>
      </x:c>
      <x:c r="C783" s="13" t="n">
        <x:f>LN('Source Data'!C783/'Source Data'!C$8)</x:f>
        <x:v>-5.843110330569282</x:v>
      </x:c>
      <x:c r="D783" s="13" t="n">
        <x:f>LN('Source Data'!D783/'Source Data'!D$8)</x:f>
        <x:v>-5.805611792504596</x:v>
      </x:c>
      <x:c r="E783" s="13" t="n">
        <x:f>LN('Source Data'!E783/'Source Data'!E$8)</x:f>
        <x:v>-5.722336180795123</x:v>
      </x:c>
      <x:c r="F783" s="13" t="n">
        <x:f>SLOPE(C783:E783,'Source Data'!C$7:E$7)</x:f>
        <x:v>0.06038707488707962</x:v>
      </x:c>
      <x:c r="G783" s="14" t="n">
        <x:f>EXP(F783)-1</x:f>
        <x:v>0.062247636362850356</x:v>
      </x:c>
      <x:c r="H783" s="8" t="n">
        <x:f>'Source Data'!F783</x:f>
        <x:v>43193</x:v>
      </x:c>
      <x:c r="I783" s="8" t="n">
        <x:f>'Source Data'!H783</x:f>
        <x:v>58621</x:v>
      </x:c>
      <x:c r="J783" s="14" t="n">
        <x:f>I783/H783-1</x:f>
        <x:v>0.3571875072349686</x:v>
      </x:c>
      <x:c r="K783" s="8" t="n">
        <x:f>H783*('Source Data'!H$8/'Source Data'!F$8)*EXP(F783*('Source Data'!H$7-'Source Data'!F$7))</x:f>
        <x:v>55969.93937487544</x:v>
      </x:c>
      <x:c r="L783" s="14" t="n">
        <x:f>I783/K783-1</x:f>
        <x:v>0.047365794116164484</x:v>
      </x:c>
      <x:c r="M783" s="8" t="n">
        <x:f>'Source Data'!G783</x:f>
        <x:v>50247</x:v>
      </x:c>
      <x:c r="N783" s="8" t="n">
        <x:f>M783*('Source Data'!H$8/'Source Data'!G$8)*EXP(F783*('Source Data'!H$7-'Source Data'!G$7))</x:f>
        <x:v>61168.32015031483</x:v>
      </x:c>
      <x:c r="O783" s="14" t="n">
        <x:f>I783/N783-1</x:f>
        <x:v>-0.041644435290278614</x:v>
      </x:c>
      <x:c r="P783" s="2" t="str"/>
    </x:row>
    <x:row r="784">
      <x:c r="A784" s="2" t="str">
        <x:f>'Source Data'!A784</x:f>
        <x:v>722320</x:v>
      </x:c>
      <x:c r="B784" s="2" t="str">
        <x:f>'Source Data'!B784</x:f>
        <x:v>Caterers</x:v>
      </x:c>
      <x:c r="C784" s="13" t="n">
        <x:f>LN('Source Data'!C784/'Source Data'!C$8)</x:f>
        <x:v>-6.3847784977110935</x:v>
      </x:c>
      <x:c r="D784" s="13" t="n">
        <x:f>LN('Source Data'!D784/'Source Data'!D$8)</x:f>
        <x:v>-6.402358775893686</x:v>
      </x:c>
      <x:c r="E784" s="13" t="n">
        <x:f>LN('Source Data'!E784/'Source Data'!E$8)</x:f>
        <x:v>-6.4389219343270865</x:v>
      </x:c>
      <x:c r="F784" s="13" t="n">
        <x:f>SLOPE(C784:E784,'Source Data'!C$7:E$7)</x:f>
        <x:v>-0.027071718307996484</x:v>
      </x:c>
      <x:c r="G784" s="14" t="n">
        <x:f>EXP(F784)-1</x:f>
        <x:v>-0.026708563793785167</x:v>
      </x:c>
      <x:c r="H784" s="8" t="n">
        <x:f>'Source Data'!F784</x:f>
        <x:v>19017</x:v>
      </x:c>
      <x:c r="I784" s="8" t="n">
        <x:f>'Source Data'!H784</x:f>
        <x:v>22442</x:v>
      </x:c>
      <x:c r="J784" s="14" t="n">
        <x:f>I784/H784-1</x:f>
        <x:v>0.18010201398748493</x:v>
      </x:c>
      <x:c r="K784" s="8" t="n">
        <x:f>H784*('Source Data'!H$8/'Source Data'!F$8)*EXP(F784*('Source Data'!H$7-'Source Data'!F$7))</x:f>
        <x:v>17368.08710527384</x:v>
      </x:c>
      <x:c r="L784" s="14" t="n">
        <x:f>I784/K784-1</x:f>
        <x:v>0.29213999584245864</x:v>
      </x:c>
      <x:c r="M784" s="8" t="n">
        <x:f>'Source Data'!G784</x:f>
        <x:v>21010</x:v>
      </x:c>
      <x:c r="N784" s="8" t="n">
        <x:f>M784*('Source Data'!H$8/'Source Data'!G$8)*EXP(F784*('Source Data'!H$7-'Source Data'!G$7))</x:f>
        <x:v>19674.053816491243</x:v>
      </x:c>
      <x:c r="O784" s="14" t="n">
        <x:f>I784/N784-1</x:f>
        <x:v>0.1406901805457399</x:v>
      </x:c>
      <x:c r="P784" s="2" t="str"/>
    </x:row>
    <x:row r="785">
      <x:c r="A785" s="2" t="str">
        <x:f>'Source Data'!A785</x:f>
        <x:v>722330</x:v>
      </x:c>
      <x:c r="B785" s="2" t="str">
        <x:f>'Source Data'!B785</x:f>
        <x:v>Mobile Food Services</x:v>
      </x:c>
      <x:c r="C785" s="13" t="n">
        <x:f>LN('Source Data'!C785/'Source Data'!C$8)</x:f>
        <x:v>-8.808002213567162</x:v>
      </x:c>
      <x:c r="D785" s="13" t="n">
        <x:f>LN('Source Data'!D785/'Source Data'!D$8)</x:f>
        <x:v>-8.583577116751957</x:v>
      </x:c>
      <x:c r="E785" s="13" t="n">
        <x:f>LN('Source Data'!E785/'Source Data'!E$8)</x:f>
        <x:v>-8.6883653035718</x:v>
      </x:c>
      <x:c r="F785" s="13" t="n">
        <x:f>SLOPE(C785:E785,'Source Data'!C$7:E$7)</x:f>
        <x:v>0.059818454997681236</x:v>
      </x:c>
      <x:c r="G785" s="14" t="n">
        <x:f>EXP(F785)-1</x:f>
        <x:v>0.061643792924312546</x:v>
      </x:c>
      <x:c r="H785" s="8" t="n">
        <x:f>'Source Data'!F785</x:f>
        <x:v>3408</x:v>
      </x:c>
      <x:c r="I785" s="8" t="n">
        <x:f>'Source Data'!H785</x:f>
        <x:v>5475</x:v>
      </x:c>
      <x:c r="J785" s="14" t="n">
        <x:f>I785/H785-1</x:f>
        <x:v>0.6065140845070423</x:v>
      </x:c>
      <x:c r="K785" s="8" t="n">
        <x:f>H785*('Source Data'!H$8/'Source Data'!F$8)*EXP(F785*('Source Data'!H$7-'Source Data'!F$7))</x:f>
        <x:v>4406.088938988817</x:v>
      </x:c>
      <x:c r="L785" s="14" t="n">
        <x:f>I785/K785-1</x:f>
        <x:v>0.2425986120145125</x:v>
      </x:c>
      <x:c r="M785" s="8" t="n">
        <x:f>'Source Data'!G785</x:f>
        <x:v>4022</x:v>
      </x:c>
      <x:c r="N785" s="8" t="n">
        <x:f>M785*('Source Data'!H$8/'Source Data'!G$8)*EXP(F785*('Source Data'!H$7-'Source Data'!G$7))</x:f>
        <x:v>4887.847384553544</x:v>
      </x:c>
      <x:c r="O785" s="14" t="n">
        <x:f>I785/N785-1</x:f>
        <x:v>0.12012498943849215</x:v>
      </x:c>
      <x:c r="P785" s="2" t="str"/>
    </x:row>
    <x:row r="786">
      <x:c r="A786" s="2" t="str">
        <x:f>'Source Data'!A786</x:f>
        <x:v>722410</x:v>
      </x:c>
      <x:c r="B786" s="2" t="str">
        <x:f>'Source Data'!B786</x:f>
        <x:v>Drinking Places (Alcoholic Beverages)</x:v>
      </x:c>
      <x:c r="C786" s="13" t="n">
        <x:f>LN('Source Data'!C786/'Source Data'!C$8)</x:f>
        <x:v>-6.107027366005987</x:v>
      </x:c>
      <x:c r="D786" s="13" t="n">
        <x:f>LN('Source Data'!D786/'Source Data'!D$8)</x:f>
        <x:v>-6.098244144596893</x:v>
      </x:c>
      <x:c r="E786" s="13" t="n">
        <x:f>LN('Source Data'!E786/'Source Data'!E$8)</x:f>
        <x:v>-6.055622010046928</x:v>
      </x:c>
      <x:c r="F786" s="13" t="n">
        <x:f>SLOPE(C786:E786,'Source Data'!C$7:E$7)</x:f>
        <x:v>0.025702677979529298</x:v>
      </x:c>
      <x:c r="G786" s="14" t="n">
        <x:f>EXP(F786)-1</x:f>
        <x:v>0.026035840068921567</x:v>
      </x:c>
      <x:c r="H786" s="8" t="n">
        <x:f>'Source Data'!F786</x:f>
        <x:v>32040</x:v>
      </x:c>
      <x:c r="I786" s="8" t="n">
        <x:f>'Source Data'!H786</x:f>
        <x:v>32621</x:v>
      </x:c>
      <x:c r="J786" s="14" t="n">
        <x:f>I786/H786-1</x:f>
        <x:v>0.018133583021223476</x:v>
      </x:c>
      <x:c r="K786" s="8" t="n">
        <x:f>H786*('Source Data'!H$8/'Source Data'!F$8)*EXP(F786*('Source Data'!H$7-'Source Data'!F$7))</x:f>
        <x:v>36139.40564836882</x:v>
      </x:c>
      <x:c r="L786" s="14" t="n">
        <x:f>I786/K786-1</x:f>
        <x:v>-0.0973564889971461</x:v>
      </x:c>
      <x:c r="M786" s="8" t="n">
        <x:f>'Source Data'!G786</x:f>
        <x:v>34087</x:v>
      </x:c>
      <x:c r="N786" s="8" t="n">
        <x:f>M786*('Source Data'!H$8/'Source Data'!G$8)*EXP(F786*('Source Data'!H$7-'Source Data'!G$7))</x:f>
        <x:v>37395.1664377105</x:v>
      </x:c>
      <x:c r="O786" s="14" t="n">
        <x:f>I786/N786-1</x:f>
        <x:v>-0.12766800879634732</x:v>
      </x:c>
      <x:c r="P786" s="2" t="str"/>
    </x:row>
    <x:row r="787">
      <x:c r="A787" s="2" t="str">
        <x:f>'Source Data'!A787</x:f>
        <x:v>722511</x:v>
      </x:c>
      <x:c r="B787" s="2" t="str">
        <x:f>'Source Data'!B787</x:f>
        <x:v>Full-Service Restaurants</x:v>
      </x:c>
      <x:c r="C787" s="13" t="n">
        <x:f>LN('Source Data'!C787/'Source Data'!C$8)</x:f>
        <x:v>-3.10131178891203</x:v>
      </x:c>
      <x:c r="D787" s="13" t="n">
        <x:f>LN('Source Data'!D787/'Source Data'!D$8)</x:f>
        <x:v>-3.1143394423202593</x:v>
      </x:c>
      <x:c r="E787" s="13" t="n">
        <x:f>LN('Source Data'!E787/'Source Data'!E$8)</x:f>
        <x:v>-3.1254793194850823</x:v>
      </x:c>
      <x:c r="F787" s="13" t="n">
        <x:f>SLOPE(C787:E787,'Source Data'!C$7:E$7)</x:f>
        <x:v>-0.012083765286526216</x:v>
      </x:c>
      <x:c r="G787" s="14" t="n">
        <x:f>EXP(F787)-1</x:f>
        <x:v>-0.01201104978183909</x:v>
      </x:c>
      <x:c r="H787" s="8" t="n">
        <x:f>'Source Data'!F787</x:f>
        <x:v>587604</x:v>
      </x:c>
      <x:c r="I787" s="8" t="n">
        <x:f>'Source Data'!H787</x:f>
        <x:v>593188</x:v>
      </x:c>
      <x:c r="J787" s="14" t="n">
        <x:f>I787/H787-1</x:f>
        <x:v>0.009502998618116987</x:v>
      </x:c>
      <x:c r="K787" s="8" t="n">
        <x:f>H787*('Source Data'!H$8/'Source Data'!F$8)*EXP(F787*('Source Data'!H$7-'Source Data'!F$7))</x:f>
        <x:v>569811.8368732483</x:v>
      </x:c>
      <x:c r="L787" s="14" t="n">
        <x:f>I787/K787-1</x:f>
        <x:v>0.041024355083644215</x:v>
      </x:c>
      <x:c r="M787" s="8" t="n">
        <x:f>'Source Data'!G787</x:f>
        <x:v>608540</x:v>
      </x:c>
      <x:c r="N787" s="8" t="n">
        <x:f>M787*('Source Data'!H$8/'Source Data'!G$8)*EXP(F787*('Source Data'!H$7-'Source Data'!G$7))</x:f>
        <x:v>596052.4654015028</x:v>
      </x:c>
      <x:c r="O787" s="14" t="n">
        <x:f>I787/N787-1</x:f>
        <x:v>-0.004805726958235557</x:v>
      </x:c>
      <x:c r="P787" s="2" t="str"/>
    </x:row>
    <x:row r="788">
      <x:c r="A788" s="2" t="str">
        <x:f>'Source Data'!A788</x:f>
        <x:v>722513</x:v>
      </x:c>
      <x:c r="B788" s="2" t="str">
        <x:f>'Source Data'!B788</x:f>
        <x:v>Limited-Service Restaurants</x:v>
      </x:c>
      <x:c r="C788" s="13" t="n">
        <x:f>LN('Source Data'!C788/'Source Data'!C$8)</x:f>
        <x:v>-3.3239045305473724</x:v>
      </x:c>
      <x:c r="D788" s="13" t="n">
        <x:f>LN('Source Data'!D788/'Source Data'!D$8)</x:f>
        <x:v>-3.309908641162378</x:v>
      </x:c>
      <x:c r="E788" s="13" t="n">
        <x:f>LN('Source Data'!E788/'Source Data'!E$8)</x:f>
        <x:v>-3.3044794865169385</x:v>
      </x:c>
      <x:c r="F788" s="13" t="n">
        <x:f>SLOPE(C788:E788,'Source Data'!C$7:E$7)</x:f>
        <x:v>0.009712522015216996</x:v>
      </x:c>
      <x:c r="G788" s="14" t="n">
        <x:f>EXP(F788)-1</x:f>
        <x:v>0.009759841630692545</x:v>
      </x:c>
      <x:c r="H788" s="8" t="n">
        <x:f>'Source Data'!F788</x:f>
        <x:v>545145</x:v>
      </x:c>
      <x:c r="I788" s="8" t="n">
        <x:f>'Source Data'!H788</x:f>
        <x:v>554137</x:v>
      </x:c>
      <x:c r="J788" s="14" t="n">
        <x:f>I788/H788-1</x:f>
        <x:v>0.016494694072219263</x:v>
      </x:c>
      <x:c r="K788" s="8" t="n">
        <x:f>H788*('Source Data'!H$8/'Source Data'!F$8)*EXP(F788*('Source Data'!H$7-'Source Data'!F$7))</x:f>
        <x:v>576796.7246573351</x:v>
      </x:c>
      <x:c r="L788" s="14" t="n">
        <x:f>I788/K788-1</x:f>
        <x:v>-0.0392854600046435</x:v>
      </x:c>
      <x:c r="M788" s="8" t="n">
        <x:f>'Source Data'!G788</x:f>
        <x:v>566323</x:v>
      </x:c>
      <x:c r="N788" s="8" t="n">
        <x:f>M788*('Source Data'!H$8/'Source Data'!G$8)*EXP(F788*('Source Data'!H$7-'Source Data'!G$7))</x:f>
        <x:v>592185.2424142756</x:v>
      </x:c>
      <x:c r="O788" s="14" t="n">
        <x:f>I788/N788-1</x:f>
        <x:v>-0.06425057513955779</x:v>
      </x:c>
      <x:c r="P788" s="2" t="str"/>
    </x:row>
    <x:row r="789">
      <x:c r="A789" s="2" t="str">
        <x:f>'Source Data'!A789</x:f>
        <x:v>722514</x:v>
      </x:c>
      <x:c r="B789" s="2" t="str">
        <x:f>'Source Data'!B789</x:f>
        <x:v>Cafeterias, Grill Buffets, and Buffets</x:v>
      </x:c>
      <x:c r="C789" s="13" t="n">
        <x:f>LN('Source Data'!C789/'Source Data'!C$8)</x:f>
        <x:v>-6.90959620523871</x:v>
      </x:c>
      <x:c r="D789" s="13" t="n">
        <x:f>LN('Source Data'!D789/'Source Data'!D$8)</x:f>
        <x:v>-6.939088216031729</x:v>
      </x:c>
      <x:c r="E789" s="13" t="n">
        <x:f>LN('Source Data'!E789/'Source Data'!E$8)</x:f>
        <x:v>-7.079326194732217</x:v>
      </x:c>
      <x:c r="F789" s="13" t="n">
        <x:f>SLOPE(C789:E789,'Source Data'!C$7:E$7)</x:f>
        <x:v>-0.08486499474675346</x:v>
      </x:c>
      <x:c r="G789" s="14" t="n">
        <x:f>EXP(F789)-1</x:f>
        <x:v>-0.08136370324400566</x:v>
      </x:c>
      <x:c r="H789" s="8" t="n">
        <x:f>'Source Data'!F789</x:f>
        <x:v>7966</x:v>
      </x:c>
      <x:c r="I789" s="8" t="n">
        <x:f>'Source Data'!H789</x:f>
        <x:v>7559</x:v>
      </x:c>
      <x:c r="J789" s="14" t="n">
        <x:f>I789/H789-1</x:f>
        <x:v>-0.05109214160180764</x:v>
      </x:c>
      <x:c r="K789" s="8" t="n">
        <x:f>H789*('Source Data'!H$8/'Source Data'!F$8)*EXP(F789*('Source Data'!H$7-'Source Data'!F$7))</x:f>
        <x:v>5773.684919284597</x:v>
      </x:c>
      <x:c r="L789" s="14" t="n">
        <x:f>I789/K789-1</x:f>
        <x:v>0.3092158830407077</x:v>
      </x:c>
      <x:c r="M789" s="8" t="n">
        <x:f>'Source Data'!G789</x:f>
        <x:v>8268</x:v>
      </x:c>
      <x:c r="N789" s="8" t="n">
        <x:f>M789*('Source Data'!H$8/'Source Data'!G$8)*EXP(F789*('Source Data'!H$7-'Source Data'!G$7))</x:f>
        <x:v>6509.840792895052</x:v>
      </x:c>
      <x:c r="O789" s="14" t="n">
        <x:f>I789/N789-1</x:f>
        <x:v>0.16116510994401234</x:v>
      </x:c>
      <x:c r="P789" s="2" t="str"/>
    </x:row>
    <x:row r="790">
      <x:c r="A790" s="2" t="str">
        <x:f>'Source Data'!A790</x:f>
        <x:v>722515</x:v>
      </x:c>
      <x:c r="B790" s="2" t="str">
        <x:f>'Source Data'!B790</x:f>
        <x:v>Snack and Nonalcoholic Beverage Bars</x:v>
      </x:c>
      <x:c r="C790" s="13" t="n">
        <x:f>LN('Source Data'!C790/'Source Data'!C$8)</x:f>
        <x:v>-4.809282184093886</x:v>
      </x:c>
      <x:c r="D790" s="13" t="n">
        <x:f>LN('Source Data'!D790/'Source Data'!D$8)</x:f>
        <x:v>-4.752214090366813</x:v>
      </x:c>
      <x:c r="E790" s="13" t="n">
        <x:f>LN('Source Data'!E790/'Source Data'!E$8)</x:f>
        <x:v>-4.712372120300721</x:v>
      </x:c>
      <x:c r="F790" s="13" t="n">
        <x:f>SLOPE(C790:E790,'Source Data'!C$7:E$7)</x:f>
        <x:v>0.048455031896582845</x:v>
      </x:c>
      <x:c r="G790" s="14" t="n">
        <x:f>EXP(F790)-1</x:f>
        <x:v>0.049648170071583175</x:v>
      </x:c>
      <x:c r="H790" s="8" t="n">
        <x:f>'Source Data'!F790</x:f>
        <x:v>156385</x:v>
      </x:c>
      <x:c r="I790" s="8" t="n">
        <x:f>'Source Data'!H790</x:f>
        <x:v>161605</x:v>
      </x:c>
      <x:c r="J790" s="14" t="n">
        <x:f>I790/H790-1</x:f>
        <x:v>0.03337916040540967</x:v>
      </x:c>
      <x:c r="K790" s="8" t="n">
        <x:f>H790*('Source Data'!H$8/'Source Data'!F$8)*EXP(F790*('Source Data'!H$7-'Source Data'!F$7))</x:f>
        <x:v>193200.6040388606</x:v>
      </x:c>
      <x:c r="L790" s="14" t="n">
        <x:f>I790/K790-1</x:f>
        <x:v>-0.16353781188233452</x:v>
      </x:c>
      <x:c r="M790" s="8" t="n">
        <x:f>'Source Data'!G790</x:f>
        <x:v>155751</x:v>
      </x:c>
      <x:c r="N790" s="8" t="n">
        <x:f>M790*('Source Data'!H$8/'Source Data'!G$8)*EXP(F790*('Source Data'!H$7-'Source Data'!G$7))</x:f>
        <x:v>182936.85093817342</x:v>
      </x:c>
      <x:c r="O790" s="14" t="n">
        <x:f>I790/N790-1</x:f>
        <x:v>-0.11660773009251635</x:v>
      </x:c>
      <x:c r="P790" s="2" t="str"/>
    </x:row>
    <x:row r="791">
      <x:c r="A791" s="2" t="str">
        <x:f>'Source Data'!A791</x:f>
        <x:v>811111</x:v>
      </x:c>
      <x:c r="B791" s="2" t="str">
        <x:f>'Source Data'!B791</x:f>
        <x:v>General Automotive Repair</x:v>
      </x:c>
      <x:c r="C791" s="13" t="n">
        <x:f>LN('Source Data'!C791/'Source Data'!C$8)</x:f>
        <x:v>-5.916201642771238</x:v>
      </x:c>
      <x:c r="D791" s="13" t="n">
        <x:f>LN('Source Data'!D791/'Source Data'!D$8)</x:f>
        <x:v>-5.887291757229335</x:v>
      </x:c>
      <x:c r="E791" s="13" t="n">
        <x:f>LN('Source Data'!E791/'Source Data'!E$8)</x:f>
        <x:v>-5.9199969979002764</x:v>
      </x:c>
      <x:c r="F791" s="13" t="n">
        <x:f>SLOPE(C791:E791,'Source Data'!C$7:E$7)</x:f>
        <x:v>-0.0018976775645191957</x:v>
      </x:c>
      <x:c r="G791" s="14" t="n">
        <x:f>EXP(F791)-1</x:f>
        <x:v>-0.001895878112889382</x:v>
      </x:c>
      <x:c r="H791" s="8" t="n">
        <x:f>'Source Data'!F791</x:f>
        <x:v>41914</x:v>
      </x:c>
      <x:c r="I791" s="8" t="n">
        <x:f>'Source Data'!H791</x:f>
        <x:v>45224</x:v>
      </x:c>
      <x:c r="J791" s="14" t="n">
        <x:f>I791/H791-1</x:f>
        <x:v>0.07897122679772872</x:v>
      </x:c>
      <x:c r="K791" s="8" t="n">
        <x:f>H791*('Source Data'!H$8/'Source Data'!F$8)*EXP(F791*('Source Data'!H$7-'Source Data'!F$7))</x:f>
        <x:v>42335.12817975355</x:v>
      </x:c>
      <x:c r="L791" s="14" t="n">
        <x:f>I791/K791-1</x:f>
        <x:v>0.0682381734615376</x:v>
      </x:c>
      <x:c r="M791" s="8" t="n">
        <x:f>'Source Data'!G791</x:f>
        <x:v>43248</x:v>
      </x:c>
      <x:c r="N791" s="8" t="n">
        <x:f>M791*('Source Data'!H$8/'Source Data'!G$8)*EXP(F791*('Source Data'!H$7-'Source Data'!G$7))</x:f>
        <x:v>43674.97568989439</x:v>
      </x:c>
      <x:c r="O791" s="14" t="n">
        <x:f>I791/N791-1</x:f>
        <x:v>0.03546709037926332</x:v>
      </x:c>
      <x:c r="P791" s="2" t="str"/>
    </x:row>
    <x:row r="792">
      <x:c r="A792" s="2" t="str">
        <x:f>'Source Data'!A792</x:f>
        <x:v>811114</x:v>
      </x:c>
      <x:c r="B792" s="2" t="str">
        <x:f>'Source Data'!B792</x:f>
        <x:v>Specialized Automotive Repair</x:v>
      </x:c>
      <x:c r="C792" s="13" t="n">
        <x:f>LN('Source Data'!C792/'Source Data'!C$8)</x:f>
        <x:v>-7.882488816294168</x:v>
      </x:c>
      <x:c r="D792" s="13" t="n">
        <x:f>LN('Source Data'!D792/'Source Data'!D$8)</x:f>
        <x:v>-7.912790657183095</x:v>
      </x:c>
      <x:c r="E792" s="13" t="n">
        <x:f>LN('Source Data'!E792/'Source Data'!E$8)</x:f>
        <x:v>-7.9835244014146225</x:v>
      </x:c>
      <x:c r="F792" s="13" t="n">
        <x:f>SLOPE(C792:E792,'Source Data'!C$7:E$7)</x:f>
        <x:v>-0.05051779256022737</x:v>
      </x:c>
      <x:c r="G792" s="14" t="n">
        <x:f>EXP(F792)-1</x:f>
        <x:v>-0.049262987523718715</x:v>
      </x:c>
      <x:c r="H792" s="8" t="n">
        <x:f>'Source Data'!F792</x:f>
        <x:v>4522</x:v>
      </x:c>
      <x:c r="I792" s="8" t="n">
        <x:f>'Source Data'!H792</x:f>
        <x:v>4505</x:v>
      </x:c>
      <x:c r="J792" s="14" t="n">
        <x:f>I792/H792-1</x:f>
        <x:v>-0.003759398496240629</x:v>
      </x:c>
      <x:c r="K792" s="8" t="n">
        <x:f>H792*('Source Data'!H$8/'Source Data'!F$8)*EXP(F792*('Source Data'!H$7-'Source Data'!F$7))</x:f>
        <x:v>3760.1964700661324</x:v>
      </x:c>
      <x:c r="L792" s="14" t="n">
        <x:f>I792/K792-1</x:f>
        <x:v>0.19807569520982193</x:v>
      </x:c>
      <x:c r="M792" s="8" t="n">
        <x:f>'Source Data'!G792</x:f>
        <x:v>4498</x:v>
      </x:c>
      <x:c r="N792" s="8" t="n">
        <x:f>M792*('Source Data'!H$8/'Source Data'!G$8)*EXP(F792*('Source Data'!H$7-'Source Data'!G$7))</x:f>
        <x:v>3925.9046879583566</x:v>
      </x:c>
      <x:c r="O792" s="14" t="n">
        <x:f>I792/N792-1</x:f>
        <x:v>0.14750620763103606</x:v>
      </x:c>
      <x:c r="P792" s="2" t="str"/>
    </x:row>
    <x:row r="793">
      <x:c r="A793" s="2" t="str">
        <x:f>'Source Data'!A793</x:f>
        <x:v>811121</x:v>
      </x:c>
      <x:c r="B793" s="2" t="str">
        <x:f>'Source Data'!B793</x:f>
        <x:v>Automotive Body, Paint, and Interior Repair and Maintenance</x:v>
      </x:c>
      <x:c r="C793" s="13" t="n">
        <x:f>LN('Source Data'!C793/'Source Data'!C$8)</x:f>
        <x:v>-6.045052686685551</x:v>
      </x:c>
      <x:c r="D793" s="13" t="n">
        <x:f>LN('Source Data'!D793/'Source Data'!D$8)</x:f>
        <x:v>-6.04714571788263</x:v>
      </x:c>
      <x:c r="E793" s="13" t="n">
        <x:f>LN('Source Data'!E793/'Source Data'!E$8)</x:f>
        <x:v>-6.078377604451751</x:v>
      </x:c>
      <x:c r="F793" s="13" t="n">
        <x:f>SLOPE(C793:E793,'Source Data'!C$7:E$7)</x:f>
        <x:v>-0.016662458883099696</x:v>
      </x:c>
      <x:c r="G793" s="14" t="n">
        <x:f>EXP(F793)-1</x:f>
        <x:v>-0.01652440793465415</x:v>
      </x:c>
      <x:c r="H793" s="8" t="n">
        <x:f>'Source Data'!F793</x:f>
        <x:v>32310</x:v>
      </x:c>
      <x:c r="I793" s="8" t="n">
        <x:f>'Source Data'!H793</x:f>
        <x:v>31064</x:v>
      </x:c>
      <x:c r="J793" s="14" t="n">
        <x:f>I793/H793-1</x:f>
        <x:v>-0.03856391210151655</x:v>
      </x:c>
      <x:c r="K793" s="8" t="n">
        <x:f>H793*('Source Data'!H$8/'Source Data'!F$8)*EXP(F793*('Source Data'!H$7-'Source Data'!F$7))</x:f>
        <x:v>30763.070147793114</x:v>
      </x:c>
      <x:c r="L793" s="14" t="n">
        <x:f>I793/K793-1</x:f>
        <x:v>0.009782178786484907</x:v>
      </x:c>
      <x:c r="M793" s="8" t="n">
        <x:f>'Source Data'!G793</x:f>
        <x:v>33989</x:v>
      </x:c>
      <x:c r="N793" s="8" t="n">
        <x:f>M793*('Source Data'!H$8/'Source Data'!G$8)*EXP(F793*('Source Data'!H$7-'Source Data'!G$7))</x:f>
        <x:v>32837.36056446188</x:v>
      </x:c>
      <x:c r="O793" s="14" t="n">
        <x:f>I793/N793-1</x:f>
        <x:v>-0.054004357657816526</x:v>
      </x:c>
      <x:c r="P793" s="2" t="str"/>
    </x:row>
    <x:row r="794">
      <x:c r="A794" s="2" t="str">
        <x:f>'Source Data'!A794</x:f>
        <x:v>811122</x:v>
      </x:c>
      <x:c r="B794" s="2" t="str">
        <x:f>'Source Data'!B794</x:f>
        <x:v>Automotive Glass Replacement Shops</x:v>
      </x:c>
      <x:c r="C794" s="13" t="n">
        <x:f>LN('Source Data'!C794/'Source Data'!C$8)</x:f>
        <x:v>-8.676637415261105</x:v>
      </x:c>
      <x:c r="D794" s="13" t="n">
        <x:f>LN('Source Data'!D794/'Source Data'!D$8)</x:f>
        <x:v>-8.62842768291731</x:v>
      </x:c>
      <x:c r="E794" s="13" t="n">
        <x:f>LN('Source Data'!E794/'Source Data'!E$8)</x:f>
        <x:v>-8.676868645725328</x:v>
      </x:c>
      <x:c r="F794" s="13" t="n">
        <x:f>SLOPE(C794:E794,'Source Data'!C$7:E$7)</x:f>
        <x:v>-0.00011561523211156555</x:v>
      </x:c>
      <x:c r="G794" s="14" t="n">
        <x:f>EXP(F794)-1</x:f>
        <x:v>-0.00011560854892822547</x:v>
      </x:c>
      <x:c r="H794" s="8" t="n">
        <x:f>'Source Data'!F794</x:f>
        <x:v>3593</x:v>
      </x:c>
      <x:c r="I794" s="8" t="n">
        <x:f>'Source Data'!H794</x:f>
        <x:v>3313</x:v>
      </x:c>
      <x:c r="J794" s="14" t="n">
        <x:f>I794/H794-1</x:f>
        <x:v>-0.07792930698580569</x:v>
      </x:c>
      <x:c r="K794" s="8" t="n">
        <x:f>H794*('Source Data'!H$8/'Source Data'!F$8)*EXP(F794*('Source Data'!H$7-'Source Data'!F$7))</x:f>
        <x:v>3655.0619860367246</x:v>
      </x:c>
      <x:c r="L794" s="14" t="n">
        <x:f>I794/K794-1</x:f>
        <x:v>-0.09358582353554856</x:v>
      </x:c>
      <x:c r="M794" s="8" t="n">
        <x:f>'Source Data'!G794</x:f>
        <x:v>3654</x:v>
      </x:c>
      <x:c r="N794" s="8" t="n">
        <x:f>M794*('Source Data'!H$8/'Source Data'!G$8)*EXP(F794*('Source Data'!H$7-'Source Data'!G$7))</x:f>
        <x:v>3709.8556029536912</x:v>
      </x:c>
      <x:c r="O794" s="14" t="n">
        <x:f>I794/N794-1</x:f>
        <x:v>-0.10697332872948617</x:v>
      </x:c>
      <x:c r="P794" s="2" t="str"/>
    </x:row>
    <x:row r="795">
      <x:c r="A795" s="2" t="str">
        <x:f>'Source Data'!A795</x:f>
        <x:v>811191</x:v>
      </x:c>
      <x:c r="B795" s="2" t="str">
        <x:f>'Source Data'!B795</x:f>
        <x:v>Automotive Oil Change and Lubrication Shops</x:v>
      </x:c>
      <x:c r="C795" s="13" t="n">
        <x:f>LN('Source Data'!C795/'Source Data'!C$8)</x:f>
        <x:v>-7.792283361829142</x:v>
      </x:c>
      <x:c r="D795" s="13" t="n">
        <x:f>LN('Source Data'!D795/'Source Data'!D$8)</x:f>
        <x:v>-7.791504555355658</x:v>
      </x:c>
      <x:c r="E795" s="13" t="n">
        <x:f>LN('Source Data'!E795/'Source Data'!E$8)</x:f>
        <x:v>-7.8616119724162274</x:v>
      </x:c>
      <x:c r="F795" s="13" t="n">
        <x:f>SLOPE(C795:E795,'Source Data'!C$7:E$7)</x:f>
        <x:v>-0.034664305293542697</x:v>
      </x:c>
      <x:c r="G795" s="14" t="n">
        <x:f>EXP(F795)-1</x:f>
        <x:v>-0.034070380702091674</x:v>
      </x:c>
      <x:c r="H795" s="8" t="n">
        <x:f>'Source Data'!F795</x:f>
        <x:v>6326</x:v>
      </x:c>
      <x:c r="I795" s="8" t="n">
        <x:f>'Source Data'!H795</x:f>
        <x:v>6743</x:v>
      </x:c>
      <x:c r="J795" s="14" t="n">
        <x:f>I795/H795-1</x:f>
        <x:v>0.06591843186847934</x:v>
      </x:c>
      <x:c r="K795" s="8" t="n">
        <x:f>H795*('Source Data'!H$8/'Source Data'!F$8)*EXP(F795*('Source Data'!H$7-'Source Data'!F$7))</x:f>
        <x:v>5604.662882191123</x:v>
      </x:c>
      <x:c r="L795" s="14" t="n">
        <x:f>I795/K795-1</x:f>
        <x:v>0.2031053681080366</x:v>
      </x:c>
      <x:c r="M795" s="8" t="n">
        <x:f>'Source Data'!G795</x:f>
        <x:v>6577</x:v>
      </x:c>
      <x:c r="N795" s="8" t="n">
        <x:f>M795*('Source Data'!H$8/'Source Data'!G$8)*EXP(F795*('Source Data'!H$7-'Source Data'!G$7))</x:f>
        <x:v>6020.095608494094</x:v>
      </x:c>
      <x:c r="O795" s="14" t="n">
        <x:f>I795/N795-1</x:f>
        <x:v>0.12008187884689381</x:v>
      </x:c>
      <x:c r="P795" s="2" t="str"/>
    </x:row>
    <x:row r="796">
      <x:c r="A796" s="2" t="str">
        <x:f>'Source Data'!A796</x:f>
        <x:v>811192</x:v>
      </x:c>
      <x:c r="B796" s="2" t="str">
        <x:f>'Source Data'!B796</x:f>
        <x:v>Car Washes</x:v>
      </x:c>
      <x:c r="C796" s="13" t="n">
        <x:f>LN('Source Data'!C796/'Source Data'!C$8)</x:f>
        <x:v>-6.242836904477952</x:v>
      </x:c>
      <x:c r="D796" s="13" t="n">
        <x:f>LN('Source Data'!D796/'Source Data'!D$8)</x:f>
        <x:v>-6.309952686207284</x:v>
      </x:c>
      <x:c r="E796" s="13" t="n">
        <x:f>LN('Source Data'!E796/'Source Data'!E$8)</x:f>
        <x:v>-6.324874176067749</x:v>
      </x:c>
      <x:c r="F796" s="13" t="n">
        <x:f>SLOPE(C796:E796,'Source Data'!C$7:E$7)</x:f>
        <x:v>-0.04101863579489873</x:v>
      </x:c>
      <x:c r="G796" s="14" t="n">
        <x:f>EXP(F796)-1</x:f>
        <x:v>-0.04018875706433478</x:v>
      </x:c>
      <x:c r="H796" s="8" t="n">
        <x:f>'Source Data'!F796</x:f>
        <x:v>26186</x:v>
      </x:c>
      <x:c r="I796" s="8" t="n">
        <x:f>'Source Data'!H796</x:f>
        <x:v>25694</x:v>
      </x:c>
      <x:c r="J796" s="14" t="n">
        <x:f>I796/H796-1</x:f>
        <x:v>-0.018788665699228546</x:v>
      </x:c>
      <x:c r="K796" s="8" t="n">
        <x:f>H796*('Source Data'!H$8/'Source Data'!F$8)*EXP(F796*('Source Data'!H$7-'Source Data'!F$7))</x:f>
        <x:v>22617.826504225584</x:v>
      </x:c>
      <x:c r="L796" s="14" t="n">
        <x:f>I796/K796-1</x:f>
        <x:v>0.13600659175627272</x:v>
      </x:c>
      <x:c r="M796" s="8" t="n">
        <x:f>'Source Data'!G796</x:f>
        <x:v>24170</x:v>
      </x:c>
      <x:c r="N796" s="8" t="n">
        <x:f>M796*('Source Data'!H$8/'Source Data'!G$8)*EXP(F796*('Source Data'!H$7-'Source Data'!G$7))</x:f>
        <x:v>21705.67245616495</x:v>
      </x:c>
      <x:c r="O796" s="14" t="n">
        <x:f>I796/N796-1</x:f>
        <x:v>0.18374586421542838</x:v>
      </x:c>
      <x:c r="P796" s="2" t="str"/>
    </x:row>
    <x:row r="797">
      <x:c r="A797" s="2" t="str">
        <x:f>'Source Data'!A797</x:f>
        <x:v>811198</x:v>
      </x:c>
      <x:c r="B797" s="2" t="str">
        <x:f>'Source Data'!B797</x:f>
        <x:v>All Other Automotive Repair and Maintenance</x:v>
      </x:c>
      <x:c r="C797" s="13" t="n">
        <x:f>LN('Source Data'!C797/'Source Data'!C$8)</x:f>
        <x:v>-8.120015729424471</x:v>
      </x:c>
      <x:c r="D797" s="13" t="n">
        <x:f>LN('Source Data'!D797/'Source Data'!D$8)</x:f>
        <x:v>-8.03847720376801</x:v>
      </x:c>
      <x:c r="E797" s="13" t="n">
        <x:f>LN('Source Data'!E797/'Source Data'!E$8)</x:f>
        <x:v>-8.025373195491156</x:v>
      </x:c>
      <x:c r="F797" s="13" t="n">
        <x:f>SLOPE(C797:E797,'Source Data'!C$7:E$7)</x:f>
        <x:v>0.04732126696665784</x:v>
      </x:c>
      <x:c r="G797" s="14" t="n">
        <x:f>EXP(F797)-1</x:f>
        <x:v>0.048458790153620424</x:v>
      </x:c>
      <x:c r="H797" s="8" t="n">
        <x:f>'Source Data'!F797</x:f>
        <x:v>4515</x:v>
      </x:c>
      <x:c r="I797" s="8" t="n">
        <x:f>'Source Data'!H797</x:f>
        <x:v>3998</x:v>
      </x:c>
      <x:c r="J797" s="14" t="n">
        <x:f>I797/H797-1</x:f>
        <x:v>-0.11450719822812849</x:v>
      </x:c>
      <x:c r="K797" s="8" t="n">
        <x:f>H797*('Source Data'!H$8/'Source Data'!F$8)*EXP(F797*('Source Data'!H$7-'Source Data'!F$7))</x:f>
        <x:v>5552.66648337045</x:v>
      </x:c>
      <x:c r="L797" s="14" t="n">
        <x:f>I797/K797-1</x:f>
        <x:v>-0.27998556874007896</x:v>
      </x:c>
      <x:c r="M797" s="8" t="n">
        <x:f>'Source Data'!G797</x:f>
        <x:v>4413</x:v>
      </x:c>
      <x:c r="N797" s="8" t="n">
        <x:f>M797*('Source Data'!H$8/'Source Data'!G$8)*EXP(F797*('Source Data'!H$7-'Source Data'!G$7))</x:f>
        <x:v>5165.675477317768</x:v>
      </x:c>
      <x:c r="O797" s="14" t="n">
        <x:f>I797/N797-1</x:f>
        <x:v>-0.22604507047432132</x:v>
      </x:c>
      <x:c r="P797" s="2" t="str"/>
    </x:row>
    <x:row r="798">
      <x:c r="A798" s="2" t="str">
        <x:f>'Source Data'!A798</x:f>
        <x:v>811210</x:v>
      </x:c>
      <x:c r="B798" s="2" t="str">
        <x:f>'Source Data'!B798</x:f>
        <x:v>Electronic and Precision Equipment Repair and Maintenance</x:v>
      </x:c>
      <x:c r="C798" s="13" t="n">
        <x:f>LN('Source Data'!C798/'Source Data'!C$8)</x:f>
        <x:v>-7.193709469452175</x:v>
      </x:c>
      <x:c r="D798" s="13" t="n">
        <x:f>LN('Source Data'!D798/'Source Data'!D$8)</x:f>
        <x:v>-7.2287485284956166</x:v>
      </x:c>
      <x:c r="E798" s="13" t="n">
        <x:f>LN('Source Data'!E798/'Source Data'!E$8)</x:f>
        <x:v>-7.256189995701835</x:v>
      </x:c>
      <x:c r="F798" s="13" t="n">
        <x:f>SLOPE(C798:E798,'Source Data'!C$7:E$7)</x:f>
        <x:v>-0.03124026312482986</x:v>
      </x:c>
      <x:c r="G798" s="14" t="n">
        <x:f>EXP(F798)-1</x:f>
        <x:v>-0.030757328174696008</x:v>
      </x:c>
      <x:c r="H798" s="8" t="n">
        <x:f>'Source Data'!F798</x:f>
        <x:v>9505</x:v>
      </x:c>
      <x:c r="I798" s="8" t="n">
        <x:f>'Source Data'!H798</x:f>
        <x:v>7751</x:v>
      </x:c>
      <x:c r="J798" s="14" t="n">
        <x:f>I798/H798-1</x:f>
        <x:v>-0.1845344555497107</x:v>
      </x:c>
      <x:c r="K798" s="8" t="n">
        <x:f>H798*('Source Data'!H$8/'Source Data'!F$8)*EXP(F798*('Source Data'!H$7-'Source Data'!F$7))</x:f>
        <x:v>8537.301109670014</x:v>
      </x:c>
      <x:c r="L798" s="14" t="n">
        <x:f>I798/K798-1</x:f>
        <x:v>-0.09210183634959157</x:v>
      </x:c>
      <x:c r="M798" s="8" t="n">
        <x:f>'Source Data'!G798</x:f>
        <x:v>9112</x:v>
      </x:c>
      <x:c r="N798" s="8" t="n">
        <x:f>M798*('Source Data'!H$8/'Source Data'!G$8)*EXP(F798*('Source Data'!H$7-'Source Data'!G$7))</x:f>
        <x:v>8426.561323252212</x:v>
      </x:c>
      <x:c r="O798" s="14" t="n">
        <x:f>I798/N798-1</x:f>
        <x:v>-0.08017046305567976</x:v>
      </x:c>
      <x:c r="P798" s="2" t="str"/>
    </x:row>
    <x:row r="799">
      <x:c r="A799" s="2" t="str">
        <x:f>'Source Data'!A799</x:f>
        <x:v>811310</x:v>
      </x:c>
      <x:c r="B799" s="2" t="str">
        <x:f>'Source Data'!B799</x:f>
        <x:v>Commercial and Industrial Machinery and Equipment (except Automotive and Electronic) Repair and Maintenance</x:v>
      </x:c>
      <x:c r="C799" s="13" t="n">
        <x:f>LN('Source Data'!C799/'Source Data'!C$8)</x:f>
        <x:v>-6.664281748082845</x:v>
      </x:c>
      <x:c r="D799" s="13" t="n">
        <x:f>LN('Source Data'!D799/'Source Data'!D$8)</x:f>
        <x:v>-6.6935546280298635</x:v>
      </x:c>
      <x:c r="E799" s="13" t="n">
        <x:f>LN('Source Data'!E799/'Source Data'!E$8)</x:f>
        <x:v>-6.678311875523281</x:v>
      </x:c>
      <x:c r="F799" s="13" t="n">
        <x:f>SLOPE(C799:E799,'Source Data'!C$7:E$7)</x:f>
        <x:v>-0.007015063720217984</x:v>
      </x:c>
      <x:c r="G799" s="14" t="n">
        <x:f>EXP(F799)-1</x:f>
        <x:v>-0.006990515596477009</x:v>
      </x:c>
      <x:c r="H799" s="8" t="n">
        <x:f>'Source Data'!F799</x:f>
        <x:v>17390</x:v>
      </x:c>
      <x:c r="I799" s="8" t="n">
        <x:f>'Source Data'!H799</x:f>
        <x:v>16610</x:v>
      </x:c>
      <x:c r="J799" s="14" t="n">
        <x:f>I799/H799-1</x:f>
        <x:v>-0.04485336400230022</x:v>
      </x:c>
      <x:c r="K799" s="8" t="n">
        <x:f>H799*('Source Data'!H$8/'Source Data'!F$8)*EXP(F799*('Source Data'!H$7-'Source Data'!F$7))</x:f>
        <x:v>17208.837819732566</x:v>
      </x:c>
      <x:c r="L799" s="14" t="n">
        <x:f>I799/K799-1</x:f>
        <x:v>-0.03479827202775465</x:v>
      </x:c>
      <x:c r="M799" s="8" t="n">
        <x:f>'Source Data'!G799</x:f>
        <x:v>17841</x:v>
      </x:c>
      <x:c r="N799" s="8" t="n">
        <x:f>M799*('Source Data'!H$8/'Source Data'!G$8)*EXP(F799*('Source Data'!H$7-'Source Data'!G$7))</x:f>
        <x:v>17742.649736341973</x:v>
      </x:c>
      <x:c r="O799" s="14" t="n">
        <x:f>I799/N799-1</x:f>
        <x:v>-0.0638376878974275</x:v>
      </x:c>
      <x:c r="P799" s="2" t="str"/>
    </x:row>
    <x:row r="800">
      <x:c r="A800" s="2" t="str">
        <x:f>'Source Data'!A800</x:f>
        <x:v>811411</x:v>
      </x:c>
      <x:c r="B800" s="2" t="str">
        <x:f>'Source Data'!B800</x:f>
        <x:v>Home and Garden Equipment Repair and Maintenance</x:v>
      </x:c>
      <x:c r="C800" s="13" t="n">
        <x:f>LN('Source Data'!C800/'Source Data'!C$8)</x:f>
        <x:v>-11.147284300096729</x:v>
      </x:c>
      <x:c r="D800" s="13" t="n">
        <x:f>LN('Source Data'!D800/'Source Data'!D$8)</x:f>
        <x:v>-11.127191367366736</x:v>
      </x:c>
      <x:c r="E800" s="13" t="n">
        <x:f>LN('Source Data'!E800/'Source Data'!E$8)</x:f>
        <x:v>-11.034967281982619</x:v>
      </x:c>
      <x:c r="F800" s="13" t="n">
        <x:f>SLOPE(C800:E800,'Source Data'!C$7:E$7)</x:f>
        <x:v>0.056158509057055106</x:v>
      </x:c>
      <x:c r="G800" s="14" t="n">
        <x:f>EXP(F800)-1</x:f>
        <x:v>0.057765335835040954</x:v>
      </x:c>
      <x:c r="H800" s="8" t="n">
        <x:f>'Source Data'!F800</x:f>
        <x:v>320</x:v>
      </x:c>
      <x:c r="I800" s="8" t="n">
        <x:f>'Source Data'!H800</x:f>
        <x:v>267</x:v>
      </x:c>
      <x:c r="J800" s="14" t="n">
        <x:f>I800/H800-1</x:f>
        <x:v>-0.16562500000000002</x:v>
      </x:c>
      <x:c r="K800" s="8" t="n">
        <x:f>H800*('Source Data'!H$8/'Source Data'!F$8)*EXP(F800*('Source Data'!H$7-'Source Data'!F$7))</x:f>
        <x:v>407.7046589351003</x:v>
      </x:c>
      <x:c r="L800" s="14" t="n">
        <x:f>I800/K800-1</x:f>
        <x:v>-0.3451141797167889</x:v>
      </x:c>
      <x:c r="M800" s="8" t="n">
        <x:f>'Source Data'!G800</x:f>
        <x:v>289</x:v>
      </x:c>
      <x:c r="N800" s="8" t="n">
        <x:f>M800*('Source Data'!H$8/'Source Data'!G$8)*EXP(F800*('Source Data'!H$7-'Source Data'!G$7))</x:f>
        <x:v>347.3800959545015</x:v>
      </x:c>
      <x:c r="O800" s="14" t="n">
        <x:f>I800/N800-1</x:f>
        <x:v>-0.2313894690299969</x:v>
      </x:c>
      <x:c r="P800" s="2" t="str"/>
    </x:row>
    <x:row r="801">
      <x:c r="A801" s="2" t="str">
        <x:f>'Source Data'!A801</x:f>
        <x:v>811412</x:v>
      </x:c>
      <x:c r="B801" s="2" t="str">
        <x:f>'Source Data'!B801</x:f>
        <x:v>Appliance Repair and Maintenance</x:v>
      </x:c>
      <x:c r="C801" s="13" t="n">
        <x:f>LN('Source Data'!C801/'Source Data'!C$8)</x:f>
        <x:v>-8.726700444986614</x:v>
      </x:c>
      <x:c r="D801" s="13" t="n">
        <x:f>LN('Source Data'!D801/'Source Data'!D$8)</x:f>
        <x:v>-8.625755415627525</x:v>
      </x:c>
      <x:c r="E801" s="13" t="n">
        <x:f>LN('Source Data'!E801/'Source Data'!E$8)</x:f>
        <x:v>-8.651954939875958</x:v>
      </x:c>
      <x:c r="F801" s="13" t="n">
        <x:f>SLOPE(C801:E801,'Source Data'!C$7:E$7)</x:f>
        <x:v>0.03737275255532779</x:v>
      </x:c>
      <x:c r="G801" s="14" t="n">
        <x:f>EXP(F801)-1</x:f>
        <x:v>0.038079895663130525</x:v>
      </x:c>
      <x:c r="H801" s="8" t="n">
        <x:f>'Source Data'!F801</x:f>
        <x:v>2958</x:v>
      </x:c>
      <x:c r="I801" s="8" t="n">
        <x:f>'Source Data'!H801</x:f>
        <x:v>2743</x:v>
      </x:c>
      <x:c r="J801" s="14" t="n">
        <x:f>I801/H801-1</x:f>
        <x:v>-0.072684246112238</x:v>
      </x:c>
      <x:c r="K801" s="8" t="n">
        <x:f>H801*('Source Data'!H$8/'Source Data'!F$8)*EXP(F801*('Source Data'!H$7-'Source Data'!F$7))</x:f>
        <x:v>3495.9053359490226</x:v>
      </x:c>
      <x:c r="L801" s="14" t="n">
        <x:f>I801/K801-1</x:f>
        <x:v>-0.21536776988975126</x:v>
      </x:c>
      <x:c r="M801" s="8" t="n">
        <x:f>'Source Data'!G801</x:f>
        <x:v>3021</x:v>
      </x:c>
      <x:c r="N801" s="8" t="n">
        <x:f>M801*('Source Data'!H$8/'Source Data'!G$8)*EXP(F801*('Source Data'!H$7-'Source Data'!G$7))</x:f>
        <x:v>3432.2756727789833</x:v>
      </x:c>
      <x:c r="O801" s="14" t="n">
        <x:f>I801/N801-1</x:f>
        <x:v>-0.2008217691386377</x:v>
      </x:c>
      <x:c r="P801" s="2" t="str"/>
    </x:row>
    <x:row r="802">
      <x:c r="A802" s="2" t="str">
        <x:f>'Source Data'!A802</x:f>
        <x:v>811420</x:v>
      </x:c>
      <x:c r="B802" s="2" t="str">
        <x:f>'Source Data'!B802</x:f>
        <x:v>Reupholstery and Furniture Repair</x:v>
      </x:c>
      <x:c r="C802" s="13" t="n">
        <x:f>LN('Source Data'!C802/'Source Data'!C$8)</x:f>
        <x:v>-8.793600106326775</x:v>
      </x:c>
      <x:c r="D802" s="13" t="n">
        <x:f>LN('Source Data'!D802/'Source Data'!D$8)</x:f>
        <x:v>-8.822283392956551</x:v>
      </x:c>
      <x:c r="E802" s="13" t="n">
        <x:f>LN('Source Data'!E802/'Source Data'!E$8)</x:f>
        <x:v>-8.812598522845374</x:v>
      </x:c>
      <x:c r="F802" s="13" t="n">
        <x:f>SLOPE(C802:E802,'Source Data'!C$7:E$7)</x:f>
        <x:v>-0.009499208259299508</x:v>
      </x:c>
      <x:c r="G802" s="14" t="n">
        <x:f>EXP(F802)-1</x:f>
        <x:v>-0.009454233302010784</x:v>
      </x:c>
      <x:c r="H802" s="8" t="n">
        <x:f>'Source Data'!F802</x:f>
        <x:v>2027</x:v>
      </x:c>
      <x:c r="I802" s="8" t="n">
        <x:f>'Source Data'!H802</x:f>
        <x:v>1832</x:v>
      </x:c>
      <x:c r="J802" s="14" t="n">
        <x:f>I802/H802-1</x:f>
        <x:v>-0.09620128268376915</x:v>
      </x:c>
      <x:c r="K802" s="8" t="n">
        <x:f>H802*('Source Data'!H$8/'Source Data'!F$8)*EXP(F802*('Source Data'!H$7-'Source Data'!F$7))</x:f>
        <x:v>1986.050591826978</x:v>
      </x:c>
      <x:c r="L802" s="14" t="n">
        <x:f>I802/K802-1</x:f>
        <x:v>-0.07756629788834635</x:v>
      </x:c>
      <x:c r="M802" s="8" t="n">
        <x:f>'Source Data'!G802</x:f>
        <x:v>2087</x:v>
      </x:c>
      <x:c r="N802" s="8" t="n">
        <x:f>M802*('Source Data'!H$8/'Source Data'!G$8)*EXP(F802*('Source Data'!H$7-'Source Data'!G$7))</x:f>
        <x:v>2060.085209709847</x:v>
      </x:c>
      <x:c r="O802" s="14" t="n">
        <x:f>I802/N802-1</x:f>
        <x:v>-0.11071639592129856</x:v>
      </x:c>
      <x:c r="P802" s="2" t="str"/>
    </x:row>
    <x:row r="803">
      <x:c r="A803" s="2" t="str">
        <x:f>'Source Data'!A803</x:f>
        <x:v>811430</x:v>
      </x:c>
      <x:c r="B803" s="2" t="str">
        <x:f>'Source Data'!B803</x:f>
        <x:v>Footwear and Leather Goods Repair</x:v>
      </x:c>
      <x:c r="C803" s="13" t="n">
        <x:f>LN('Source Data'!C803/'Source Data'!C$8)</x:f>
        <x:v>-10.50135085701705</x:v>
      </x:c>
      <x:c r="D803" s="13" t="n">
        <x:f>LN('Source Data'!D803/'Source Data'!D$8)</x:f>
        <x:v>-10.648504615547541</x:v>
      </x:c>
      <x:c r="E803" s="13" t="n">
        <x:f>LN('Source Data'!E803/'Source Data'!E$8)</x:f>
        <x:v>-10.632283816836331</x:v>
      </x:c>
      <x:c r="F803" s="13" t="n">
        <x:f>SLOPE(C803:E803,'Source Data'!C$7:E$7)</x:f>
        <x:v>-0.06546647990964072</x:v>
      </x:c>
      <x:c r="G803" s="14" t="n">
        <x:f>EXP(F803)-1</x:f>
        <x:v>-0.06336955782950882</x:v>
      </x:c>
      <x:c r="H803" s="8" t="n">
        <x:f>'Source Data'!F803</x:f>
        <x:v>322</x:v>
      </x:c>
      <x:c r="I803" s="8" t="n">
        <x:f>'Source Data'!H803</x:f>
        <x:v>372</x:v>
      </x:c>
      <x:c r="J803" s="14" t="n">
        <x:f>I803/H803-1</x:f>
        <x:v>0.15527950310559002</x:v>
      </x:c>
      <x:c r="K803" s="8" t="n">
        <x:f>H803*('Source Data'!H$8/'Source Data'!F$8)*EXP(F803*('Source Data'!H$7-'Source Data'!F$7))</x:f>
        <x:v>252.2129148556086</x:v>
      </x:c>
      <x:c r="L803" s="14" t="n">
        <x:f>I803/K803-1</x:f>
        <x:v>0.4749442954297929</x:v>
      </x:c>
      <x:c r="M803" s="8" t="n">
        <x:f>'Source Data'!G803</x:f>
        <x:v>385</x:v>
      </x:c>
      <x:c r="N803" s="8" t="n">
        <x:f>M803*('Source Data'!H$8/'Source Data'!G$8)*EXP(F803*('Source Data'!H$7-'Source Data'!G$7))</x:f>
        <x:v>321.29549251479455</x:v>
      </x:c>
      <x:c r="O803" s="14" t="n">
        <x:f>I803/N803-1</x:f>
        <x:v>0.15781269475129878</x:v>
      </x:c>
      <x:c r="P803" s="2" t="str"/>
    </x:row>
    <x:row r="804">
      <x:c r="A804" s="2" t="str">
        <x:f>'Source Data'!A804</x:f>
        <x:v>811490</x:v>
      </x:c>
      <x:c r="B804" s="2" t="str">
        <x:f>'Source Data'!B804</x:f>
        <x:v>Other Personal and Household Goods Repair and Maintenance</x:v>
      </x:c>
      <x:c r="C804" s="13" t="n">
        <x:f>LN('Source Data'!C804/'Source Data'!C$8)</x:f>
        <x:v>-8.207198163547602</x:v>
      </x:c>
      <x:c r="D804" s="13" t="n">
        <x:f>LN('Source Data'!D804/'Source Data'!D$8)</x:f>
        <x:v>-8.171554608097635</x:v>
      </x:c>
      <x:c r="E804" s="13" t="n">
        <x:f>LN('Source Data'!E804/'Source Data'!E$8)</x:f>
        <x:v>-8.120354684713615</x:v>
      </x:c>
      <x:c r="F804" s="13" t="n">
        <x:f>SLOPE(C804:E804,'Source Data'!C$7:E$7)</x:f>
        <x:v>0.04342173941699379</x:v>
      </x:c>
      <x:c r="G804" s="14" t="n">
        <x:f>EXP(F804)-1</x:f>
        <x:v>0.04437825746237323</x:v>
      </x:c>
      <x:c r="H804" s="8" t="n">
        <x:f>'Source Data'!F804</x:f>
        <x:v>3782</x:v>
      </x:c>
      <x:c r="I804" s="8" t="n">
        <x:f>'Source Data'!H804</x:f>
        <x:v>3559</x:v>
      </x:c>
      <x:c r="J804" s="14" t="n">
        <x:f>I804/H804-1</x:f>
        <x:v>-0.05896351136964573</x:v>
      </x:c>
      <x:c r="K804" s="8" t="n">
        <x:f>H804*('Source Data'!H$8/'Source Data'!F$8)*EXP(F804*('Source Data'!H$7-'Source Data'!F$7))</x:f>
        <x:v>4579.216588746297</x:v>
      </x:c>
      <x:c r="L804" s="14" t="n">
        <x:f>I804/K804-1</x:f>
        <x:v>-0.22279282252198795</x:v>
      </x:c>
      <x:c r="M804" s="8" t="n">
        <x:f>'Source Data'!G804</x:f>
        <x:v>3829</x:v>
      </x:c>
      <x:c r="N804" s="8" t="n">
        <x:f>M804*('Source Data'!H$8/'Source Data'!G$8)*EXP(F804*('Source Data'!H$7-'Source Data'!G$7))</x:f>
        <x:v>4429.940856593453</x:v>
      </x:c>
      <x:c r="O804" s="14" t="n">
        <x:f>I804/N804-1</x:f>
        <x:v>-0.19660326961186358</x:v>
      </x:c>
      <x:c r="P804" s="2" t="str"/>
    </x:row>
    <x:row r="805">
      <x:c r="A805" s="2" t="str">
        <x:f>'Source Data'!A805</x:f>
        <x:v>812111</x:v>
      </x:c>
      <x:c r="B805" s="2" t="str">
        <x:f>'Source Data'!B805</x:f>
        <x:v>Barber Shops</x:v>
      </x:c>
      <x:c r="C805" s="13" t="n">
        <x:f>LN('Source Data'!C805/'Source Data'!C$8)</x:f>
        <x:v>-8.770348545953716</x:v>
      </x:c>
      <x:c r="D805" s="13" t="n">
        <x:f>LN('Source Data'!D805/'Source Data'!D$8)</x:f>
        <x:v>-8.744635125610058</x:v>
      </x:c>
      <x:c r="E805" s="13" t="n">
        <x:f>LN('Source Data'!E805/'Source Data'!E$8)</x:f>
        <x:v>-8.662778393042867</x:v>
      </x:c>
      <x:c r="F805" s="13" t="n">
        <x:f>SLOPE(C805:E805,'Source Data'!C$7:E$7)</x:f>
        <x:v>0.05378507645542463</x:v>
      </x:c>
      <x:c r="G805" s="14" t="n">
        <x:f>EXP(F805)-1</x:f>
        <x:v>0.055257778038934724</x:v>
      </x:c>
      <x:c r="H805" s="8" t="n">
        <x:f>'Source Data'!F805</x:f>
        <x:v>2342</x:v>
      </x:c>
      <x:c r="I805" s="8" t="n">
        <x:f>'Source Data'!H805</x:f>
        <x:v>2609</x:v>
      </x:c>
      <x:c r="J805" s="14" t="n">
        <x:f>I805/H805-1</x:f>
        <x:v>0.11400512382578998</x:v>
      </x:c>
      <x:c r="K805" s="8" t="n">
        <x:f>H805*('Source Data'!H$8/'Source Data'!F$8)*EXP(F805*('Source Data'!H$7-'Source Data'!F$7))</x:f>
        <x:v>2955.694285628109</x:v>
      </x:c>
      <x:c r="L805" s="14" t="n">
        <x:f>I805/K805-1</x:f>
        <x:v>-0.11729707206658335</x:v>
      </x:c>
      <x:c r="M805" s="8" t="n">
        <x:f>'Source Data'!G805</x:f>
        <x:v>2570</x:v>
      </x:c>
      <x:c r="N805" s="8" t="n">
        <x:f>M805*('Source Data'!H$8/'Source Data'!G$8)*EXP(F805*('Source Data'!H$7-'Source Data'!G$7))</x:f>
        <x:v>3067.241031833973</x:v>
      </x:c>
      <x:c r="O805" s="14" t="n">
        <x:f>I805/N805-1</x:f>
        <x:v>-0.14939844214329</x:v>
      </x:c>
      <x:c r="P805" s="2" t="str"/>
    </x:row>
    <x:row r="806">
      <x:c r="A806" s="2" t="str">
        <x:f>'Source Data'!A806</x:f>
        <x:v>812112</x:v>
      </x:c>
      <x:c r="B806" s="2" t="str">
        <x:f>'Source Data'!B806</x:f>
        <x:v>Beauty Salons</x:v>
      </x:c>
      <x:c r="C806" s="13" t="n">
        <x:f>LN('Source Data'!C806/'Source Data'!C$8)</x:f>
        <x:v>-6.017615404192191</x:v>
      </x:c>
      <x:c r="D806" s="13" t="n">
        <x:f>LN('Source Data'!D806/'Source Data'!D$8)</x:f>
        <x:v>-6.004529453444624</x:v>
      </x:c>
      <x:c r="E806" s="13" t="n">
        <x:f>LN('Source Data'!E806/'Source Data'!E$8)</x:f>
        <x:v>-6.001429594669059</x:v>
      </x:c>
      <x:c r="F806" s="13" t="n">
        <x:f>SLOPE(C806:E806,'Source Data'!C$7:E$7)</x:f>
        <x:v>0.0080929047615661</x:v>
      </x:c>
      <x:c r="G806" s="14" t="n">
        <x:f>EXP(F806)-1</x:f>
        <x:v>0.008125740835273954</x:v>
      </x:c>
      <x:c r="H806" s="8" t="n">
        <x:f>'Source Data'!F806</x:f>
        <x:v>30419</x:v>
      </x:c>
      <x:c r="I806" s="8" t="n">
        <x:f>'Source Data'!H806</x:f>
        <x:v>30127</x:v>
      </x:c>
      <x:c r="J806" s="14" t="n">
        <x:f>I806/H806-1</x:f>
        <x:v>-0.009599263618133458</x:v>
      </x:c>
      <x:c r="K806" s="8" t="n">
        <x:f>H806*('Source Data'!H$8/'Source Data'!F$8)*EXP(F806*('Source Data'!H$7-'Source Data'!F$7))</x:f>
        <x:v>31977.32434279372</x:v>
      </x:c>
      <x:c r="L806" s="14" t="n">
        <x:f>I806/K806-1</x:f>
        <x:v>-0.05786363871343414</x:v>
      </x:c>
      <x:c r="M806" s="8" t="n">
        <x:f>'Source Data'!G806</x:f>
        <x:v>31319</x:v>
      </x:c>
      <x:c r="N806" s="8" t="n">
        <x:f>M806*('Source Data'!H$8/'Source Data'!G$8)*EXP(F806*('Source Data'!H$7-'Source Data'!G$7))</x:f>
        <x:v>32590.505348811388</x:v>
      </x:c>
      <x:c r="O806" s="14" t="n">
        <x:f>I806/N806-1</x:f>
        <x:v>-0.07558966399707068</x:v>
      </x:c>
      <x:c r="P806" s="2" t="str"/>
    </x:row>
    <x:row r="807">
      <x:c r="A807" s="2" t="str">
        <x:f>'Source Data'!A807</x:f>
        <x:v>812113</x:v>
      </x:c>
      <x:c r="B807" s="2" t="str">
        <x:f>'Source Data'!B807</x:f>
        <x:v>Nail Salons</x:v>
      </x:c>
      <x:c r="C807" s="13" t="n">
        <x:f>LN('Source Data'!C807/'Source Data'!C$8)</x:f>
        <x:v>-6.514914582531573</x:v>
      </x:c>
      <x:c r="D807" s="13" t="n">
        <x:f>LN('Source Data'!D807/'Source Data'!D$8)</x:f>
        <x:v>-6.437509048931482</x:v>
      </x:c>
      <x:c r="E807" s="13" t="n">
        <x:f>LN('Source Data'!E807/'Source Data'!E$8)</x:f>
        <x:v>-6.365180452908556</x:v>
      </x:c>
      <x:c r="F807" s="13" t="n">
        <x:f>SLOPE(C807:E807,'Source Data'!C$7:E$7)</x:f>
        <x:v>0.07486706481150884</x:v>
      </x:c>
      <x:c r="G807" s="14" t="n">
        <x:f>EXP(F807)-1</x:f>
        <x:v>0.07774087167549748</x:v>
      </x:c>
      <x:c r="H807" s="8" t="n">
        <x:f>'Source Data'!F807</x:f>
        <x:v>35164</x:v>
      </x:c>
      <x:c r="I807" s="8" t="n">
        <x:f>'Source Data'!H807</x:f>
        <x:v>40190</x:v>
      </x:c>
      <x:c r="J807" s="14" t="n">
        <x:f>I807/H807-1</x:f>
        <x:v>0.14293026959390276</x:v>
      </x:c>
      <x:c r="K807" s="8" t="n">
        <x:f>H807*('Source Data'!H$8/'Source Data'!F$8)*EXP(F807*('Source Data'!H$7-'Source Data'!F$7))</x:f>
        <x:v>48282.97897295113</x:v>
      </x:c>
      <x:c r="L807" s="14" t="n">
        <x:f>I807/K807-1</x:f>
        <x:v>-0.16761556857303572</x:v>
      </x:c>
      <x:c r="M807" s="8" t="n">
        <x:f>'Source Data'!G807</x:f>
        <x:v>35757</x:v>
      </x:c>
      <x:c r="N807" s="8" t="n">
        <x:f>M807*('Source Data'!H$8/'Source Data'!G$8)*EXP(F807*('Source Data'!H$7-'Source Data'!G$7))</x:f>
        <x:v>45461.44441191086</x:v>
      </x:c>
      <x:c r="O807" s="14" t="n">
        <x:f>I807/N807-1</x:f>
        <x:v>-0.11595417787758955</x:v>
      </x:c>
      <x:c r="P807" s="2" t="str"/>
    </x:row>
    <x:row r="808">
      <x:c r="A808" s="2" t="str">
        <x:f>'Source Data'!A808</x:f>
        <x:v>812191</x:v>
      </x:c>
      <x:c r="B808" s="2" t="str">
        <x:f>'Source Data'!B808</x:f>
        <x:v>Diet and Weight Reducing Centers</x:v>
      </x:c>
      <x:c r="C808" s="13" t="n">
        <x:f>LN('Source Data'!C808/'Source Data'!C$8)</x:f>
        <x:v>-8.763611489257164</x:v>
      </x:c>
      <x:c r="D808" s="13" t="n">
        <x:f>LN('Source Data'!D808/'Source Data'!D$8)</x:f>
        <x:v>-8.796629214636953</x:v>
      </x:c>
      <x:c r="E808" s="13" t="n">
        <x:f>LN('Source Data'!E808/'Source Data'!E$8)</x:f>
        <x:v>-8.900800840613536</x:v>
      </x:c>
      <x:c r="F808" s="13" t="n">
        <x:f>SLOPE(C808:E808,'Source Data'!C$7:E$7)</x:f>
        <x:v>-0.06859467567818633</x:v>
      </x:c>
      <x:c r="G808" s="14" t="n">
        <x:f>EXP(F808)-1</x:f>
        <x:v>-0.06629494324070917</x:v>
      </x:c>
      <x:c r="H808" s="8" t="n">
        <x:f>'Source Data'!F808</x:f>
        <x:v>1447</x:v>
      </x:c>
      <x:c r="I808" s="8" t="n">
        <x:f>'Source Data'!H808</x:f>
        <x:v>961</x:v>
      </x:c>
      <x:c r="J808" s="14" t="n">
        <x:f>I808/H808-1</x:f>
        <x:v>-0.3358673116793366</x:v>
      </x:c>
      <x:c r="K808" s="8" t="n">
        <x:f>H808*('Source Data'!H$8/'Source Data'!F$8)*EXP(F808*('Source Data'!H$7-'Source Data'!F$7))</x:f>
        <x:v>1119.298052556798</x:v>
      </x:c>
      <x:c r="L808" s="14" t="n">
        <x:f>I808/K808-1</x:f>
        <x:v>-0.14142618420107123</x:v>
      </x:c>
      <x:c r="M808" s="8" t="n">
        <x:f>'Source Data'!G808</x:f>
        <x:v>1430</x:v>
      </x:c>
      <x:c r="N808" s="8" t="n">
        <x:f>M808*('Source Data'!H$8/'Source Data'!G$8)*EXP(F808*('Source Data'!H$7-'Source Data'!G$7))</x:f>
        <x:v>1182.23623545205</x:v>
      </x:c>
      <x:c r="O808" s="14" t="n">
        <x:f>I808/N808-1</x:f>
        <x:v>-0.1871336952952185</x:v>
      </x:c>
      <x:c r="P808" s="2" t="str"/>
    </x:row>
    <x:row r="809">
      <x:c r="A809" s="2" t="str">
        <x:f>'Source Data'!A809</x:f>
        <x:v>812199</x:v>
      </x:c>
      <x:c r="B809" s="2" t="str">
        <x:f>'Source Data'!B809</x:f>
        <x:v>Other Personal Care Services</x:v>
      </x:c>
      <x:c r="C809" s="13" t="n">
        <x:f>LN('Source Data'!C809/'Source Data'!C$8)</x:f>
        <x:v>-6.672488221588999</x:v>
      </x:c>
      <x:c r="D809" s="13" t="n">
        <x:f>LN('Source Data'!D809/'Source Data'!D$8)</x:f>
        <x:v>-6.653985695885786</x:v>
      </x:c>
      <x:c r="E809" s="13" t="n">
        <x:f>LN('Source Data'!E809/'Source Data'!E$8)</x:f>
        <x:v>-6.632729606692607</x:v>
      </x:c>
      <x:c r="F809" s="13" t="n">
        <x:f>SLOPE(C809:E809,'Source Data'!C$7:E$7)</x:f>
        <x:v>0.019879307448196215</x:v>
      </x:c>
      <x:c r="G809" s="14" t="n">
        <x:f>EXP(F809)-1</x:f>
        <x:v>0.020078216753854683</x:v>
      </x:c>
      <x:c r="H809" s="8" t="n">
        <x:f>'Source Data'!F809</x:f>
        <x:v>20946</x:v>
      </x:c>
      <x:c r="I809" s="8" t="n">
        <x:f>'Source Data'!H809</x:f>
        <x:v>26312</x:v>
      </x:c>
      <x:c r="J809" s="14" t="n">
        <x:f>I809/H809-1</x:f>
        <x:v>0.25618256469015566</x:v>
      </x:c>
      <x:c r="K809" s="8" t="n">
        <x:f>H809*('Source Data'!H$8/'Source Data'!F$8)*EXP(F809*('Source Data'!H$7-'Source Data'!F$7))</x:f>
        <x:v>23081.99628944184</x:v>
      </x:c>
      <x:c r="L809" s="14" t="n">
        <x:f>I809/K809-1</x:f>
        <x:v>0.13993606402387426</x:v>
      </x:c>
      <x:c r="M809" s="8" t="n">
        <x:f>'Source Data'!G809</x:f>
        <x:v>23336</x:v>
      </x:c>
      <x:c r="N809" s="8" t="n">
        <x:f>M809*('Source Data'!H$8/'Source Data'!G$8)*EXP(F809*('Source Data'!H$7-'Source Data'!G$7))</x:f>
        <x:v>25157.410304875753</x:v>
      </x:c>
      <x:c r="O809" s="14" t="n">
        <x:f>I809/N809-1</x:f>
        <x:v>0.045894616382691655</x:v>
      </x:c>
      <x:c r="P809" s="2" t="str"/>
    </x:row>
    <x:row r="810">
      <x:c r="A810" s="2" t="str">
        <x:f>'Source Data'!A810</x:f>
        <x:v>812210</x:v>
      </x:c>
      <x:c r="B810" s="2" t="str">
        <x:f>'Source Data'!B810</x:f>
        <x:v>Funeral Homes and Funeral Services</x:v>
      </x:c>
      <x:c r="C810" s="13" t="n">
        <x:f>LN('Source Data'!C810/'Source Data'!C$8)</x:f>
        <x:v>-7.647692356365658</x:v>
      </x:c>
      <x:c r="D810" s="13" t="n">
        <x:f>LN('Source Data'!D810/'Source Data'!D$8)</x:f>
        <x:v>-7.642308546957489</x:v>
      </x:c>
      <x:c r="E810" s="13" t="n">
        <x:f>LN('Source Data'!E810/'Source Data'!E$8)</x:f>
        <x:v>-7.650859544419202</x:v>
      </x:c>
      <x:c r="F810" s="13" t="n">
        <x:f>SLOPE(C810:E810,'Source Data'!C$7:E$7)</x:f>
        <x:v>-0.001583594026771884</x:v>
      </x:c>
      <x:c r="G810" s="14" t="n">
        <x:f>EXP(F810)-1</x:f>
        <x:v>-0.0015823408033707187</x:v>
      </x:c>
      <x:c r="H810" s="8" t="n">
        <x:f>'Source Data'!F810</x:f>
        <x:v>7310</x:v>
      </x:c>
      <x:c r="I810" s="8" t="n">
        <x:f>'Source Data'!H810</x:f>
        <x:v>7089</x:v>
      </x:c>
      <x:c r="J810" s="14" t="n">
        <x:f>I810/H810-1</x:f>
        <x:v>-0.03023255813953485</x:v>
      </x:c>
      <x:c r="K810" s="8" t="n">
        <x:f>H810*('Source Data'!H$8/'Source Data'!F$8)*EXP(F810*('Source Data'!H$7-'Source Data'!F$7))</x:f>
        <x:v>7392.728653628222</x:v>
      </x:c>
      <x:c r="L810" s="14" t="n">
        <x:f>I810/K810-1</x:f>
        <x:v>-0.04108478315096242</x:v>
      </x:c>
      <x:c r="M810" s="8" t="n">
        <x:f>'Source Data'!G810</x:f>
        <x:v>7258</x:v>
      </x:c>
      <x:c r="N810" s="8" t="n">
        <x:f>M810*('Source Data'!H$8/'Source Data'!G$8)*EXP(F810*('Source Data'!H$7-'Source Data'!G$7))</x:f>
        <x:v>7336.5658792108425</x:v>
      </x:c>
      <x:c r="O810" s="14" t="n">
        <x:f>I810/N810-1</x:f>
        <x:v>-0.03374410906775249</x:v>
      </x:c>
      <x:c r="P810" s="2" t="str"/>
    </x:row>
    <x:row r="811">
      <x:c r="A811" s="2" t="str">
        <x:f>'Source Data'!A811</x:f>
        <x:v>812220</x:v>
      </x:c>
      <x:c r="B811" s="2" t="str">
        <x:f>'Source Data'!B811</x:f>
        <x:v>Cemeteries and Crematories</x:v>
      </x:c>
      <x:c r="C811" s="13" t="n">
        <x:f>LN('Source Data'!C811/'Source Data'!C$8)</x:f>
        <x:v>-8.181110828784282</x:v>
      </x:c>
      <x:c r="D811" s="13" t="n">
        <x:f>LN('Source Data'!D811/'Source Data'!D$8)</x:f>
        <x:v>-8.191851184527097</x:v>
      </x:c>
      <x:c r="E811" s="13" t="n">
        <x:f>LN('Source Data'!E811/'Source Data'!E$8)</x:f>
        <x:v>-8.147145067708772</x:v>
      </x:c>
      <x:c r="F811" s="13" t="n">
        <x:f>SLOPE(C811:E811,'Source Data'!C$7:E$7)</x:f>
        <x:v>0.016982880537755207</x:v>
      </x:c>
      <x:c r="G811" s="14" t="n">
        <x:f>EXP(F811)-1</x:f>
        <x:v>0.017127909493347415</x:v>
      </x:c>
      <x:c r="H811" s="8" t="n">
        <x:f>'Source Data'!F811</x:f>
        <x:v>4347</x:v>
      </x:c>
      <x:c r="I811" s="8" t="n">
        <x:f>'Source Data'!H811</x:f>
        <x:v>4779</x:v>
      </x:c>
      <x:c r="J811" s="14" t="n">
        <x:f>I811/H811-1</x:f>
        <x:v>0.0993788819875776</x:v>
      </x:c>
      <x:c r="K811" s="8" t="n">
        <x:f>H811*('Source Data'!H$8/'Source Data'!F$8)*EXP(F811*('Source Data'!H$7-'Source Data'!F$7))</x:f>
        <x:v>4735.112469984833</x:v>
      </x:c>
      <x:c r="L811" s="14" t="n">
        <x:f>I811/K811-1</x:f>
        <x:v>0.009268529584748553</x:v>
      </x:c>
      <x:c r="M811" s="8" t="n">
        <x:f>'Source Data'!G811</x:f>
        <x:v>4591</x:v>
      </x:c>
      <x:c r="N811" s="8" t="n">
        <x:f>M811*('Source Data'!H$8/'Source Data'!G$8)*EXP(F811*('Source Data'!H$7-'Source Data'!G$7))</x:f>
        <x:v>4906.5146841049855</x:v>
      </x:c>
      <x:c r="O811" s="14" t="n">
        <x:f>I811/N811-1</x:f>
        <x:v>-0.025988852029339427</x:v>
      </x:c>
      <x:c r="P811" s="2" t="str"/>
    </x:row>
    <x:row r="812">
      <x:c r="A812" s="2" t="str">
        <x:f>'Source Data'!A812</x:f>
        <x:v>812310</x:v>
      </x:c>
      <x:c r="B812" s="2" t="str">
        <x:f>'Source Data'!B812</x:f>
        <x:v>Coin-Operated Laundries and Drycleaners</x:v>
      </x:c>
      <x:c r="C812" s="13" t="n">
        <x:f>LN('Source Data'!C812/'Source Data'!C$8)</x:f>
        <x:v>-8.101145047146401</x:v>
      </x:c>
      <x:c r="D812" s="13" t="n">
        <x:f>LN('Source Data'!D812/'Source Data'!D$8)</x:f>
        <x:v>-8.069248862434765</x:v>
      </x:c>
      <x:c r="E812" s="13" t="n">
        <x:f>LN('Source Data'!E812/'Source Data'!E$8)</x:f>
        <x:v>-8.05922515330513</x:v>
      </x:c>
      <x:c r="F812" s="13" t="n">
        <x:f>SLOPE(C812:E812,'Source Data'!C$7:E$7)</x:f>
        <x:v>0.02095994692063563</x:v>
      </x:c>
      <x:c r="G812" s="14" t="n">
        <x:f>EXP(F812)-1</x:f>
        <x:v>0.021181149368782126</x:v>
      </x:c>
      <x:c r="H812" s="8" t="n">
        <x:f>'Source Data'!F812</x:f>
        <x:v>4900</x:v>
      </x:c>
      <x:c r="I812" s="8" t="n">
        <x:f>'Source Data'!H812</x:f>
        <x:v>5289</x:v>
      </x:c>
      <x:c r="J812" s="14" t="n">
        <x:f>I812/H812-1</x:f>
        <x:v>0.07938775510204077</x:v>
      </x:c>
      <x:c r="K812" s="8" t="n">
        <x:f>H812*('Source Data'!H$8/'Source Data'!F$8)*EXP(F812*('Source Data'!H$7-'Source Data'!F$7))</x:f>
        <x:v>5423.07500082107</x:v>
      </x:c>
      <x:c r="L812" s="14" t="n">
        <x:f>I812/K812-1</x:f>
        <x:v>-0.024723058560091937</x:v>
      </x:c>
      <x:c r="M812" s="8" t="n">
        <x:f>'Source Data'!G812</x:f>
        <x:v>5006</x:v>
      </x:c>
      <x:c r="N812" s="8" t="n">
        <x:f>M812*('Source Data'!H$8/'Source Data'!G$8)*EXP(F812*('Source Data'!H$7-'Source Data'!G$7))</x:f>
        <x:v>5414.250052149653</x:v>
      </x:c>
      <x:c r="O812" s="14" t="n">
        <x:f>I812/N812-1</x:f>
        <x:v>-0.023133407386665583</x:v>
      </x:c>
      <x:c r="P812" s="2" t="str"/>
    </x:row>
    <x:row r="813">
      <x:c r="A813" s="2" t="str">
        <x:f>'Source Data'!A813</x:f>
        <x:v>812320</x:v>
      </x:c>
      <x:c r="B813" s="2" t="str">
        <x:f>'Source Data'!B813</x:f>
        <x:v>Drycleaning and Laundry Services (except Coin-Operated)</x:v>
      </x:c>
      <x:c r="C813" s="13" t="n">
        <x:f>LN('Source Data'!C813/'Source Data'!C$8)</x:f>
        <x:v>-6.9373165302716755</x:v>
      </x:c>
      <x:c r="D813" s="13" t="n">
        <x:f>LN('Source Data'!D813/'Source Data'!D$8)</x:f>
        <x:v>-6.966928422500496</x:v>
      </x:c>
      <x:c r="E813" s="13" t="n">
        <x:f>LN('Source Data'!E813/'Source Data'!E$8)</x:f>
        <x:v>-6.967437373956074</x:v>
      </x:c>
      <x:c r="F813" s="13" t="n">
        <x:f>SLOPE(C813:E813,'Source Data'!C$7:E$7)</x:f>
        <x:v>-0.015060421842199467</x:v>
      </x:c>
      <x:c r="G813" s="14" t="n">
        <x:f>EXP(F813)-1</x:f>
        <x:v>-0.014947580876914168</x:v>
      </x:c>
      <x:c r="H813" s="8" t="n">
        <x:f>'Source Data'!F813</x:f>
        <x:v>11166</x:v>
      </x:c>
      <x:c r="I813" s="8" t="n">
        <x:f>'Source Data'!H813</x:f>
        <x:v>11439</x:v>
      </x:c>
      <x:c r="J813" s="14" t="n">
        <x:f>I813/H813-1</x:f>
        <x:v>0.024449220849005915</x:v>
      </x:c>
      <x:c r="K813" s="8" t="n">
        <x:f>H813*('Source Data'!H$8/'Source Data'!F$8)*EXP(F813*('Source Data'!H$7-'Source Data'!F$7))</x:f>
        <x:v>10699.743450785814</x:v>
      </x:c>
      <x:c r="L813" s="14" t="n">
        <x:f>I813/K813-1</x:f>
        <x:v>0.06909105368875856</x:v>
      </x:c>
      <x:c r="M813" s="8" t="n">
        <x:f>'Source Data'!G813</x:f>
        <x:v>11192</x:v>
      </x:c>
      <x:c r="N813" s="8" t="n">
        <x:f>M813*('Source Data'!H$8/'Source Data'!G$8)*EXP(F813*('Source Data'!H$7-'Source Data'!G$7))</x:f>
        <x:v>10864.877233732466</x:v>
      </x:c>
      <x:c r="O813" s="14" t="n">
        <x:f>I813/N813-1</x:f>
        <x:v>0.05284208499706189</x:v>
      </x:c>
      <x:c r="P813" s="2" t="str"/>
    </x:row>
    <x:row r="814">
      <x:c r="A814" s="2" t="str">
        <x:f>'Source Data'!A814</x:f>
        <x:v>812331</x:v>
      </x:c>
      <x:c r="B814" s="2" t="str">
        <x:f>'Source Data'!B814</x:f>
        <x:v>Linen Supply</x:v>
      </x:c>
      <x:c r="C814" s="13" t="n">
        <x:f>LN('Source Data'!C814/'Source Data'!C$8)</x:f>
        <x:v>-7.538336313889009</x:v>
      </x:c>
      <x:c r="D814" s="13" t="n">
        <x:f>LN('Source Data'!D814/'Source Data'!D$8)</x:f>
        <x:v>-7.803829827972317</x:v>
      </x:c>
      <x:c r="E814" s="13" t="n">
        <x:f>LN('Source Data'!E814/'Source Data'!E$8)</x:f>
        <x:v>-7.837144866312251</x:v>
      </x:c>
      <x:c r="F814" s="13" t="n">
        <x:f>SLOPE(C814:E814,'Source Data'!C$7:E$7)</x:f>
        <x:v>-0.14940427621162078</x:v>
      </x:c>
      <x:c r="G814" s="14" t="n">
        <x:f>EXP(F814)-1</x:f>
        <x:v>-0.13877912660124236</x:v>
      </x:c>
      <x:c r="H814" s="8" t="n">
        <x:f>'Source Data'!F814</x:f>
        <x:v>4651</x:v>
      </x:c>
      <x:c r="I814" s="8" t="n">
        <x:f>'Source Data'!H814</x:f>
        <x:v>5107</x:v>
      </x:c>
      <x:c r="J814" s="14" t="n">
        <x:f>I814/H814-1</x:f>
        <x:v>0.09804343152010331</x:v>
      </x:c>
      <x:c r="K814" s="8" t="n">
        <x:f>H814*('Source Data'!H$8/'Source Data'!F$8)*EXP(F814*('Source Data'!H$7-'Source Data'!F$7))</x:f>
        <x:v>2604.0115257152324</x:v>
      </x:c>
      <x:c r="L814" s="14" t="n">
        <x:f>I814/K814-1</x:f>
        <x:v>0.9612048370628017</x:v>
      </x:c>
      <x:c r="M814" s="8" t="n">
        <x:f>'Source Data'!G814</x:f>
        <x:v>4899</x:v>
      </x:c>
      <x:c r="N814" s="8" t="n">
        <x:f>M814*('Source Data'!H$8/'Source Data'!G$8)*EXP(F814*('Source Data'!H$7-'Source Data'!G$7))</x:f>
        <x:v>3178.265528138418</x:v>
      </x:c>
      <x:c r="O814" s="14" t="n">
        <x:f>I814/N814-1</x:f>
        <x:v>0.606851269909876</x:v>
      </x:c>
      <x:c r="P814" s="2" t="str"/>
    </x:row>
    <x:row r="815">
      <x:c r="A815" s="2" t="str">
        <x:f>'Source Data'!A815</x:f>
        <x:v>812332</x:v>
      </x:c>
      <x:c r="B815" s="2" t="str">
        <x:f>'Source Data'!B815</x:f>
        <x:v>Industrial Launderers</x:v>
      </x:c>
      <x:c r="C815" s="13" t="n">
        <x:f>LN('Source Data'!C815/'Source Data'!C$8)</x:f>
        <x:v>-7.450306657047239</x:v>
      </x:c>
      <x:c r="D815" s="13" t="n">
        <x:f>LN('Source Data'!D815/'Source Data'!D$8)</x:f>
        <x:v>-7.280513409781791</x:v>
      </x:c>
      <x:c r="E815" s="13" t="n">
        <x:f>LN('Source Data'!E815/'Source Data'!E$8)</x:f>
        <x:v>-7.2760954560486475</x:v>
      </x:c>
      <x:c r="F815" s="13" t="n">
        <x:f>SLOPE(C815:E815,'Source Data'!C$7:E$7)</x:f>
        <x:v>0.08710560049929583</x:v>
      </x:c>
      <x:c r="G815" s="14" t="n">
        <x:f>EXP(F815)-1</x:f>
        <x:v>0.0910118850350985</x:v>
      </x:c>
      <x:c r="H815" s="8" t="n">
        <x:f>'Source Data'!F815</x:f>
        <x:v>8383</x:v>
      </x:c>
      <x:c r="I815" s="8" t="n">
        <x:f>'Source Data'!H815</x:f>
        <x:v>8798</x:v>
      </x:c>
      <x:c r="J815" s="14" t="n">
        <x:f>I815/H815-1</x:f>
        <x:v>0.04950495049504955</x:v>
      </x:c>
      <x:c r="K815" s="8" t="n">
        <x:f>H815*('Source Data'!H$8/'Source Data'!F$8)*EXP(F815*('Source Data'!H$7-'Source Data'!F$7))</x:f>
        <x:v>12088.036599877443</x:v>
      </x:c>
      <x:c r="L815" s="14" t="n">
        <x:f>I815/K815-1</x:f>
        <x:v>-0.2721729515536708</x:v>
      </x:c>
      <x:c r="M815" s="8" t="n">
        <x:f>'Source Data'!G815</x:f>
        <x:v>8998</x:v>
      </x:c>
      <x:c r="N815" s="8" t="n">
        <x:f>M815*('Source Data'!H$8/'Source Data'!G$8)*EXP(F815*('Source Data'!H$7-'Source Data'!G$7))</x:f>
        <x:v>11867.890483241847</x:v>
      </x:c>
      <x:c r="O815" s="14" t="n">
        <x:f>I815/N815-1</x:f>
        <x:v>-0.25867195923123076</x:v>
      </x:c>
      <x:c r="P815" s="2" t="str"/>
    </x:row>
    <x:row r="816">
      <x:c r="A816" s="2" t="str">
        <x:f>'Source Data'!A816</x:f>
        <x:v>812910</x:v>
      </x:c>
      <x:c r="B816" s="2" t="str">
        <x:f>'Source Data'!B816</x:f>
        <x:v>Pet Care (except Veterinary) Services</x:v>
      </x:c>
      <x:c r="C816" s="13" t="n">
        <x:f>LN('Source Data'!C816/'Source Data'!C$8)</x:f>
        <x:v>-7.102021206605037</x:v>
      </x:c>
      <x:c r="D816" s="13" t="n">
        <x:f>LN('Source Data'!D816/'Source Data'!D$8)</x:f>
        <x:v>-7.0202903100078355</x:v>
      </x:c>
      <x:c r="E816" s="13" t="n">
        <x:f>LN('Source Data'!E816/'Source Data'!E$8)</x:f>
        <x:v>-6.957783007778611</x:v>
      </x:c>
      <x:c r="F816" s="13" t="n">
        <x:f>SLOPE(C816:E816,'Source Data'!C$7:E$7)</x:f>
        <x:v>0.07211909941321304</x:v>
      </x:c>
      <x:c r="G816" s="14" t="n">
        <x:f>EXP(F816)-1</x:f>
        <x:v>0.07478334250681629</x:v>
      </x:c>
      <x:c r="H816" s="8" t="n">
        <x:f>'Source Data'!F816</x:f>
        <x:v>16500</x:v>
      </x:c>
      <x:c r="I816" s="8" t="n">
        <x:f>'Source Data'!H816</x:f>
        <x:v>18387</x:v>
      </x:c>
      <x:c r="J816" s="14" t="n">
        <x:f>I816/H816-1</x:f>
        <x:v>0.11436363636363645</x:v>
      </x:c>
      <x:c r="K816" s="8" t="n">
        <x:f>H816*('Source Data'!H$8/'Source Data'!F$8)*EXP(F816*('Source Data'!H$7-'Source Data'!F$7))</x:f>
        <x:v>22408.151158167835</x:v>
      </x:c>
      <x:c r="L816" s="14" t="n">
        <x:f>I816/K816-1</x:f>
        <x:v>-0.17945037632888838</x:v>
      </x:c>
      <x:c r="M816" s="8" t="n">
        <x:f>'Source Data'!G816</x:f>
        <x:v>17731</x:v>
      </x:c>
      <x:c r="N816" s="8" t="n">
        <x:f>M816*('Source Data'!H$8/'Source Data'!G$8)*EXP(F816*('Source Data'!H$7-'Source Data'!G$7))</x:f>
        <x:v>22358.110941387506</x:v>
      </x:c>
      <x:c r="O816" s="14" t="n">
        <x:f>I816/N816-1</x:f>
        <x:v>-0.17761388481334128</x:v>
      </x:c>
      <x:c r="P816" s="2" t="str"/>
    </x:row>
    <x:row r="817">
      <x:c r="A817" s="2" t="str">
        <x:f>'Source Data'!A817</x:f>
        <x:v>812921</x:v>
      </x:c>
      <x:c r="B817" s="2" t="str">
        <x:f>'Source Data'!B817</x:f>
        <x:v>Photofinishing Laboratories (except One-Hour)</x:v>
      </x:c>
      <x:c r="C817" s="13" t="n">
        <x:f>LN('Source Data'!C817/'Source Data'!C$8)</x:f>
        <x:v>-8.931357601384802</x:v>
      </x:c>
      <x:c r="D817" s="13" t="n">
        <x:f>LN('Source Data'!D817/'Source Data'!D$8)</x:f>
        <x:v>-9.095377874676155</x:v>
      </x:c>
      <x:c r="E817" s="13" t="n">
        <x:f>LN('Source Data'!E817/'Source Data'!E$8)</x:f>
        <x:v>-9.08965254824707</x:v>
      </x:c>
      <x:c r="F817" s="13" t="n">
        <x:f>SLOPE(C817:E817,'Source Data'!C$7:E$7)</x:f>
        <x:v>-0.07914747343113415</x:v>
      </x:c>
      <x:c r="G817" s="14" t="n">
        <x:f>EXP(F817)-1</x:f>
        <x:v>-0.0760963368453691</x:v>
      </x:c>
      <x:c r="H817" s="8" t="n">
        <x:f>'Source Data'!F817</x:f>
        <x:v>869</x:v>
      </x:c>
      <x:c r="I817" s="8" t="n">
        <x:f>'Source Data'!H817</x:f>
        <x:v>429</x:v>
      </x:c>
      <x:c r="J817" s="14" t="n">
        <x:f>I817/H817-1</x:f>
        <x:v>-0.5063291139240507</x:v>
      </x:c>
      <x:c r="K817" s="8" t="n">
        <x:f>H817*('Source Data'!H$8/'Source Data'!F$8)*EXP(F817*('Source Data'!H$7-'Source Data'!F$7))</x:f>
        <x:v>644.413909741292</x:v>
      </x:c>
      <x:c r="L817" s="14" t="n">
        <x:f>I817/K817-1</x:f>
        <x:v>-0.33427880200129845</x:v>
      </x:c>
      <x:c r="M817" s="8" t="n">
        <x:f>'Source Data'!G817</x:f>
        <x:v>698</x:v>
      </x:c>
      <x:c r="N817" s="8" t="n">
        <x:f>M817*('Source Data'!H$8/'Source Data'!G$8)*EXP(F817*('Source Data'!H$7-'Source Data'!G$7))</x:f>
        <x:v>559.0808103411712</x:v>
      </x:c>
      <x:c r="O817" s="14" t="n">
        <x:f>I817/N817-1</x:f>
        <x:v>-0.23266906668070253</x:v>
      </x:c>
      <x:c r="P817" s="2" t="str"/>
    </x:row>
    <x:row r="818">
      <x:c r="A818" s="2" t="str">
        <x:f>'Source Data'!A818</x:f>
        <x:v>812922</x:v>
      </x:c>
      <x:c r="B818" s="2" t="str">
        <x:f>'Source Data'!B818</x:f>
        <x:v>One-Hour Photofinishing</x:v>
      </x:c>
      <x:c r="C818" s="13" t="n">
        <x:f>LN('Source Data'!C818/'Source Data'!C$8)</x:f>
        <x:v>-12.020813172632803</x:v>
      </x:c>
      <x:c r="D818" s="13" t="n">
        <x:f>LN('Source Data'!D818/'Source Data'!D$8)</x:f>
        <x:v>-11.853438496353027</x:v>
      </x:c>
      <x:c r="E818" s="13" t="n">
        <x:f>LN('Source Data'!E818/'Source Data'!E$8)</x:f>
        <x:v>-11.703421849952193</x:v>
      </x:c>
      <x:c r="F818" s="13" t="n">
        <x:f>SLOPE(C818:E818,'Source Data'!C$7:E$7)</x:f>
        <x:v>0.158695661340305</x:v>
      </x:c>
      <x:c r="G818" s="14" t="n">
        <x:f>EXP(F818)-1</x:f>
        <x:v>0.1719812132079621</x:v>
      </x:c>
      <x:c r="H818" s="8" t="n">
        <x:f>'Source Data'!F818</x:f>
        <x:v>96</x:v>
      </x:c>
      <x:c r="I818" s="8" t="n">
        <x:f>'Source Data'!H818</x:f>
        <x:v>76</x:v>
      </x:c>
      <x:c r="J818" s="14" t="n">
        <x:f>I818/H818-1</x:f>
        <x:v>-0.20833333333333337</x:v>
      </x:c>
      <x:c r="K818" s="8" t="n">
        <x:f>H818*('Source Data'!H$8/'Source Data'!F$8)*EXP(F818*('Source Data'!H$7-'Source Data'!F$7))</x:f>
        <x:v>184.3283801924861</x:v>
      </x:c>
      <x:c r="L818" s="14" t="n">
        <x:f>I818/K818-1</x:f>
        <x:v>-0.5876923568653047</x:v>
      </x:c>
      <x:c r="M818" s="8" t="n">
        <x:f>'Source Data'!G818</x:f>
        <x:v>85</x:v>
      </x:c>
      <x:c r="N818" s="8" t="n">
        <x:f>M818*('Source Data'!H$8/'Source Data'!G$8)*EXP(F818*('Source Data'!H$7-'Source Data'!G$7))</x:f>
        <x:v>138.96965265581713</x:v>
      </x:c>
      <x:c r="O818" s="14" t="n">
        <x:f>I818/N818-1</x:f>
        <x:v>-0.45311801139614694</x:v>
      </x:c>
      <x:c r="P818" s="2" t="str"/>
    </x:row>
    <x:row r="819">
      <x:c r="A819" s="2" t="str">
        <x:f>'Source Data'!A819</x:f>
        <x:v>812930</x:v>
      </x:c>
      <x:c r="B819" s="2" t="str">
        <x:f>'Source Data'!B819</x:f>
        <x:v>Parking Lots and Garages</x:v>
      </x:c>
      <x:c r="C819" s="13" t="n">
        <x:f>LN('Source Data'!C819/'Source Data'!C$8)</x:f>
        <x:v>-6.264298516802712</x:v>
      </x:c>
      <x:c r="D819" s="13" t="n">
        <x:f>LN('Source Data'!D819/'Source Data'!D$8)</x:f>
        <x:v>-6.282601505413419</x:v>
      </x:c>
      <x:c r="E819" s="13" t="n">
        <x:f>LN('Source Data'!E819/'Source Data'!E$8)</x:f>
        <x:v>-6.298257268553399</x:v>
      </x:c>
      <x:c r="F819" s="13" t="n">
        <x:f>SLOPE(C819:E819,'Source Data'!C$7:E$7)</x:f>
        <x:v>-0.016979375875343372</x:v>
      </x:c>
      <x:c r="G819" s="14" t="n">
        <x:f>EXP(F819)-1</x:f>
        <x:v>-0.01683603867808936</x:v>
      </x:c>
      <x:c r="H819" s="8" t="n">
        <x:f>'Source Data'!F819</x:f>
        <x:v>21267</x:v>
      </x:c>
      <x:c r="I819" s="8" t="n">
        <x:f>'Source Data'!H819</x:f>
        <x:v>25123</x:v>
      </x:c>
      <x:c r="J819" s="14" t="n">
        <x:f>I819/H819-1</x:f>
        <x:v>0.18131377251140268</x:v>
      </x:c>
      <x:c r="K819" s="8" t="n">
        <x:f>H819*('Source Data'!H$8/'Source Data'!F$8)*EXP(F819*('Source Data'!H$7-'Source Data'!F$7))</x:f>
        <x:v>20223.131583383278</x:v>
      </x:c>
      <x:c r="L819" s="14" t="n">
        <x:f>I819/K819-1</x:f>
        <x:v>0.24229029002821667</x:v>
      </x:c>
      <x:c r="M819" s="8" t="n">
        <x:f>'Source Data'!G819</x:f>
        <x:v>23723</x:v>
      </x:c>
      <x:c r="N819" s="8" t="n">
        <x:f>M819*('Source Data'!H$8/'Source Data'!G$8)*EXP(F819*('Source Data'!H$7-'Source Data'!G$7))</x:f>
        <x:v>22897.420370072203</x:v>
      </x:c>
      <x:c r="O819" s="14" t="n">
        <x:f>I819/N819-1</x:f>
        <x:v>0.09719783250504133</x:v>
      </x:c>
      <x:c r="P819" s="2" t="str"/>
    </x:row>
    <x:row r="820">
      <x:c r="A820" s="2" t="str">
        <x:f>'Source Data'!A820</x:f>
        <x:v>812990</x:v>
      </x:c>
      <x:c r="B820" s="2" t="str">
        <x:f>'Source Data'!B820</x:f>
        <x:v>All Other Personal Services</x:v>
      </x:c>
      <x:c r="C820" s="13" t="n">
        <x:f>LN('Source Data'!C820/'Source Data'!C$8)</x:f>
        <x:v>-7.52852525998046</x:v>
      </x:c>
      <x:c r="D820" s="13" t="n">
        <x:f>LN('Source Data'!D820/'Source Data'!D$8)</x:f>
        <x:v>-7.496113488733224</x:v>
      </x:c>
      <x:c r="E820" s="13" t="n">
        <x:f>LN('Source Data'!E820/'Source Data'!E$8)</x:f>
        <x:v>-7.543142384264702</x:v>
      </x:c>
      <x:c r="F820" s="13" t="n">
        <x:f>SLOPE(C820:E820,'Source Data'!C$7:E$7)</x:f>
        <x:v>-0.007308562142120945</x:v>
      </x:c>
      <x:c r="G820" s="14" t="n">
        <x:f>EXP(F820)-1</x:f>
        <x:v>-0.007281919547692417</x:v>
      </x:c>
      <x:c r="H820" s="8" t="n">
        <x:f>'Source Data'!F820</x:f>
        <x:v>9300</x:v>
      </x:c>
      <x:c r="I820" s="8" t="n">
        <x:f>'Source Data'!H820</x:f>
        <x:v>9932</x:v>
      </x:c>
      <x:c r="J820" s="14" t="n">
        <x:f>I820/H820-1</x:f>
        <x:v>0.06795698924731175</x:v>
      </x:c>
      <x:c r="K820" s="8" t="n">
        <x:f>H820*('Source Data'!H$8/'Source Data'!F$8)*EXP(F820*('Source Data'!H$7-'Source Data'!F$7))</x:f>
        <x:v>9192.318197096061</x:v>
      </x:c>
      <x:c r="L820" s="14" t="n">
        <x:f>I820/K820-1</x:f>
        <x:v>0.08046738450999347</x:v>
      </x:c>
      <x:c r="M820" s="8" t="n">
        <x:f>'Source Data'!G820</x:f>
        <x:v>9924</x:v>
      </x:c>
      <x:c r="N820" s="8" t="n">
        <x:f>M820*('Source Data'!H$8/'Source Data'!G$8)*EXP(F820*('Source Data'!H$7-'Source Data'!G$7))</x:f>
        <x:v>9860.606934752906</x:v>
      </x:c>
      <x:c r="O820" s="14" t="n">
        <x:f>I820/N820-1</x:f>
        <x:v>0.007240230314370821</x:v>
      </x:c>
      <x:c r="P820" s="2" t="str"/>
    </x:row>
    <x:row r="821">
      <x:c r="A821" s="2" t="str">
        <x:f>'Source Data'!A821</x:f>
        <x:v>813110</x:v>
      </x:c>
      <x:c r="B821" s="2" t="str">
        <x:f>'Source Data'!B821</x:f>
        <x:v>Religious Organizations</x:v>
      </x:c>
      <x:c r="C821" s="13" t="n">
        <x:f>LN('Source Data'!C821/'Source Data'!C$8)</x:f>
        <x:v>-6.228686230618749</x:v>
      </x:c>
      <x:c r="D821" s="13" t="n">
        <x:f>LN('Source Data'!D821/'Source Data'!D$8)</x:f>
        <x:v>-6.23960878325688</x:v>
      </x:c>
      <x:c r="E821" s="13" t="n">
        <x:f>LN('Source Data'!E821/'Source Data'!E$8)</x:f>
        <x:v>-6.261356152951353</x:v>
      </x:c>
      <x:c r="F821" s="13" t="n">
        <x:f>SLOPE(C821:E821,'Source Data'!C$7:E$7)</x:f>
        <x:v>-0.016334961166302175</x:v>
      </x:c>
      <x:c r="G821" s="14" t="n">
        <x:f>EXP(F821)-1</x:f>
        <x:v>-0.01620226917675205</x:v>
      </x:c>
      <x:c r="H821" s="8" t="n">
        <x:f>'Source Data'!F821</x:f>
        <x:v>27531</x:v>
      </x:c>
      <x:c r="I821" s="8" t="n">
        <x:f>'Source Data'!H821</x:f>
        <x:v>29559</x:v>
      </x:c>
      <x:c r="J821" s="14" t="n">
        <x:f>I821/H821-1</x:f>
        <x:v>0.07366241691184472</x:v>
      </x:c>
      <x:c r="K821" s="8" t="n">
        <x:f>H821*('Source Data'!H$8/'Source Data'!F$8)*EXP(F821*('Source Data'!H$7-'Source Data'!F$7))</x:f>
        <x:v>26247.239010115776</x:v>
      </x:c>
      <x:c r="L821" s="14" t="n">
        <x:f>I821/K821-1</x:f>
        <x:v>0.1261755946447496</x:v>
      </x:c>
      <x:c r="M821" s="8" t="n">
        <x:f>'Source Data'!G821</x:f>
        <x:v>29460</x:v>
      </x:c>
      <x:c r="N821" s="8" t="n">
        <x:f>M821*('Source Data'!H$8/'Source Data'!G$8)*EXP(F821*('Source Data'!H$7-'Source Data'!G$7))</x:f>
        <x:v>28489.792638894764</x:v>
      </x:c>
      <x:c r="O821" s="14" t="n">
        <x:f>I821/N821-1</x:f>
        <x:v>0.037529489057970045</x:v>
      </x:c>
      <x:c r="P821" s="2" t="str"/>
    </x:row>
    <x:row r="822">
      <x:c r="A822" s="2" t="str">
        <x:f>'Source Data'!A822</x:f>
        <x:v>813211</x:v>
      </x:c>
      <x:c r="B822" s="2" t="str">
        <x:f>'Source Data'!B822</x:f>
        <x:v>Grantmaking Foundations</x:v>
      </x:c>
      <x:c r="C822" s="13" t="n">
        <x:f>LN('Source Data'!C822/'Source Data'!C$8)</x:f>
        <x:v>-6.699904094247264</x:v>
      </x:c>
      <x:c r="D822" s="13" t="n">
        <x:f>LN('Source Data'!D822/'Source Data'!D$8)</x:f>
        <x:v>-6.79909307471841</x:v>
      </x:c>
      <x:c r="E822" s="13" t="n">
        <x:f>LN('Source Data'!E822/'Source Data'!E$8)</x:f>
        <x:v>-6.735982640010868</x:v>
      </x:c>
      <x:c r="F822" s="13" t="n">
        <x:f>SLOPE(C822:E822,'Source Data'!C$7:E$7)</x:f>
        <x:v>-0.01803927288180196</x:v>
      </x:c>
      <x:c r="G822" s="14" t="n">
        <x:f>EXP(F822)-1</x:f>
        <x:v>-0.017877539178420943</x:v>
      </x:c>
      <x:c r="H822" s="8" t="n">
        <x:f>'Source Data'!F822</x:f>
        <x:v>16252</x:v>
      </x:c>
      <x:c r="I822" s="8" t="n">
        <x:f>'Source Data'!H822</x:f>
        <x:v>18564</x:v>
      </x:c>
      <x:c r="J822" s="14" t="n">
        <x:f>I822/H822-1</x:f>
        <x:v>0.14225941422594146</x:v>
      </x:c>
      <x:c r="K822" s="8" t="n">
        <x:f>H822*('Source Data'!H$8/'Source Data'!F$8)*EXP(F822*('Source Data'!H$7-'Source Data'!F$7))</x:f>
        <x:v>15388.906484647952</x:v>
      </x:c>
      <x:c r="L822" s="14" t="n">
        <x:f>I822/K822-1</x:f>
        <x:v>0.20632353042885376</x:v>
      </x:c>
      <x:c r="M822" s="8" t="n">
        <x:f>'Source Data'!G822</x:f>
        <x:v>18045</x:v>
      </x:c>
      <x:c r="N822" s="8" t="n">
        <x:f>M822*('Source Data'!H$8/'Source Data'!G$8)*EXP(F822*('Source Data'!H$7-'Source Data'!G$7))</x:f>
        <x:v>17361.726586165252</x:v>
      </x:c>
      <x:c r="O822" s="14" t="n">
        <x:f>I822/N822-1</x:f>
        <x:v>0.06924849368338659</x:v>
      </x:c>
      <x:c r="P822" s="2" t="str"/>
    </x:row>
    <x:row r="823">
      <x:c r="A823" s="2" t="str">
        <x:f>'Source Data'!A823</x:f>
        <x:v>813212</x:v>
      </x:c>
      <x:c r="B823" s="2" t="str">
        <x:f>'Source Data'!B823</x:f>
        <x:v>Voluntary Health Organizations</x:v>
      </x:c>
      <x:c r="C823" s="13" t="n">
        <x:f>LN('Source Data'!C823/'Source Data'!C$8)</x:f>
        <x:v>-7.952184032714346</x:v>
      </x:c>
      <x:c r="D823" s="13" t="n">
        <x:f>LN('Source Data'!D823/'Source Data'!D$8)</x:f>
        <x:v>-8.002677334955042</x:v>
      </x:c>
      <x:c r="E823" s="13" t="n">
        <x:f>LN('Source Data'!E823/'Source Data'!E$8)</x:f>
        <x:v>-8.038193883920217</x:v>
      </x:c>
      <x:c r="F823" s="13" t="n">
        <x:f>SLOPE(C823:E823,'Source Data'!C$7:E$7)</x:f>
        <x:v>-0.04300492560293545</x:v>
      </x:c>
      <x:c r="G823" s="14" t="n">
        <x:f>EXP(F823)-1</x:f>
        <x:v>-0.042093328212504</x:v>
      </x:c>
      <x:c r="H823" s="8" t="n">
        <x:f>'Source Data'!F823</x:f>
        <x:v>6098</x:v>
      </x:c>
      <x:c r="I823" s="8" t="n">
        <x:f>'Source Data'!H823</x:f>
        <x:v>5647</x:v>
      </x:c>
      <x:c r="J823" s="14" t="n">
        <x:f>I823/H823-1</x:f>
        <x:v>-0.07395867497540176</x:v>
      </x:c>
      <x:c r="K823" s="8" t="n">
        <x:f>H823*('Source Data'!H$8/'Source Data'!F$8)*EXP(F823*('Source Data'!H$7-'Source Data'!F$7))</x:f>
        <x:v>5225.3885109710245</x:v>
      </x:c>
      <x:c r="L823" s="14" t="n">
        <x:f>I823/K823-1</x:f>
        <x:v>0.08068519463074875</x:v>
      </x:c>
      <x:c r="M823" s="8" t="n">
        <x:f>'Source Data'!G823</x:f>
        <x:v>6154</x:v>
      </x:c>
      <x:c r="N823" s="8" t="n">
        <x:f>M823*('Source Data'!H$8/'Source Data'!G$8)*EXP(F823*('Source Data'!H$7-'Source Data'!G$7))</x:f>
        <x:v>5493.715720235217</x:v>
      </x:c>
      <x:c r="O823" s="14" t="n">
        <x:f>I823/N823-1</x:f>
        <x:v>0.027901749484449123</x:v>
      </x:c>
      <x:c r="P823" s="2" t="str"/>
    </x:row>
    <x:row r="824">
      <x:c r="A824" s="2" t="str">
        <x:f>'Source Data'!A824</x:f>
        <x:v>813219</x:v>
      </x:c>
      <x:c r="B824" s="2" t="str">
        <x:f>'Source Data'!B824</x:f>
        <x:v>Other Grantmaking and Giving Services</x:v>
      </x:c>
      <x:c r="C824" s="13" t="n">
        <x:f>LN('Source Data'!C824/'Source Data'!C$8)</x:f>
        <x:v>-8.06979309265233</x:v>
      </x:c>
      <x:c r="D824" s="13" t="n">
        <x:f>LN('Source Data'!D824/'Source Data'!D$8)</x:f>
        <x:v>-8.064235227954475</x:v>
      </x:c>
      <x:c r="E824" s="13" t="n">
        <x:f>LN('Source Data'!E824/'Source Data'!E$8)</x:f>
        <x:v>-8.100224280055057</x:v>
      </x:c>
      <x:c r="F824" s="13" t="n">
        <x:f>SLOPE(C824:E824,'Source Data'!C$7:E$7)</x:f>
        <x:v>-0.01521559370136405</x:v>
      </x:c>
      <x:c r="G824" s="14" t="n">
        <x:f>EXP(F824)-1</x:f>
        <x:v>-0.015100421433580813</x:v>
      </x:c>
      <x:c r="H824" s="8" t="n">
        <x:f>'Source Data'!F824</x:f>
        <x:v>5706</x:v>
      </x:c>
      <x:c r="I824" s="8" t="n">
        <x:f>'Source Data'!H824</x:f>
        <x:v>6208</x:v>
      </x:c>
      <x:c r="J824" s="14" t="n">
        <x:f>I824/H824-1</x:f>
        <x:v>0.08797756747283558</x:v>
      </x:c>
      <x:c r="K824" s="8" t="n">
        <x:f>H824*('Source Data'!H$8/'Source Data'!F$8)*EXP(F824*('Source Data'!H$7-'Source Data'!F$7))</x:f>
        <x:v>5464.3429358618205</x:v>
      </x:c>
      <x:c r="L824" s="14" t="n">
        <x:f>I824/K824-1</x:f>
        <x:v>0.1360926780890066</x:v>
      </x:c>
      <x:c r="M824" s="8" t="n">
        <x:f>'Source Data'!G824</x:f>
        <x:v>6088</x:v>
      </x:c>
      <x:c r="N824" s="8" t="n">
        <x:f>M824*('Source Data'!H$8/'Source Data'!G$8)*EXP(F824*('Source Data'!H$7-'Source Data'!G$7))</x:f>
        <x:v>5907.307725476736</x:v>
      </x:c>
      <x:c r="O824" s="14" t="n">
        <x:f>I824/N824-1</x:f>
        <x:v>0.050901745515381513</x:v>
      </x:c>
      <x:c r="P824" s="2" t="str"/>
    </x:row>
    <x:row r="825">
      <x:c r="A825" s="2" t="str">
        <x:f>'Source Data'!A825</x:f>
        <x:v>813311</x:v>
      </x:c>
      <x:c r="B825" s="2" t="str">
        <x:f>'Source Data'!B825</x:f>
        <x:v>Human Rights Organizations</x:v>
      </x:c>
      <x:c r="C825" s="13" t="n">
        <x:f>LN('Source Data'!C825/'Source Data'!C$8)</x:f>
        <x:v>-7.78350989573292</x:v>
      </x:c>
      <x:c r="D825" s="13" t="n">
        <x:f>LN('Source Data'!D825/'Source Data'!D$8)</x:f>
        <x:v>-7.6956076490919445</x:v>
      </x:c>
      <x:c r="E825" s="13" t="n">
        <x:f>LN('Source Data'!E825/'Source Data'!E$8)</x:f>
        <x:v>-7.698308421458035</x:v>
      </x:c>
      <x:c r="F825" s="13" t="n">
        <x:f>SLOPE(C825:E825,'Source Data'!C$7:E$7)</x:f>
        <x:v>0.042600737137442835</x:v>
      </x:c>
      <x:c r="G825" s="14" t="n">
        <x:f>EXP(F825)-1</x:f>
        <x:v>0.04352117241481479</x:v>
      </x:c>
      <x:c r="H825" s="8" t="n">
        <x:f>'Source Data'!F825</x:f>
        <x:v>7340</x:v>
      </x:c>
      <x:c r="I825" s="8" t="n">
        <x:f>'Source Data'!H825</x:f>
        <x:v>6638</x:v>
      </x:c>
      <x:c r="J825" s="14" t="n">
        <x:f>I825/H825-1</x:f>
        <x:v>-0.09564032697547686</x:v>
      </x:c>
      <x:c r="K825" s="8" t="n">
        <x:f>H825*('Source Data'!H$8/'Source Data'!F$8)*EXP(F825*('Source Data'!H$7-'Source Data'!F$7))</x:f>
        <x:v>8858.077869019799</x:v>
      </x:c>
      <x:c r="L825" s="14" t="n">
        <x:f>I825/K825-1</x:f>
        <x:v>-0.25062749524750605</x:v>
      </x:c>
      <x:c r="M825" s="8" t="n">
        <x:f>'Source Data'!G825</x:f>
        <x:v>8094</x:v>
      </x:c>
      <x:c r="N825" s="8" t="n">
        <x:f>M825*('Source Data'!H$8/'Source Data'!G$8)*EXP(F825*('Source Data'!H$7-'Source Data'!G$7))</x:f>
        <x:v>9341.273578926408</x:v>
      </x:c>
      <x:c r="O825" s="14" t="n">
        <x:f>I825/N825-1</x:f>
        <x:v>-0.28939025884274494</x:v>
      </x:c>
      <x:c r="P825" s="2" t="str"/>
    </x:row>
    <x:row r="826">
      <x:c r="A826" s="2" t="str">
        <x:f>'Source Data'!A826</x:f>
        <x:v>813312</x:v>
      </x:c>
      <x:c r="B826" s="2" t="str">
        <x:f>'Source Data'!B826</x:f>
        <x:v>Environment, Conservation and Wildlife Organizations</x:v>
      </x:c>
      <x:c r="C826" s="13" t="n">
        <x:f>LN('Source Data'!C826/'Source Data'!C$8)</x:f>
        <x:v>-7.34407977789576</x:v>
      </x:c>
      <x:c r="D826" s="13" t="n">
        <x:f>LN('Source Data'!D826/'Source Data'!D$8)</x:f>
        <x:v>-7.336889373813343</x:v>
      </x:c>
      <x:c r="E826" s="13" t="n">
        <x:f>LN('Source Data'!E826/'Source Data'!E$8)</x:f>
        <x:v>-7.309173458179445</x:v>
      </x:c>
      <x:c r="F826" s="13" t="n">
        <x:f>SLOPE(C826:E826,'Source Data'!C$7:E$7)</x:f>
        <x:v>0.01745315985815754</x:v>
      </x:c>
      <x:c r="G826" s="14" t="n">
        <x:f>EXP(F826)-1</x:f>
        <x:v>0.017606356208366147</x:v>
      </x:c>
      <x:c r="H826" s="8" t="n">
        <x:f>'Source Data'!F826</x:f>
        <x:v>10030</x:v>
      </x:c>
      <x:c r="I826" s="8" t="n">
        <x:f>'Source Data'!H826</x:f>
        <x:v>12057</x:v>
      </x:c>
      <x:c r="J826" s="14" t="n">
        <x:f>I826/H826-1</x:f>
        <x:v>0.2020937188434695</x:v>
      </x:c>
      <x:c r="K826" s="8" t="n">
        <x:f>H826*('Source Data'!H$8/'Source Data'!F$8)*EXP(F826*('Source Data'!H$7-'Source Data'!F$7))</x:f>
        <x:v>10946.07830559671</x:v>
      </x:c>
      <x:c r="L826" s="14" t="n">
        <x:f>I826/K826-1</x:f>
        <x:v>0.10149038435393609</x:v>
      </x:c>
      <x:c r="M826" s="8" t="n">
        <x:f>'Source Data'!G826</x:f>
        <x:v>10803</x:v>
      </x:c>
      <x:c r="N826" s="8" t="n">
        <x:f>M826*('Source Data'!H$8/'Source Data'!G$8)*EXP(F826*('Source Data'!H$7-'Source Data'!G$7))</x:f>
        <x:v>11561.732190353414</x:v>
      </x:c>
      <x:c r="O826" s="14" t="n">
        <x:f>I826/N826-1</x:f>
        <x:v>0.04283681731183986</x:v>
      </x:c>
      <x:c r="P826" s="2" t="str"/>
    </x:row>
    <x:row r="827">
      <x:c r="A827" s="2" t="str">
        <x:f>'Source Data'!A827</x:f>
        <x:v>813319</x:v>
      </x:c>
      <x:c r="B827" s="2" t="str">
        <x:f>'Source Data'!B827</x:f>
        <x:v>Other Social Advocacy Organizations</x:v>
      </x:c>
      <x:c r="C827" s="13" t="n">
        <x:f>LN('Source Data'!C827/'Source Data'!C$8)</x:f>
        <x:v>-7.329785375762487</x:v>
      </x:c>
      <x:c r="D827" s="13" t="n">
        <x:f>LN('Source Data'!D827/'Source Data'!D$8)</x:f>
        <x:v>-7.2854910208555435</x:v>
      </x:c>
      <x:c r="E827" s="13" t="n">
        <x:f>LN('Source Data'!E827/'Source Data'!E$8)</x:f>
        <x:v>-7.258477671849668</x:v>
      </x:c>
      <x:c r="F827" s="13" t="n">
        <x:f>SLOPE(C827:E827,'Source Data'!C$7:E$7)</x:f>
        <x:v>0.035653851956409355</x:v>
      </x:c>
      <x:c r="G827" s="14" t="n">
        <x:f>EXP(F827)-1</x:f>
        <x:v>0.036297072195876634</x:v>
      </x:c>
      <x:c r="H827" s="8" t="n">
        <x:f>'Source Data'!F827</x:f>
        <x:v>13533</x:v>
      </x:c>
      <x:c r="I827" s="8" t="n">
        <x:f>'Source Data'!H827</x:f>
        <x:v>15993</x:v>
      </x:c>
      <x:c r="J827" s="14" t="n">
        <x:f>I827/H827-1</x:f>
        <x:v>0.18177787630237208</x:v>
      </x:c>
      <x:c r="K827" s="8" t="n">
        <x:f>H827*('Source Data'!H$8/'Source Data'!F$8)*EXP(F827*('Source Data'!H$7-'Source Data'!F$7))</x:f>
        <x:v>15884.353371307267</x:v>
      </x:c>
      <x:c r="L827" s="14" t="n">
        <x:f>I827/K827-1</x:f>
        <x:v>0.006839852158476045</x:v>
      </x:c>
      <x:c r="M827" s="8" t="n">
        <x:f>'Source Data'!G827</x:f>
        <x:v>15181</x:v>
      </x:c>
      <x:c r="N827" s="8" t="n">
        <x:f>M827*('Source Data'!H$8/'Source Data'!G$8)*EXP(F827*('Source Data'!H$7-'Source Data'!G$7))</x:f>
        <x:v>17159.0124760046</x:v>
      </x:c>
      <x:c r="O827" s="14" t="n">
        <x:f>I827/N827-1</x:f>
        <x:v>-0.06795335556956827</x:v>
      </x:c>
      <x:c r="P827" s="2" t="str"/>
    </x:row>
    <x:row r="828">
      <x:c r="A828" s="2" t="str">
        <x:f>'Source Data'!A828</x:f>
        <x:v>813410</x:v>
      </x:c>
      <x:c r="B828" s="2" t="str">
        <x:f>'Source Data'!B828</x:f>
        <x:v>Civic and Social Organizations</x:v>
      </x:c>
      <x:c r="C828" s="13" t="n">
        <x:f>LN('Source Data'!C828/'Source Data'!C$8)</x:f>
        <x:v>-5.8625047597360584</x:v>
      </x:c>
      <x:c r="D828" s="13" t="n">
        <x:f>LN('Source Data'!D828/'Source Data'!D$8)</x:f>
        <x:v>-5.870592715101429</x:v>
      </x:c>
      <x:c r="E828" s="13" t="n">
        <x:f>LN('Source Data'!E828/'Source Data'!E$8)</x:f>
        <x:v>-5.88391808417115</x:v>
      </x:c>
      <x:c r="F828" s="13" t="n">
        <x:f>SLOPE(C828:E828,'Source Data'!C$7:E$7)</x:f>
        <x:v>-0.01070666221754557</x:v>
      </x:c>
      <x:c r="G828" s="14" t="n">
        <x:f>EXP(F828)-1</x:f>
        <x:v>-0.010649549918718582</x:v>
      </x:c>
      <x:c r="H828" s="8" t="n">
        <x:f>'Source Data'!F828</x:f>
        <x:v>33009</x:v>
      </x:c>
      <x:c r="I828" s="8" t="n">
        <x:f>'Source Data'!H828</x:f>
        <x:v>45306</x:v>
      </x:c>
      <x:c r="J828" s="14" t="n">
        <x:f>I828/H828-1</x:f>
        <x:v>0.37253476324638735</x:v>
      </x:c>
      <x:c r="K828" s="8" t="n">
        <x:f>H828*('Source Data'!H$8/'Source Data'!F$8)*EXP(F828*('Source Data'!H$7-'Source Data'!F$7))</x:f>
        <x:v>32186.32290407195</x:v>
      </x:c>
      <x:c r="L828" s="14" t="n">
        <x:f>I828/K828-1</x:f>
        <x:v>0.40761652503859813</x:v>
      </x:c>
      <x:c r="M828" s="8" t="n">
        <x:f>'Source Data'!G828</x:f>
        <x:v>38266</x:v>
      </x:c>
      <x:c r="N828" s="8" t="n">
        <x:f>M828*('Source Data'!H$8/'Source Data'!G$8)*EXP(F828*('Source Data'!H$7-'Source Data'!G$7))</x:f>
        <x:v>37635.92812401513</x:v>
      </x:c>
      <x:c r="O828" s="14" t="n">
        <x:f>I828/N828-1</x:f>
        <x:v>0.20379653852858404</x:v>
      </x:c>
      <x:c r="P828" s="2" t="str"/>
    </x:row>
    <x:row r="829">
      <x:c r="A829" s="2" t="str">
        <x:f>'Source Data'!A829</x:f>
        <x:v>813910</x:v>
      </x:c>
      <x:c r="B829" s="2" t="str">
        <x:f>'Source Data'!B829</x:f>
        <x:v>Business Associations</x:v>
      </x:c>
      <x:c r="C829" s="13" t="n">
        <x:f>LN('Source Data'!C829/'Source Data'!C$8)</x:f>
        <x:v>-7.29167755108001</x:v>
      </x:c>
      <x:c r="D829" s="13" t="n">
        <x:f>LN('Source Data'!D829/'Source Data'!D$8)</x:f>
        <x:v>-7.349151683910323</x:v>
      </x:c>
      <x:c r="E829" s="13" t="n">
        <x:f>LN('Source Data'!E829/'Source Data'!E$8)</x:f>
        <x:v>-7.390061485053144</x:v>
      </x:c>
      <x:c r="F829" s="13" t="n">
        <x:f>SLOPE(C829:E829,'Source Data'!C$7:E$7)</x:f>
        <x:v>-0.049191966986566804</x:v>
      </x:c>
      <x:c r="G829" s="14" t="n">
        <x:f>EXP(F829)-1</x:f>
        <x:v>-0.04800164010018415</x:v>
      </x:c>
      <x:c r="H829" s="8" t="n">
        <x:f>'Source Data'!F829</x:f>
        <x:v>8651</x:v>
      </x:c>
      <x:c r="I829" s="8" t="n">
        <x:f>'Source Data'!H829</x:f>
        <x:v>9057</x:v>
      </x:c>
      <x:c r="J829" s="14" t="n">
        <x:f>I829/H829-1</x:f>
        <x:v>0.04693099063692063</x:v>
      </x:c>
      <x:c r="K829" s="8" t="n">
        <x:f>H829*('Source Data'!H$8/'Source Data'!F$8)*EXP(F829*('Source Data'!H$7-'Source Data'!F$7))</x:f>
        <x:v>7231.851277337273</x:v>
      </x:c>
      <x:c r="L829" s="14" t="n">
        <x:f>I829/K829-1</x:f>
        <x:v>0.25237641824608104</x:v>
      </x:c>
      <x:c r="M829" s="8" t="n">
        <x:f>'Source Data'!G829</x:f>
        <x:v>8997</x:v>
      </x:c>
      <x:c r="N829" s="8" t="n">
        <x:f>M829*('Source Data'!H$8/'Source Data'!G$8)*EXP(F829*('Source Data'!H$7-'Source Data'!G$7))</x:f>
        <x:v>7883.978246106851</x:v>
      </x:c>
      <x:c r="O829" s="14" t="n">
        <x:f>I829/N829-1</x:f>
        <x:v>0.14878551376931992</x:v>
      </x:c>
      <x:c r="P829" s="2" t="str"/>
    </x:row>
    <x:row r="830">
      <x:c r="A830" s="2" t="str">
        <x:f>'Source Data'!A830</x:f>
        <x:v>813920</x:v>
      </x:c>
      <x:c r="B830" s="2" t="str">
        <x:f>'Source Data'!B830</x:f>
        <x:v>Professional Organizations</x:v>
      </x:c>
      <x:c r="C830" s="13" t="n">
        <x:f>LN('Source Data'!C830/'Source Data'!C$8)</x:f>
        <x:v>-7.824135929836553</x:v>
      </x:c>
      <x:c r="D830" s="13" t="n">
        <x:f>LN('Source Data'!D830/'Source Data'!D$8)</x:f>
        <x:v>-7.822607339853252</x:v>
      </x:c>
      <x:c r="E830" s="13" t="n">
        <x:f>LN('Source Data'!E830/'Source Data'!E$8)</x:f>
        <x:v>-7.868262329443328</x:v>
      </x:c>
      <x:c r="F830" s="13" t="n">
        <x:f>SLOPE(C830:E830,'Source Data'!C$7:E$7)</x:f>
        <x:v>-0.02206319980338778</x:v>
      </x:c>
      <x:c r="G830" s="14" t="n">
        <x:f>EXP(F830)-1</x:f>
        <x:v>-0.021821587585701407</x:v>
      </x:c>
      <x:c r="H830" s="8" t="n">
        <x:f>'Source Data'!F830</x:f>
        <x:v>4934</x:v>
      </x:c>
      <x:c r="I830" s="8" t="n">
        <x:f>'Source Data'!H830</x:f>
        <x:v>4413</x:v>
      </x:c>
      <x:c r="J830" s="14" t="n">
        <x:f>I830/H830-1</x:f>
        <x:v>-0.10559383867044991</x:v>
      </x:c>
      <x:c r="K830" s="8" t="n">
        <x:f>H830*('Source Data'!H$8/'Source Data'!F$8)*EXP(F830*('Source Data'!H$7-'Source Data'!F$7))</x:f>
        <x:v>4597.373784249043</x:v>
      </x:c>
      <x:c r="L830" s="14" t="n">
        <x:f>I830/K830-1</x:f>
        <x:v>-0.040104153567134704</x:v>
      </x:c>
      <x:c r="M830" s="8" t="n">
        <x:f>'Source Data'!G830</x:f>
        <x:v>4970</x:v>
      </x:c>
      <x:c r="N830" s="8" t="n">
        <x:f>M830*('Source Data'!H$8/'Source Data'!G$8)*EXP(F830*('Source Data'!H$7-'Source Data'!G$7))</x:f>
        <x:v>4724.433139460178</x:v>
      </x:c>
      <x:c r="O830" s="14" t="n">
        <x:f>I830/N830-1</x:f>
        <x:v>-0.06591968396355852</x:v>
      </x:c>
      <x:c r="P830" s="2" t="str"/>
    </x:row>
    <x:row r="831">
      <x:c r="A831" s="2" t="str">
        <x:f>'Source Data'!A831</x:f>
        <x:v>813930</x:v>
      </x:c>
      <x:c r="B831" s="2" t="str">
        <x:f>'Source Data'!B831</x:f>
        <x:v>Labor Unions and Similar Labor Organizations</x:v>
      </x:c>
      <x:c r="C831" s="13" t="n">
        <x:f>LN('Source Data'!C831/'Source Data'!C$8)</x:f>
        <x:v>-6.992734012082903</x:v>
      </x:c>
      <x:c r="D831" s="13" t="n">
        <x:f>LN('Source Data'!D831/'Source Data'!D$8)</x:f>
        <x:v>-7.018225536590454</x:v>
      </x:c>
      <x:c r="E831" s="13" t="n">
        <x:f>LN('Source Data'!E831/'Source Data'!E$8)</x:f>
        <x:v>-7.0726473116717</x:v>
      </x:c>
      <x:c r="F831" s="13" t="n">
        <x:f>SLOPE(C831:E831,'Source Data'!C$7:E$7)</x:f>
        <x:v>-0.03995664979439839</x:v>
      </x:c>
      <x:c r="G831" s="14" t="n">
        <x:f>EXP(F831)-1</x:f>
        <x:v>-0.0391689095251595</x:v>
      </x:c>
      <x:c r="H831" s="8" t="n">
        <x:f>'Source Data'!F831</x:f>
        <x:v>11945</x:v>
      </x:c>
      <x:c r="I831" s="8" t="n">
        <x:f>'Source Data'!H831</x:f>
        <x:v>13091</x:v>
      </x:c>
      <x:c r="J831" s="14" t="n">
        <x:f>I831/H831-1</x:f>
        <x:v>0.09593972373377979</x:v>
      </x:c>
      <x:c r="K831" s="8" t="n">
        <x:f>H831*('Source Data'!H$8/'Source Data'!F$8)*EXP(F831*('Source Data'!H$7-'Source Data'!F$7))</x:f>
        <x:v>10361.263477669478</x:v>
      </x:c>
      <x:c r="L831" s="14" t="n">
        <x:f>I831/K831-1</x:f>
        <x:v>0.2634559509285359</x:v>
      </x:c>
      <x:c r="M831" s="8" t="n">
        <x:f>'Source Data'!G831</x:f>
        <x:v>12636</x:v>
      </x:c>
      <x:c r="N831" s="8" t="n">
        <x:f>M831*('Source Data'!H$8/'Source Data'!G$8)*EXP(F831*('Source Data'!H$7-'Source Data'!G$7))</x:f>
        <x:v>11383.868120934929</x:v>
      </x:c>
      <x:c r="O831" s="14" t="n">
        <x:f>I831/N831-1</x:f>
        <x:v>0.1499606162799494</x:v>
      </x:c>
      <x:c r="P831" s="2" t="str"/>
    </x:row>
    <x:row r="832">
      <x:c r="A832" s="2" t="str">
        <x:f>'Source Data'!A832</x:f>
        <x:v>813940</x:v>
      </x:c>
      <x:c r="B832" s="2" t="str">
        <x:f>'Source Data'!B832</x:f>
        <x:v>Political Organizations</x:v>
      </x:c>
      <x:c r="C832" s="13" t="n">
        <x:f>LN('Source Data'!C832/'Source Data'!C$8)</x:f>
        <x:v>-10.207959920344948</x:v>
      </x:c>
      <x:c r="D832" s="13" t="n">
        <x:f>LN('Source Data'!D832/'Source Data'!D$8)</x:f>
        <x:v>-10.0254831009935</x:v>
      </x:c>
      <x:c r="E832" s="13" t="n">
        <x:f>LN('Source Data'!E832/'Source Data'!E$8)</x:f>
        <x:v>-10.362873510620506</x:v>
      </x:c>
      <x:c r="F832" s="13" t="n">
        <x:f>SLOPE(C832:E832,'Source Data'!C$7:E$7)</x:f>
        <x:v>-0.07745679513777937</x:v>
      </x:c>
      <x:c r="G832" s="14" t="n">
        <x:f>EXP(F832)-1</x:f>
        <x:v>-0.07453299179253747</x:v>
      </x:c>
      <x:c r="H832" s="8" t="n">
        <x:f>'Source Data'!F832</x:f>
        <x:v>810</x:v>
      </x:c>
      <x:c r="I832" s="8" t="n">
        <x:f>'Source Data'!H832</x:f>
        <x:v>525</x:v>
      </x:c>
      <x:c r="J832" s="14" t="n">
        <x:f>I832/H832-1</x:f>
        <x:v>-0.35185185185185186</x:v>
      </x:c>
      <x:c r="K832" s="8" t="n">
        <x:f>H832*('Source Data'!H$8/'Source Data'!F$8)*EXP(F832*('Source Data'!H$7-'Source Data'!F$7))</x:f>
        <x:v>604.7378583893482</x:v>
      </x:c>
      <x:c r="L832" s="14" t="n">
        <x:f>I832/K832-1</x:f>
        <x:v>-0.13185524485224231</x:v>
      </x:c>
      <x:c r="M832" s="8" t="n">
        <x:f>'Source Data'!G832</x:f>
        <x:v>460</x:v>
      </x:c>
      <x:c r="N832" s="8" t="n">
        <x:f>M832*('Source Data'!H$8/'Source Data'!G$8)*EXP(F832*('Source Data'!H$7-'Source Data'!G$7))</x:f>
        <x:v>370.32220337813965</x:v>
      </x:c>
      <x:c r="O832" s="14" t="n">
        <x:f>I832/N832-1</x:f>
        <x:v>0.41768437109863843</x:v>
      </x:c>
      <x:c r="P832" s="2" t="str"/>
    </x:row>
    <x:row r="833">
      <x:c r="A833" s="2" t="str">
        <x:f>'Source Data'!A833</x:f>
        <x:v>813990</x:v>
      </x:c>
      <x:c r="B833" s="2" t="str">
        <x:f>'Source Data'!B833</x:f>
        <x:v>Other Similar Organizations (except Business, Professional, Labor, and Political Organizations)</x:v>
      </x:c>
      <x:c r="C833" s="13" t="n">
        <x:f>LN('Source Data'!C833/'Source Data'!C$8)</x:f>
        <x:v>-7.138628071672368</x:v>
      </x:c>
      <x:c r="D833" s="13" t="n">
        <x:f>LN('Source Data'!D833/'Source Data'!D$8)</x:f>
        <x:v>-7.159887678924495</x:v>
      </x:c>
      <x:c r="E833" s="13" t="n">
        <x:f>LN('Source Data'!E833/'Source Data'!E$8)</x:f>
        <x:v>-7.145957050863546</x:v>
      </x:c>
      <x:c r="F833" s="13" t="n">
        <x:f>SLOPE(C833:E833,'Source Data'!C$7:E$7)</x:f>
        <x:v>-0.003664489595589071</x:v>
      </x:c>
      <x:c r="G833" s="14" t="n">
        <x:f>EXP(F833)-1</x:f>
        <x:v>-0.0036577835475063436</x:v>
      </x:c>
      <x:c r="H833" s="8" t="n">
        <x:f>'Source Data'!F833</x:f>
        <x:v>11429</x:v>
      </x:c>
      <x:c r="I833" s="8" t="n">
        <x:f>'Source Data'!H833</x:f>
        <x:v>12177</x:v>
      </x:c>
      <x:c r="J833" s="14" t="n">
        <x:f>I833/H833-1</x:f>
        <x:v>0.0654475457170356</x:v>
      </x:c>
      <x:c r="K833" s="8" t="n">
        <x:f>H833*('Source Data'!H$8/'Source Data'!F$8)*EXP(F833*('Source Data'!H$7-'Source Data'!F$7))</x:f>
        <x:v>11462.53661185081</x:v>
      </x:c>
      <x:c r="L833" s="14" t="n">
        <x:f>I833/K833-1</x:f>
        <x:v>0.06233030369652437</x:v>
      </x:c>
      <x:c r="M833" s="8" t="n">
        <x:f>'Source Data'!G833</x:f>
        <x:v>12227</x:v>
      </x:c>
      <x:c r="N833" s="8" t="n">
        <x:f>M833*('Source Data'!H$8/'Source Data'!G$8)*EXP(F833*('Source Data'!H$7-'Source Data'!G$7))</x:f>
        <x:v>12282.438709007696</x:v>
      </x:c>
      <x:c r="O833" s="14" t="n">
        <x:f>I833/N833-1</x:f>
        <x:v>-0.008584509274234708</x:v>
      </x:c>
      <x:c r="P833" s="2" t="str"/>
    </x:row>
    <x:row r="834">
      <x:c r="A834" s="2" t="str">
        <x:f>'Source Data'!A834</x:f>
        <x:v>814110</x:v>
      </x:c>
      <x:c r="B834" s="2" t="str">
        <x:f>'Source Data'!B834</x:f>
        <x:v>Private Households</x:v>
      </x:c>
      <x:c r="C834" s="13" t="n">
        <x:f>LN('Source Data'!C834/'Source Data'!C$8)</x:f>
        <x:v>-6.105144067166284</x:v>
      </x:c>
      <x:c r="D834" s="13" t="n">
        <x:f>LN('Source Data'!D834/'Source Data'!D$8)</x:f>
        <x:v>-6.035783757049618</x:v>
      </x:c>
      <x:c r="E834" s="13" t="n">
        <x:f>LN('Source Data'!E834/'Source Data'!E$8)</x:f>
        <x:v>-6.016859973047662</x:v>
      </x:c>
      <x:c r="F834" s="13" t="n">
        <x:f>SLOPE(C834:E834,'Source Data'!C$7:E$7)</x:f>
        <x:v>0.04414204705931102</x:v>
      </x:c>
      <x:c r="G834" s="14" t="n">
        <x:f>EXP(F834)-1</x:f>
        <x:v>0.04513080210198295</x:v>
      </x:c>
      <x:c r="H834" s="8" t="n">
        <x:f>'Source Data'!F834</x:f>
        <x:v>32673</x:v>
      </x:c>
      <x:c r="I834" s="8" t="n">
        <x:f>'Source Data'!H834</x:f>
        <x:v>35790</x:v>
      </x:c>
      <x:c r="J834" s="14" t="n">
        <x:f>I834/H834-1</x:f>
        <x:v>0.0953998714534936</x:v>
      </x:c>
      <x:c r="K834" s="8" t="n">
        <x:f>H834*('Source Data'!H$8/'Source Data'!F$8)*EXP(F834*('Source Data'!H$7-'Source Data'!F$7))</x:f>
        <x:v>39674.36424041224</x:v>
      </x:c>
      <x:c r="L834" s="14" t="n">
        <x:f>I834/K834-1</x:f>
        <x:v>-0.09790614959509869</x:v>
      </x:c>
      <x:c r="M834" s="8" t="n">
        <x:f>'Source Data'!G834</x:f>
        <x:v>32399</x:v>
      </x:c>
      <x:c r="N834" s="8" t="n">
        <x:f>M834*('Source Data'!H$8/'Source Data'!G$8)*EXP(F834*('Source Data'!H$7-'Source Data'!G$7))</x:f>
        <x:v>37564.93523975882</x:v>
      </x:c>
      <x:c r="O834" s="14" t="n">
        <x:f>I834/N834-1</x:f>
        <x:v>-0.04724978835795324</x:v>
      </x:c>
      <x:c r="P834" s="2" t="str"/>
    </x:row>
  </x:sheetData>
  <x:pageMargins left="0.7" right="0.7" top="0.75" bottom="0.75" header="0.3" footer="0.3"/>
  <x:tableParts count="1">
    <x:tablePart xmlns:r="http://schemas.openxmlformats.org/officeDocument/2006/relationships" r:id="R8fefe00431524183"/>
  </x:tableParts>
</x:worksheet>
</file>

<file path=xl/worksheets/sheet3.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12" hidden="0" customWidth="1"/>
    <x:col min="2" max="2" width="76"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
      <x:c r="B1" s="2"/>
      <x:c r="C1" s="2"/>
      <x:c r="D1" s="2"/>
      <x:c r="E1" s="2"/>
      <x:c r="F1" s="2"/>
      <x:c r="G1" s="2"/>
      <x:c r="H1" s="2"/>
    </x:row>
    <x:row r="2" ht="28" customHeight="1">
      <x:c r="A2" s="3" t="str">
        <x:v>California employment inputs</x:v>
      </x:c>
      <x:c r="B2" s="2"/>
      <x:c r="C2" s="2"/>
      <x:c r="D2" s="2"/>
      <x:c r="E2" s="2"/>
      <x:c r="F2" s="2"/>
      <x:c r="G2" s="2"/>
      <x:c r="H2" s="2"/>
    </x:row>
    <x:row r="3">
      <x:c r="A3" s="2" t="str">
        <x:v>BLS QCEW. California (06000), private ownership (5), all establishment sizes (0), March employment (month3_emplvl).</x:v>
      </x:c>
      <x:c r="B3" s="2"/>
      <x:c r="C3" s="2"/>
      <x:c r="D3" s="2"/>
      <x:c r="E3" s="2"/>
      <x:c r="F3" s="2"/>
      <x:c r="G3" s="2"/>
      <x:c r="H3" s="2"/>
    </x:row>
    <x:row r="4">
      <x:c r="A4" s="2" t="str">
        <x:v>Jobs, not unique workers. Not seasonally adjusted. Same-month comparisons reduce recurring seasonal differences.</x:v>
      </x:c>
      <x:c r="B4" s="2"/>
      <x:c r="C4" s="2"/>
      <x:c r="D4" s="2"/>
      <x:c r="E4" s="2"/>
      <x:c r="F4" s="2"/>
      <x:c r="G4" s="2"/>
      <x:c r="H4" s="2"/>
    </x:row>
    <x:row r="5">
      <x:c r="A5" s="2" t="str">
        <x:v>2022 NAICS labels. Earlier data are mapped through the Census 2017–2022 concordance. Sources and exclusions are documented in Method.</x:v>
      </x:c>
      <x:c r="B5" s="2"/>
      <x:c r="C5" s="2"/>
      <x:c r="D5" s="2"/>
      <x:c r="E5" s="2"/>
      <x:c r="F5" s="2"/>
      <x:c r="G5" s="2"/>
      <x:c r="H5" s="2"/>
    </x:row>
    <x:row r="6">
      <x:c r="A6" s="2" t="str">
        <x:v>Published values retrieved October 10, 2026. No suppressed or zero-valued observations are used. Recent data are subject to revision.</x:v>
      </x:c>
      <x:c r="B6" s="2"/>
      <x:c r="C6" s="2"/>
      <x:c r="D6" s="2"/>
      <x:c r="E6" s="2"/>
      <x:c r="F6" s="2"/>
      <x:c r="G6" s="2"/>
      <x:c r="H6" s="2"/>
    </x:row>
    <x:row r="7" ht="43" customHeight="1">
      <x:c r="A7" s="7" t="str">
        <x:v>NAICS</x:v>
      </x:c>
      <x:c r="B7" s="7" t="str">
        <x:v>Industry</x:v>
      </x:c>
      <x:c r="C7" s="7" t="n">
        <x:v>2017</x:v>
      </x:c>
      <x:c r="D7" s="7" t="n">
        <x:v>2018</x:v>
      </x:c>
      <x:c r="E7" s="7" t="n">
        <x:v>2019</x:v>
      </x:c>
      <x:c r="F7" s="7" t="n">
        <x:v>2022</x:v>
      </x:c>
      <x:c r="G7" s="7" t="n">
        <x:v>2023</x:v>
      </x:c>
      <x:c r="H7" s="7" t="n">
        <x:v>2026</x:v>
      </x:c>
    </x:row>
    <x:row r="8">
      <x:c r="A8" s="11" t="str">
        <x:v>10</x:v>
      </x:c>
      <x:c r="B8" s="11" t="str">
        <x:v>All private industries</x:v>
      </x:c>
      <x:c r="C8" s="12" t="n">
        <x:v>14291285</x:v>
      </x:c>
      <x:c r="D8" s="12" t="n">
        <x:v>14618953</x:v>
      </x:c>
      <x:c r="E8" s="12" t="n">
        <x:v>14881155</x:v>
      </x:c>
      <x:c r="F8" s="12" t="n">
        <x:v>15210286</x:v>
      </x:c>
      <x:c r="G8" s="12" t="n">
        <x:v>15241814</x:v>
      </x:c>
      <x:c r="H8" s="12" t="n">
        <x:v>15480171</x:v>
      </x:c>
    </x:row>
    <x:row r="9">
      <x:c r="A9" s="2" t="str">
        <x:v>111130</x:v>
      </x:c>
      <x:c r="B9" s="2" t="str">
        <x:v>Dry Pea and Bean Farming</x:v>
      </x:c>
      <x:c r="C9" s="8" t="n">
        <x:v>517</x:v>
      </x:c>
      <x:c r="D9" s="8" t="n">
        <x:v>477</x:v>
      </x:c>
      <x:c r="E9" s="8" t="n">
        <x:v>425</x:v>
      </x:c>
      <x:c r="F9" s="8" t="n">
        <x:v>135</x:v>
      </x:c>
      <x:c r="G9" s="8" t="n">
        <x:v>127</x:v>
      </x:c>
      <x:c r="H9" s="8" t="n">
        <x:v>46</x:v>
      </x:c>
    </x:row>
    <x:row r="10">
      <x:c r="A10" s="2" t="str">
        <x:v>111140</x:v>
      </x:c>
      <x:c r="B10" s="2" t="str">
        <x:v>Wheat Farming</x:v>
      </x:c>
      <x:c r="C10" s="8" t="n">
        <x:v>263</x:v>
      </x:c>
      <x:c r="D10" s="8" t="n">
        <x:v>228</x:v>
      </x:c>
      <x:c r="E10" s="8" t="n">
        <x:v>201</x:v>
      </x:c>
      <x:c r="F10" s="8" t="n">
        <x:v>154</x:v>
      </x:c>
      <x:c r="G10" s="8" t="n">
        <x:v>128</x:v>
      </x:c>
      <x:c r="H10" s="8" t="n">
        <x:v>181</x:v>
      </x:c>
    </x:row>
    <x:row r="11">
      <x:c r="A11" s="2" t="str">
        <x:v>111150</x:v>
      </x:c>
      <x:c r="B11" s="2" t="str">
        <x:v>Corn Farming</x:v>
      </x:c>
      <x:c r="C11" s="8" t="n">
        <x:v>266</x:v>
      </x:c>
      <x:c r="D11" s="8" t="n">
        <x:v>282</x:v>
      </x:c>
      <x:c r="E11" s="8" t="n">
        <x:v>247</x:v>
      </x:c>
      <x:c r="F11" s="8" t="n">
        <x:v>244</x:v>
      </x:c>
      <x:c r="G11" s="8" t="n">
        <x:v>229</x:v>
      </x:c>
      <x:c r="H11" s="8" t="n">
        <x:v>360</x:v>
      </x:c>
    </x:row>
    <x:row r="12">
      <x:c r="A12" s="2" t="str">
        <x:v>111160</x:v>
      </x:c>
      <x:c r="B12" s="2" t="str">
        <x:v>Rice Farming</x:v>
      </x:c>
      <x:c r="C12" s="8" t="n">
        <x:v>1194</x:v>
      </x:c>
      <x:c r="D12" s="8" t="n">
        <x:v>1272</x:v>
      </x:c>
      <x:c r="E12" s="8" t="n">
        <x:v>1206</x:v>
      </x:c>
      <x:c r="F12" s="8" t="n">
        <x:v>1249</x:v>
      </x:c>
      <x:c r="G12" s="8" t="n">
        <x:v>1109</x:v>
      </x:c>
      <x:c r="H12" s="8" t="n">
        <x:v>1211</x:v>
      </x:c>
    </x:row>
    <x:row r="13">
      <x:c r="A13" s="2" t="str">
        <x:v>111191</x:v>
      </x:c>
      <x:c r="B13" s="2" t="str">
        <x:v>Oilseed and Grain Combination Farming</x:v>
      </x:c>
      <x:c r="C13" s="8" t="n">
        <x:v>256</x:v>
      </x:c>
      <x:c r="D13" s="8" t="n">
        <x:v>281</x:v>
      </x:c>
      <x:c r="E13" s="8" t="n">
        <x:v>248</x:v>
      </x:c>
      <x:c r="F13" s="8" t="n">
        <x:v>268</x:v>
      </x:c>
      <x:c r="G13" s="8" t="n">
        <x:v>206</x:v>
      </x:c>
      <x:c r="H13" s="8" t="n">
        <x:v>207</x:v>
      </x:c>
    </x:row>
    <x:row r="14">
      <x:c r="A14" s="2" t="str">
        <x:v>111199</x:v>
      </x:c>
      <x:c r="B14" s="2" t="str">
        <x:v>All Other Grain Farming</x:v>
      </x:c>
      <x:c r="C14" s="8" t="n">
        <x:v>142</x:v>
      </x:c>
      <x:c r="D14" s="8" t="n">
        <x:v>192</x:v>
      </x:c>
      <x:c r="E14" s="8" t="n">
        <x:v>166</x:v>
      </x:c>
      <x:c r="F14" s="8" t="n">
        <x:v>307</x:v>
      </x:c>
      <x:c r="G14" s="8" t="n">
        <x:v>322</x:v>
      </x:c>
      <x:c r="H14" s="8" t="n">
        <x:v>206</x:v>
      </x:c>
    </x:row>
    <x:row r="15">
      <x:c r="A15" s="2" t="str">
        <x:v>111211</x:v>
      </x:c>
      <x:c r="B15" s="2" t="str">
        <x:v>Potato Farming</x:v>
      </x:c>
      <x:c r="C15" s="8" t="n">
        <x:v>999</x:v>
      </x:c>
      <x:c r="D15" s="8" t="n">
        <x:v>1774</x:v>
      </x:c>
      <x:c r="E15" s="8" t="n">
        <x:v>1555</x:v>
      </x:c>
      <x:c r="F15" s="8" t="n">
        <x:v>3106</x:v>
      </x:c>
      <x:c r="G15" s="8" t="n">
        <x:v>1515</x:v>
      </x:c>
      <x:c r="H15" s="8" t="n">
        <x:v>1226</x:v>
      </x:c>
    </x:row>
    <x:row r="16">
      <x:c r="A16" s="2" t="str">
        <x:v>111219</x:v>
      </x:c>
      <x:c r="B16" s="2" t="str">
        <x:v>Other Vegetable (except Potato) and Melon Farming</x:v>
      </x:c>
      <x:c r="C16" s="8" t="n">
        <x:v>25516</x:v>
      </x:c>
      <x:c r="D16" s="8" t="n">
        <x:v>25650</x:v>
      </x:c>
      <x:c r="E16" s="8" t="n">
        <x:v>24232</x:v>
      </x:c>
      <x:c r="F16" s="8" t="n">
        <x:v>22442</x:v>
      </x:c>
      <x:c r="G16" s="8" t="n">
        <x:v>20299</x:v>
      </x:c>
      <x:c r="H16" s="8" t="n">
        <x:v>20370</x:v>
      </x:c>
    </x:row>
    <x:row r="17">
      <x:c r="A17" s="2" t="str">
        <x:v>111310</x:v>
      </x:c>
      <x:c r="B17" s="2" t="str">
        <x:v>Orange Groves</x:v>
      </x:c>
      <x:c r="C17" s="8" t="n">
        <x:v>1686</x:v>
      </x:c>
      <x:c r="D17" s="8" t="n">
        <x:v>1701</x:v>
      </x:c>
      <x:c r="E17" s="8" t="n">
        <x:v>1679</x:v>
      </x:c>
      <x:c r="F17" s="8" t="n">
        <x:v>1693</x:v>
      </x:c>
      <x:c r="G17" s="8" t="n">
        <x:v>1497</x:v>
      </x:c>
      <x:c r="H17" s="8" t="n">
        <x:v>2022</x:v>
      </x:c>
    </x:row>
    <x:row r="18">
      <x:c r="A18" s="2" t="str">
        <x:v>111320</x:v>
      </x:c>
      <x:c r="B18" s="2" t="str">
        <x:v>Citrus (except Orange) Groves</x:v>
      </x:c>
      <x:c r="C18" s="8" t="n">
        <x:v>1783</x:v>
      </x:c>
      <x:c r="D18" s="8" t="n">
        <x:v>1730</x:v>
      </x:c>
      <x:c r="E18" s="8" t="n">
        <x:v>1560</x:v>
      </x:c>
      <x:c r="F18" s="8" t="n">
        <x:v>1920</x:v>
      </x:c>
      <x:c r="G18" s="8" t="n">
        <x:v>1517</x:v>
      </x:c>
      <x:c r="H18" s="8" t="n">
        <x:v>1769</x:v>
      </x:c>
    </x:row>
    <x:row r="19">
      <x:c r="A19" s="2" t="str">
        <x:v>111331</x:v>
      </x:c>
      <x:c r="B19" s="2" t="str">
        <x:v>Apple Orchards</x:v>
      </x:c>
      <x:c r="C19" s="8" t="n">
        <x:v>458</x:v>
      </x:c>
      <x:c r="D19" s="8" t="n">
        <x:v>355</x:v>
      </x:c>
      <x:c r="E19" s="8" t="n">
        <x:v>392</x:v>
      </x:c>
      <x:c r="F19" s="8" t="n">
        <x:v>379</x:v>
      </x:c>
      <x:c r="G19" s="8" t="n">
        <x:v>350</x:v>
      </x:c>
      <x:c r="H19" s="8" t="n">
        <x:v>296</x:v>
      </x:c>
    </x:row>
    <x:row r="20">
      <x:c r="A20" s="2" t="str">
        <x:v>111332</x:v>
      </x:c>
      <x:c r="B20" s="2" t="str">
        <x:v>Grape Vineyards</x:v>
      </x:c>
      <x:c r="C20" s="8" t="n">
        <x:v>20169</x:v>
      </x:c>
      <x:c r="D20" s="8" t="n">
        <x:v>18547</x:v>
      </x:c>
      <x:c r="E20" s="8" t="n">
        <x:v>18023</x:v>
      </x:c>
      <x:c r="F20" s="8" t="n">
        <x:v>14832</x:v>
      </x:c>
      <x:c r="G20" s="8" t="n">
        <x:v>13700</x:v>
      </x:c>
      <x:c r="H20" s="8" t="n">
        <x:v>12345</x:v>
      </x:c>
    </x:row>
    <x:row r="21">
      <x:c r="A21" s="2" t="str">
        <x:v>111333</x:v>
      </x:c>
      <x:c r="B21" s="2" t="str">
        <x:v>Strawberry Farming</x:v>
      </x:c>
      <x:c r="C21" s="8" t="n">
        <x:v>21359</x:v>
      </x:c>
      <x:c r="D21" s="8" t="n">
        <x:v>20506</x:v>
      </x:c>
      <x:c r="E21" s="8" t="n">
        <x:v>17575</x:v>
      </x:c>
      <x:c r="F21" s="8" t="n">
        <x:v>20648</x:v>
      </x:c>
      <x:c r="G21" s="8" t="n">
        <x:v>16983</x:v>
      </x:c>
      <x:c r="H21" s="8" t="n">
        <x:v>25389</x:v>
      </x:c>
    </x:row>
    <x:row r="22">
      <x:c r="A22" s="2" t="str">
        <x:v>111334</x:v>
      </x:c>
      <x:c r="B22" s="2" t="str">
        <x:v>Berry (except Strawberry) Farming</x:v>
      </x:c>
      <x:c r="C22" s="8" t="n">
        <x:v>7509</x:v>
      </x:c>
      <x:c r="D22" s="8" t="n">
        <x:v>6819</x:v>
      </x:c>
      <x:c r="E22" s="8" t="n">
        <x:v>6888</x:v>
      </x:c>
      <x:c r="F22" s="8" t="n">
        <x:v>7671</x:v>
      </x:c>
      <x:c r="G22" s="8" t="n">
        <x:v>6238</x:v>
      </x:c>
      <x:c r="H22" s="8" t="n">
        <x:v>7782</x:v>
      </x:c>
    </x:row>
    <x:row r="23">
      <x:c r="A23" s="2" t="str">
        <x:v>111335</x:v>
      </x:c>
      <x:c r="B23" s="2" t="str">
        <x:v>Tree Nut Farming</x:v>
      </x:c>
      <x:c r="C23" s="8" t="n">
        <x:v>15563</x:v>
      </x:c>
      <x:c r="D23" s="8" t="n">
        <x:v>15266</x:v>
      </x:c>
      <x:c r="E23" s="8" t="n">
        <x:v>15842</x:v>
      </x:c>
      <x:c r="F23" s="8" t="n">
        <x:v>15662</x:v>
      </x:c>
      <x:c r="G23" s="8" t="n">
        <x:v>14517</x:v>
      </x:c>
      <x:c r="H23" s="8" t="n">
        <x:v>11331</x:v>
      </x:c>
    </x:row>
    <x:row r="24">
      <x:c r="A24" s="2" t="str">
        <x:v>111336</x:v>
      </x:c>
      <x:c r="B24" s="2" t="str">
        <x:v>Fruit and Tree Nut Combination Farming</x:v>
      </x:c>
      <x:c r="C24" s="8" t="n">
        <x:v>3734</x:v>
      </x:c>
      <x:c r="D24" s="8" t="n">
        <x:v>3755</x:v>
      </x:c>
      <x:c r="E24" s="8" t="n">
        <x:v>3709</x:v>
      </x:c>
      <x:c r="F24" s="8" t="n">
        <x:v>3175</x:v>
      </x:c>
      <x:c r="G24" s="8" t="n">
        <x:v>3109</x:v>
      </x:c>
      <x:c r="H24" s="8" t="n">
        <x:v>3401</x:v>
      </x:c>
    </x:row>
    <x:row r="25">
      <x:c r="A25" s="2" t="str">
        <x:v>111339</x:v>
      </x:c>
      <x:c r="B25" s="2" t="str">
        <x:v>Other Noncitrus Fruit Farming</x:v>
      </x:c>
      <x:c r="C25" s="8" t="n">
        <x:v>10770</x:v>
      </x:c>
      <x:c r="D25" s="8" t="n">
        <x:v>9642</x:v>
      </x:c>
      <x:c r="E25" s="8" t="n">
        <x:v>9164</x:v>
      </x:c>
      <x:c r="F25" s="8" t="n">
        <x:v>8166</x:v>
      </x:c>
      <x:c r="G25" s="8" t="n">
        <x:v>6555</x:v>
      </x:c>
      <x:c r="H25" s="8" t="n">
        <x:v>7405</x:v>
      </x:c>
    </x:row>
    <x:row r="26">
      <x:c r="A26" s="2" t="str">
        <x:v>111411</x:v>
      </x:c>
      <x:c r="B26" s="2" t="str">
        <x:v>Mushroom Production</x:v>
      </x:c>
      <x:c r="C26" s="8" t="n">
        <x:v>2395</x:v>
      </x:c>
      <x:c r="D26" s="8" t="n">
        <x:v>2327</x:v>
      </x:c>
      <x:c r="E26" s="8" t="n">
        <x:v>2284</x:v>
      </x:c>
      <x:c r="F26" s="8" t="n">
        <x:v>2052</x:v>
      </x:c>
      <x:c r="G26" s="8" t="n">
        <x:v>2149</x:v>
      </x:c>
      <x:c r="H26" s="8" t="n">
        <x:v>1465</x:v>
      </x:c>
    </x:row>
    <x:row r="27">
      <x:c r="A27" s="2" t="str">
        <x:v>111419</x:v>
      </x:c>
      <x:c r="B27" s="2" t="str">
        <x:v>Other Food Crops Grown Under Cover</x:v>
      </x:c>
      <x:c r="C27" s="8" t="n">
        <x:v>1956</x:v>
      </x:c>
      <x:c r="D27" s="8" t="n">
        <x:v>2024</x:v>
      </x:c>
      <x:c r="E27" s="8" t="n">
        <x:v>2508</x:v>
      </x:c>
      <x:c r="F27" s="8" t="n">
        <x:v>4844</x:v>
      </x:c>
      <x:c r="G27" s="8" t="n">
        <x:v>4664</x:v>
      </x:c>
      <x:c r="H27" s="8" t="n">
        <x:v>4080</x:v>
      </x:c>
    </x:row>
    <x:row r="28">
      <x:c r="A28" s="2" t="str">
        <x:v>111421</x:v>
      </x:c>
      <x:c r="B28" s="2" t="str">
        <x:v>Nursery and Tree Production</x:v>
      </x:c>
      <x:c r="C28" s="8" t="n">
        <x:v>13854</x:v>
      </x:c>
      <x:c r="D28" s="8" t="n">
        <x:v>13287</x:v>
      </x:c>
      <x:c r="E28" s="8" t="n">
        <x:v>14229</x:v>
      </x:c>
      <x:c r="F28" s="8" t="n">
        <x:v>15741</x:v>
      </x:c>
      <x:c r="G28" s="8" t="n">
        <x:v>13818</x:v>
      </x:c>
      <x:c r="H28" s="8" t="n">
        <x:v>12686</x:v>
      </x:c>
    </x:row>
    <x:row r="29">
      <x:c r="A29" s="2" t="str">
        <x:v>111422</x:v>
      </x:c>
      <x:c r="B29" s="2" t="str">
        <x:v>Floriculture Production</x:v>
      </x:c>
      <x:c r="C29" s="8" t="n">
        <x:v>7656</x:v>
      </x:c>
      <x:c r="D29" s="8" t="n">
        <x:v>7613</x:v>
      </x:c>
      <x:c r="E29" s="8" t="n">
        <x:v>7446</x:v>
      </x:c>
      <x:c r="F29" s="8" t="n">
        <x:v>6571</x:v>
      </x:c>
      <x:c r="G29" s="8" t="n">
        <x:v>6033</x:v>
      </x:c>
      <x:c r="H29" s="8" t="n">
        <x:v>4961</x:v>
      </x:c>
    </x:row>
    <x:row r="30">
      <x:c r="A30" s="2" t="str">
        <x:v>111940</x:v>
      </x:c>
      <x:c r="B30" s="2" t="str">
        <x:v>Hay Farming</x:v>
      </x:c>
      <x:c r="C30" s="8" t="n">
        <x:v>2435</x:v>
      </x:c>
      <x:c r="D30" s="8" t="n">
        <x:v>2397</x:v>
      </x:c>
      <x:c r="E30" s="8" t="n">
        <x:v>2434</x:v>
      </x:c>
      <x:c r="F30" s="8" t="n">
        <x:v>2479</x:v>
      </x:c>
      <x:c r="G30" s="8" t="n">
        <x:v>2420</x:v>
      </x:c>
      <x:c r="H30" s="8" t="n">
        <x:v>2263</x:v>
      </x:c>
    </x:row>
    <x:row r="31">
      <x:c r="A31" s="2" t="str">
        <x:v>112111</x:v>
      </x:c>
      <x:c r="B31" s="2" t="str">
        <x:v>Beef Cattle Ranching and Farming</x:v>
      </x:c>
      <x:c r="C31" s="8" t="n">
        <x:v>4126</x:v>
      </x:c>
      <x:c r="D31" s="8" t="n">
        <x:v>4264</x:v>
      </x:c>
      <x:c r="E31" s="8" t="n">
        <x:v>3982</x:v>
      </x:c>
      <x:c r="F31" s="8" t="n">
        <x:v>4350</x:v>
      </x:c>
      <x:c r="G31" s="8" t="n">
        <x:v>4068</x:v>
      </x:c>
      <x:c r="H31" s="8" t="n">
        <x:v>4115</x:v>
      </x:c>
    </x:row>
    <x:row r="32">
      <x:c r="A32" s="2" t="str">
        <x:v>112112</x:v>
      </x:c>
      <x:c r="B32" s="2" t="str">
        <x:v>Cattle Feedlots</x:v>
      </x:c>
      <x:c r="C32" s="8" t="n">
        <x:v>638</x:v>
      </x:c>
      <x:c r="D32" s="8" t="n">
        <x:v>627</x:v>
      </x:c>
      <x:c r="E32" s="8" t="n">
        <x:v>648</x:v>
      </x:c>
      <x:c r="F32" s="8" t="n">
        <x:v>656</x:v>
      </x:c>
      <x:c r="G32" s="8" t="n">
        <x:v>624</x:v>
      </x:c>
      <x:c r="H32" s="8" t="n">
        <x:v>633</x:v>
      </x:c>
    </x:row>
    <x:row r="33">
      <x:c r="A33" s="2" t="str">
        <x:v>112120</x:v>
      </x:c>
      <x:c r="B33" s="2" t="str">
        <x:v>Dairy Cattle and Milk Production</x:v>
      </x:c>
      <x:c r="C33" s="8" t="n">
        <x:v>17964</x:v>
      </x:c>
      <x:c r="D33" s="8" t="n">
        <x:v>17885</x:v>
      </x:c>
      <x:c r="E33" s="8" t="n">
        <x:v>17497</x:v>
      </x:c>
      <x:c r="F33" s="8" t="n">
        <x:v>17354</x:v>
      </x:c>
      <x:c r="G33" s="8" t="n">
        <x:v>16886</x:v>
      </x:c>
      <x:c r="H33" s="8" t="n">
        <x:v>16092</x:v>
      </x:c>
    </x:row>
    <x:row r="34">
      <x:c r="A34" s="2" t="str">
        <x:v>112210</x:v>
      </x:c>
      <x:c r="B34" s="2" t="str">
        <x:v>Hog and Pig Farming</x:v>
      </x:c>
      <x:c r="C34" s="8" t="n">
        <x:v>46</x:v>
      </x:c>
      <x:c r="D34" s="8" t="n">
        <x:v>136</x:v>
      </x:c>
      <x:c r="E34" s="8" t="n">
        <x:v>146</x:v>
      </x:c>
      <x:c r="F34" s="8" t="n">
        <x:v>139</x:v>
      </x:c>
      <x:c r="G34" s="8" t="n">
        <x:v>129</x:v>
      </x:c>
      <x:c r="H34" s="8" t="n">
        <x:v>68</x:v>
      </x:c>
    </x:row>
    <x:row r="35">
      <x:c r="A35" s="2" t="str">
        <x:v>112310</x:v>
      </x:c>
      <x:c r="B35" s="2" t="str">
        <x:v>Chicken Egg Production</x:v>
      </x:c>
      <x:c r="C35" s="8" t="n">
        <x:v>1447</x:v>
      </x:c>
      <x:c r="D35" s="8" t="n">
        <x:v>1425</x:v>
      </x:c>
      <x:c r="E35" s="8" t="n">
        <x:v>1592</x:v>
      </x:c>
      <x:c r="F35" s="8" t="n">
        <x:v>1451</x:v>
      </x:c>
      <x:c r="G35" s="8" t="n">
        <x:v>1528</x:v>
      </x:c>
      <x:c r="H35" s="8" t="n">
        <x:v>1666</x:v>
      </x:c>
    </x:row>
    <x:row r="36">
      <x:c r="A36" s="2" t="str">
        <x:v>112340</x:v>
      </x:c>
      <x:c r="B36" s="2" t="str">
        <x:v>Poultry Hatcheries</x:v>
      </x:c>
      <x:c r="C36" s="8" t="n">
        <x:v>254</x:v>
      </x:c>
      <x:c r="D36" s="8" t="n">
        <x:v>232</x:v>
      </x:c>
      <x:c r="E36" s="8" t="n">
        <x:v>221</x:v>
      </x:c>
      <x:c r="F36" s="8" t="n">
        <x:v>178</x:v>
      </x:c>
      <x:c r="G36" s="8" t="n">
        <x:v>196</x:v>
      </x:c>
      <x:c r="H36" s="8" t="n">
        <x:v>258</x:v>
      </x:c>
    </x:row>
    <x:row r="37">
      <x:c r="A37" s="2" t="str">
        <x:v>112390</x:v>
      </x:c>
      <x:c r="B37" s="2" t="str">
        <x:v>Other Poultry Production</x:v>
      </x:c>
      <x:c r="C37" s="8" t="n">
        <x:v>239</x:v>
      </x:c>
      <x:c r="D37" s="8" t="n">
        <x:v>237</x:v>
      </x:c>
      <x:c r="E37" s="8" t="n">
        <x:v>239</x:v>
      </x:c>
      <x:c r="F37" s="8" t="n">
        <x:v>219</x:v>
      </x:c>
      <x:c r="G37" s="8" t="n">
        <x:v>213</x:v>
      </x:c>
      <x:c r="H37" s="8" t="n">
        <x:v>160</x:v>
      </x:c>
    </x:row>
    <x:row r="38">
      <x:c r="A38" s="2" t="str">
        <x:v>112410</x:v>
      </x:c>
      <x:c r="B38" s="2" t="str">
        <x:v>Sheep Farming</x:v>
      </x:c>
      <x:c r="C38" s="8" t="n">
        <x:v>246</x:v>
      </x:c>
      <x:c r="D38" s="8" t="n">
        <x:v>258</x:v>
      </x:c>
      <x:c r="E38" s="8" t="n">
        <x:v>285</x:v>
      </x:c>
      <x:c r="F38" s="8" t="n">
        <x:v>242</x:v>
      </x:c>
      <x:c r="G38" s="8" t="n">
        <x:v>234</x:v>
      </x:c>
      <x:c r="H38" s="8" t="n">
        <x:v>227</x:v>
      </x:c>
    </x:row>
    <x:row r="39">
      <x:c r="A39" s="2" t="str">
        <x:v>112420</x:v>
      </x:c>
      <x:c r="B39" s="2" t="str">
        <x:v>Goat Farming</x:v>
      </x:c>
      <x:c r="C39" s="8" t="n">
        <x:v>149</x:v>
      </x:c>
      <x:c r="D39" s="8" t="n">
        <x:v>144</x:v>
      </x:c>
      <x:c r="E39" s="8" t="n">
        <x:v>107</x:v>
      </x:c>
      <x:c r="F39" s="8" t="n">
        <x:v>134</x:v>
      </x:c>
      <x:c r="G39" s="8" t="n">
        <x:v>131</x:v>
      </x:c>
      <x:c r="H39" s="8" t="n">
        <x:v>135</x:v>
      </x:c>
    </x:row>
    <x:row r="40">
      <x:c r="A40" s="2" t="str">
        <x:v>112511</x:v>
      </x:c>
      <x:c r="B40" s="2" t="str">
        <x:v>Finfish Farming and Fish Hatcheries</x:v>
      </x:c>
      <x:c r="C40" s="8" t="n">
        <x:v>249</x:v>
      </x:c>
      <x:c r="D40" s="8" t="n">
        <x:v>314</x:v>
      </x:c>
      <x:c r="E40" s="8" t="n">
        <x:v>314</x:v>
      </x:c>
      <x:c r="F40" s="8" t="n">
        <x:v>269</x:v>
      </x:c>
      <x:c r="G40" s="8" t="n">
        <x:v>277</x:v>
      </x:c>
      <x:c r="H40" s="8" t="n">
        <x:v>245</x:v>
      </x:c>
    </x:row>
    <x:row r="41">
      <x:c r="A41" s="2" t="str">
        <x:v>112512</x:v>
      </x:c>
      <x:c r="B41" s="2" t="str">
        <x:v>Shellfish Farming</x:v>
      </x:c>
      <x:c r="C41" s="8" t="n">
        <x:v>120</x:v>
      </x:c>
      <x:c r="D41" s="8" t="n">
        <x:v>149</x:v>
      </x:c>
      <x:c r="E41" s="8" t="n">
        <x:v>127</x:v>
      </x:c>
      <x:c r="F41" s="8" t="n">
        <x:v>118</x:v>
      </x:c>
      <x:c r="G41" s="8" t="n">
        <x:v>125</x:v>
      </x:c>
      <x:c r="H41" s="8" t="n">
        <x:v>133</x:v>
      </x:c>
    </x:row>
    <x:row r="42">
      <x:c r="A42" s="2" t="str">
        <x:v>112519</x:v>
      </x:c>
      <x:c r="B42" s="2" t="str">
        <x:v>Other Aquaculture</x:v>
      </x:c>
      <x:c r="C42" s="8" t="n">
        <x:v>49</x:v>
      </x:c>
      <x:c r="D42" s="8" t="n">
        <x:v>49</x:v>
      </x:c>
      <x:c r="E42" s="8" t="n">
        <x:v>29</x:v>
      </x:c>
      <x:c r="F42" s="8" t="n">
        <x:v>104</x:v>
      </x:c>
      <x:c r="G42" s="8" t="n">
        <x:v>113</x:v>
      </x:c>
      <x:c r="H42" s="8" t="n">
        <x:v>114</x:v>
      </x:c>
    </x:row>
    <x:row r="43">
      <x:c r="A43" s="2" t="str">
        <x:v>112910</x:v>
      </x:c>
      <x:c r="B43" s="2" t="str">
        <x:v>Apiculture</x:v>
      </x:c>
      <x:c r="C43" s="8" t="n">
        <x:v>1165</x:v>
      </x:c>
      <x:c r="D43" s="8" t="n">
        <x:v>1201</x:v>
      </x:c>
      <x:c r="E43" s="8" t="n">
        <x:v>1217</x:v>
      </x:c>
      <x:c r="F43" s="8" t="n">
        <x:v>1220</x:v>
      </x:c>
      <x:c r="G43" s="8" t="n">
        <x:v>1166</x:v>
      </x:c>
      <x:c r="H43" s="8" t="n">
        <x:v>1268</x:v>
      </x:c>
    </x:row>
    <x:row r="44">
      <x:c r="A44" s="2" t="str">
        <x:v>112990</x:v>
      </x:c>
      <x:c r="B44" s="2" t="str">
        <x:v>All Other Animal Production</x:v>
      </x:c>
      <x:c r="C44" s="8" t="n">
        <x:v>672</x:v>
      </x:c>
      <x:c r="D44" s="8" t="n">
        <x:v>781</x:v>
      </x:c>
      <x:c r="E44" s="8" t="n">
        <x:v>781</x:v>
      </x:c>
      <x:c r="F44" s="8" t="n">
        <x:v>892</x:v>
      </x:c>
      <x:c r="G44" s="8" t="n">
        <x:v>1030</x:v>
      </x:c>
      <x:c r="H44" s="8" t="n">
        <x:v>874</x:v>
      </x:c>
    </x:row>
    <x:row r="45">
      <x:c r="A45" s="2" t="str">
        <x:v>113110</x:v>
      </x:c>
      <x:c r="B45" s="2" t="str">
        <x:v>Timber Tract Operations</x:v>
      </x:c>
      <x:c r="C45" s="8" t="n">
        <x:v>13</x:v>
      </x:c>
      <x:c r="D45" s="8" t="n">
        <x:v>17</x:v>
      </x:c>
      <x:c r="E45" s="8" t="n">
        <x:v>18</x:v>
      </x:c>
      <x:c r="F45" s="8" t="n">
        <x:v>44</x:v>
      </x:c>
      <x:c r="G45" s="8" t="n">
        <x:v>41</x:v>
      </x:c>
      <x:c r="H45" s="8" t="n">
        <x:v>54</x:v>
      </x:c>
    </x:row>
    <x:row r="46">
      <x:c r="A46" s="2" t="str">
        <x:v>113210</x:v>
      </x:c>
      <x:c r="B46" s="2" t="str">
        <x:v>Forest Nurseries and Gathering of Forest Products</x:v>
      </x:c>
      <x:c r="C46" s="8" t="n">
        <x:v>406</x:v>
      </x:c>
      <x:c r="D46" s="8" t="n">
        <x:v>365</x:v>
      </x:c>
      <x:c r="E46" s="8" t="n">
        <x:v>179</x:v>
      </x:c>
      <x:c r="F46" s="8" t="n">
        <x:v>282</x:v>
      </x:c>
      <x:c r="G46" s="8" t="n">
        <x:v>233</x:v>
      </x:c>
      <x:c r="H46" s="8" t="n">
        <x:v>120</x:v>
      </x:c>
    </x:row>
    <x:row r="47">
      <x:c r="A47" s="2" t="str">
        <x:v>113310</x:v>
      </x:c>
      <x:c r="B47" s="2" t="str">
        <x:v>Logging</x:v>
      </x:c>
      <x:c r="C47" s="8" t="n">
        <x:v>1242</x:v>
      </x:c>
      <x:c r="D47" s="8" t="n">
        <x:v>1384</x:v>
      </x:c>
      <x:c r="E47" s="8" t="n">
        <x:v>1342</x:v>
      </x:c>
      <x:c r="F47" s="8" t="n">
        <x:v>1628</x:v>
      </x:c>
      <x:c r="G47" s="8" t="n">
        <x:v>1236</x:v>
      </x:c>
      <x:c r="H47" s="8" t="n">
        <x:v>1415</x:v>
      </x:c>
    </x:row>
    <x:row r="48">
      <x:c r="A48" s="2" t="str">
        <x:v>114111</x:v>
      </x:c>
      <x:c r="B48" s="2" t="str">
        <x:v>Finfish Fishing</x:v>
      </x:c>
      <x:c r="C48" s="8" t="n">
        <x:v>297</x:v>
      </x:c>
      <x:c r="D48" s="8" t="n">
        <x:v>341</x:v>
      </x:c>
      <x:c r="E48" s="8" t="n">
        <x:v>347</x:v>
      </x:c>
      <x:c r="F48" s="8" t="n">
        <x:v>330</x:v>
      </x:c>
      <x:c r="G48" s="8" t="n">
        <x:v>287</x:v>
      </x:c>
      <x:c r="H48" s="8" t="n">
        <x:v>295</x:v>
      </x:c>
    </x:row>
    <x:row r="49">
      <x:c r="A49" s="2" t="str">
        <x:v>114210</x:v>
      </x:c>
      <x:c r="B49" s="2" t="str">
        <x:v>Hunting and Trapping</x:v>
      </x:c>
      <x:c r="C49" s="8" t="n">
        <x:v>67</x:v>
      </x:c>
      <x:c r="D49" s="8" t="n">
        <x:v>54</x:v>
      </x:c>
      <x:c r="E49" s="8" t="n">
        <x:v>56</x:v>
      </x:c>
      <x:c r="F49" s="8" t="n">
        <x:v>60</x:v>
      </x:c>
      <x:c r="G49" s="8" t="n">
        <x:v>62</x:v>
      </x:c>
      <x:c r="H49" s="8" t="n">
        <x:v>64</x:v>
      </x:c>
    </x:row>
    <x:row r="50">
      <x:c r="A50" s="2" t="str">
        <x:v>115111</x:v>
      </x:c>
      <x:c r="B50" s="2" t="str">
        <x:v>Cotton Ginning</x:v>
      </x:c>
      <x:c r="C50" s="8" t="n">
        <x:v>208</x:v>
      </x:c>
      <x:c r="D50" s="8" t="n">
        <x:v>204</x:v>
      </x:c>
      <x:c r="E50" s="8" t="n">
        <x:v>259</x:v>
      </x:c>
      <x:c r="F50" s="8" t="n">
        <x:v>142</x:v>
      </x:c>
      <x:c r="G50" s="8" t="n">
        <x:v>148</x:v>
      </x:c>
      <x:c r="H50" s="8" t="n">
        <x:v>123</x:v>
      </x:c>
    </x:row>
    <x:row r="51">
      <x:c r="A51" s="2" t="str">
        <x:v>115112</x:v>
      </x:c>
      <x:c r="B51" s="2" t="str">
        <x:v>Soil Preparation, Planting, and Cultivating</x:v>
      </x:c>
      <x:c r="C51" s="8" t="n">
        <x:v>12928</x:v>
      </x:c>
      <x:c r="D51" s="8" t="n">
        <x:v>10528</x:v>
      </x:c>
      <x:c r="E51" s="8" t="n">
        <x:v>12256</x:v>
      </x:c>
      <x:c r="F51" s="8" t="n">
        <x:v>11358</x:v>
      </x:c>
      <x:c r="G51" s="8" t="n">
        <x:v>9998</x:v>
      </x:c>
      <x:c r="H51" s="8" t="n">
        <x:v>9825</x:v>
      </x:c>
    </x:row>
    <x:row r="52">
      <x:c r="A52" s="2" t="str">
        <x:v>115113</x:v>
      </x:c>
      <x:c r="B52" s="2" t="str">
        <x:v>Crop Harvesting, Primarily by Machine</x:v>
      </x:c>
      <x:c r="C52" s="8" t="n">
        <x:v>5386</x:v>
      </x:c>
      <x:c r="D52" s="8" t="n">
        <x:v>5217</x:v>
      </x:c>
      <x:c r="E52" s="8" t="n">
        <x:v>5601</x:v>
      </x:c>
      <x:c r="F52" s="8" t="n">
        <x:v>5134</x:v>
      </x:c>
      <x:c r="G52" s="8" t="n">
        <x:v>4498</x:v>
      </x:c>
      <x:c r="H52" s="8" t="n">
        <x:v>4427</x:v>
      </x:c>
    </x:row>
    <x:row r="53">
      <x:c r="A53" s="2" t="str">
        <x:v>115114</x:v>
      </x:c>
      <x:c r="B53" s="2" t="str">
        <x:v>Postharvest Crop Activities (except Cotton Ginning)</x:v>
      </x:c>
      <x:c r="C53" s="8" t="n">
        <x:v>32422</x:v>
      </x:c>
      <x:c r="D53" s="8" t="n">
        <x:v>34974</x:v>
      </x:c>
      <x:c r="E53" s="8" t="n">
        <x:v>33122</x:v>
      </x:c>
      <x:c r="F53" s="8" t="n">
        <x:v>32182</x:v>
      </x:c>
      <x:c r="G53" s="8" t="n">
        <x:v>30295</x:v>
      </x:c>
      <x:c r="H53" s="8" t="n">
        <x:v>30044</x:v>
      </x:c>
    </x:row>
    <x:row r="54">
      <x:c r="A54" s="2" t="str">
        <x:v>115115</x:v>
      </x:c>
      <x:c r="B54" s="2" t="str">
        <x:v>Farm Labor Contractors and Crew Leaders</x:v>
      </x:c>
      <x:c r="C54" s="8" t="n">
        <x:v>115043</x:v>
      </x:c>
      <x:c r="D54" s="8" t="n">
        <x:v>108216</x:v>
      </x:c>
      <x:c r="E54" s="8" t="n">
        <x:v>114342</x:v>
      </x:c>
      <x:c r="F54" s="8" t="n">
        <x:v>115472</x:v>
      </x:c>
      <x:c r="G54" s="8" t="n">
        <x:v>107299</x:v>
      </x:c>
      <x:c r="H54" s="8" t="n">
        <x:v>121757</x:v>
      </x:c>
    </x:row>
    <x:row r="55">
      <x:c r="A55" s="2" t="str">
        <x:v>115116</x:v>
      </x:c>
      <x:c r="B55" s="2" t="str">
        <x:v>Farm Management Services</x:v>
      </x:c>
      <x:c r="C55" s="8" t="n">
        <x:v>10212</x:v>
      </x:c>
      <x:c r="D55" s="8" t="n">
        <x:v>10174</x:v>
      </x:c>
      <x:c r="E55" s="8" t="n">
        <x:v>11109</x:v>
      </x:c>
      <x:c r="F55" s="8" t="n">
        <x:v>11344</x:v>
      </x:c>
      <x:c r="G55" s="8" t="n">
        <x:v>11128</x:v>
      </x:c>
      <x:c r="H55" s="8" t="n">
        <x:v>11599</x:v>
      </x:c>
    </x:row>
    <x:row r="56">
      <x:c r="A56" s="2" t="str">
        <x:v>115210</x:v>
      </x:c>
      <x:c r="B56" s="2" t="str">
        <x:v>Support Activities for Animal Production</x:v>
      </x:c>
      <x:c r="C56" s="8" t="n">
        <x:v>2875</x:v>
      </x:c>
      <x:c r="D56" s="8" t="n">
        <x:v>2944</x:v>
      </x:c>
      <x:c r="E56" s="8" t="n">
        <x:v>3038</x:v>
      </x:c>
      <x:c r="F56" s="8" t="n">
        <x:v>2912</x:v>
      </x:c>
      <x:c r="G56" s="8" t="n">
        <x:v>2810</x:v>
      </x:c>
      <x:c r="H56" s="8" t="n">
        <x:v>2752</x:v>
      </x:c>
    </x:row>
    <x:row r="57">
      <x:c r="A57" s="2" t="str">
        <x:v>115310</x:v>
      </x:c>
      <x:c r="B57" s="2" t="str">
        <x:v>Support Activities for Forestry</x:v>
      </x:c>
      <x:c r="C57" s="8" t="n">
        <x:v>1255</x:v>
      </x:c>
      <x:c r="D57" s="8" t="n">
        <x:v>1512</x:v>
      </x:c>
      <x:c r="E57" s="8" t="n">
        <x:v>1567</x:v>
      </x:c>
      <x:c r="F57" s="8" t="n">
        <x:v>2367</x:v>
      </x:c>
      <x:c r="G57" s="8" t="n">
        <x:v>2053</x:v>
      </x:c>
      <x:c r="H57" s="8" t="n">
        <x:v>2225</x:v>
      </x:c>
    </x:row>
    <x:row r="58">
      <x:c r="A58" s="2" t="str">
        <x:v>211120</x:v>
      </x:c>
      <x:c r="B58" s="2" t="str">
        <x:v>Crude Petroleum Extraction</x:v>
      </x:c>
      <x:c r="C58" s="8" t="n">
        <x:v>3597</x:v>
      </x:c>
      <x:c r="D58" s="8" t="n">
        <x:v>3582</x:v>
      </x:c>
      <x:c r="E58" s="8" t="n">
        <x:v>3563</x:v>
      </x:c>
      <x:c r="F58" s="8" t="n">
        <x:v>2585</x:v>
      </x:c>
      <x:c r="G58" s="8" t="n">
        <x:v>2594</x:v>
      </x:c>
      <x:c r="H58" s="8" t="n">
        <x:v>1870</x:v>
      </x:c>
    </x:row>
    <x:row r="59">
      <x:c r="A59" s="2" t="str">
        <x:v>211130</x:v>
      </x:c>
      <x:c r="B59" s="2" t="str">
        <x:v>Natural Gas Extraction</x:v>
      </x:c>
      <x:c r="C59" s="8" t="n">
        <x:v>1270</x:v>
      </x:c>
      <x:c r="D59" s="8" t="n">
        <x:v>1257</x:v>
      </x:c>
      <x:c r="E59" s="8" t="n">
        <x:v>1274</x:v>
      </x:c>
      <x:c r="F59" s="8" t="n">
        <x:v>759</x:v>
      </x:c>
      <x:c r="G59" s="8" t="n">
        <x:v>827</x:v>
      </x:c>
      <x:c r="H59" s="8" t="n">
        <x:v>738</x:v>
      </x:c>
    </x:row>
    <x:row r="60">
      <x:c r="A60" s="2" t="str">
        <x:v>212319</x:v>
      </x:c>
      <x:c r="B60" s="2" t="str">
        <x:v>Other Crushed and Broken Stone Mining and Quarrying</x:v>
      </x:c>
      <x:c r="C60" s="8" t="n">
        <x:v>537</x:v>
      </x:c>
      <x:c r="D60" s="8" t="n">
        <x:v>565</x:v>
      </x:c>
      <x:c r="E60" s="8" t="n">
        <x:v>637</x:v>
      </x:c>
      <x:c r="F60" s="8" t="n">
        <x:v>645</x:v>
      </x:c>
      <x:c r="G60" s="8" t="n">
        <x:v>616</x:v>
      </x:c>
      <x:c r="H60" s="8" t="n">
        <x:v>534</x:v>
      </x:c>
    </x:row>
    <x:row r="61">
      <x:c r="A61" s="2" t="str">
        <x:v>212321</x:v>
      </x:c>
      <x:c r="B61" s="2" t="str">
        <x:v>Construction Sand and Gravel Mining</x:v>
      </x:c>
      <x:c r="C61" s="8" t="n">
        <x:v>2476</x:v>
      </x:c>
      <x:c r="D61" s="8" t="n">
        <x:v>2410</x:v>
      </x:c>
      <x:c r="E61" s="8" t="n">
        <x:v>2465</x:v>
      </x:c>
      <x:c r="F61" s="8" t="n">
        <x:v>2279</x:v>
      </x:c>
      <x:c r="G61" s="8" t="n">
        <x:v>1946</x:v>
      </x:c>
      <x:c r="H61" s="8" t="n">
        <x:v>2074</x:v>
      </x:c>
    </x:row>
    <x:row r="62">
      <x:c r="A62" s="2" t="str">
        <x:v>213111</x:v>
      </x:c>
      <x:c r="B62" s="2" t="str">
        <x:v>Drilling Oil and Gas Wells</x:v>
      </x:c>
      <x:c r="C62" s="8" t="n">
        <x:v>2737</x:v>
      </x:c>
      <x:c r="D62" s="8" t="n">
        <x:v>2736</x:v>
      </x:c>
      <x:c r="E62" s="8" t="n">
        <x:v>3026</x:v>
      </x:c>
      <x:c r="F62" s="8" t="n">
        <x:v>1899</x:v>
      </x:c>
      <x:c r="G62" s="8" t="n">
        <x:v>2231</x:v>
      </x:c>
      <x:c r="H62" s="8" t="n">
        <x:v>1453</x:v>
      </x:c>
    </x:row>
    <x:row r="63">
      <x:c r="A63" s="2" t="str">
        <x:v>213112</x:v>
      </x:c>
      <x:c r="B63" s="2" t="str">
        <x:v>Support Activities for Oil and Gas Operations</x:v>
      </x:c>
      <x:c r="C63" s="8" t="n">
        <x:v>5726</x:v>
      </x:c>
      <x:c r="D63" s="8" t="n">
        <x:v>6622</x:v>
      </x:c>
      <x:c r="E63" s="8" t="n">
        <x:v>6749</x:v>
      </x:c>
      <x:c r="F63" s="8" t="n">
        <x:v>5418</x:v>
      </x:c>
      <x:c r="G63" s="8" t="n">
        <x:v>5789</x:v>
      </x:c>
      <x:c r="H63" s="8" t="n">
        <x:v>5325</x:v>
      </x:c>
    </x:row>
    <x:row r="64">
      <x:c r="A64" s="2" t="str">
        <x:v>213115</x:v>
      </x:c>
      <x:c r="B64" s="2" t="str">
        <x:v>Support Activities for Nonmetallic Minerals (except Fuels) Mining</x:v>
      </x:c>
      <x:c r="C64" s="8" t="n">
        <x:v>116</x:v>
      </x:c>
      <x:c r="D64" s="8" t="n">
        <x:v>131</x:v>
      </x:c>
      <x:c r="E64" s="8" t="n">
        <x:v>181</x:v>
      </x:c>
      <x:c r="F64" s="8" t="n">
        <x:v>140</x:v>
      </x:c>
      <x:c r="G64" s="8" t="n">
        <x:v>128</x:v>
      </x:c>
      <x:c r="H64" s="8" t="n">
        <x:v>142</x:v>
      </x:c>
    </x:row>
    <x:row r="65">
      <x:c r="A65" s="2" t="str">
        <x:v>221114</x:v>
      </x:c>
      <x:c r="B65" s="2" t="str">
        <x:v>Solar Electric Power Generation</x:v>
      </x:c>
      <x:c r="C65" s="8" t="n">
        <x:v>621</x:v>
      </x:c>
      <x:c r="D65" s="8" t="n">
        <x:v>671</x:v>
      </x:c>
      <x:c r="E65" s="8" t="n">
        <x:v>640</x:v>
      </x:c>
      <x:c r="F65" s="8" t="n">
        <x:v>2025</x:v>
      </x:c>
      <x:c r="G65" s="8" t="n">
        <x:v>2704</x:v>
      </x:c>
      <x:c r="H65" s="8" t="n">
        <x:v>3352</x:v>
      </x:c>
    </x:row>
    <x:row r="66">
      <x:c r="A66" s="2" t="str">
        <x:v>221115</x:v>
      </x:c>
      <x:c r="B66" s="2" t="str">
        <x:v>Wind Electric Power Generation</x:v>
      </x:c>
      <x:c r="C66" s="8" t="n">
        <x:v>722</x:v>
      </x:c>
      <x:c r="D66" s="8" t="n">
        <x:v>669</x:v>
      </x:c>
      <x:c r="E66" s="8" t="n">
        <x:v>703</x:v>
      </x:c>
      <x:c r="F66" s="8" t="n">
        <x:v>646</x:v>
      </x:c>
      <x:c r="G66" s="8" t="n">
        <x:v>786</x:v>
      </x:c>
      <x:c r="H66" s="8" t="n">
        <x:v>866</x:v>
      </x:c>
    </x:row>
    <x:row r="67">
      <x:c r="A67" s="2" t="str">
        <x:v>221116</x:v>
      </x:c>
      <x:c r="B67" s="2" t="str">
        <x:v>Geothermal Electric Power Generation</x:v>
      </x:c>
      <x:c r="C67" s="8" t="n">
        <x:v>805</x:v>
      </x:c>
      <x:c r="D67" s="8" t="n">
        <x:v>792</x:v>
      </x:c>
      <x:c r="E67" s="8" t="n">
        <x:v>774</x:v>
      </x:c>
      <x:c r="F67" s="8" t="n">
        <x:v>822</x:v>
      </x:c>
      <x:c r="G67" s="8" t="n">
        <x:v>829</x:v>
      </x:c>
      <x:c r="H67" s="8" t="n">
        <x:v>655</x:v>
      </x:c>
    </x:row>
    <x:row r="68">
      <x:c r="A68" s="2" t="str">
        <x:v>221117</x:v>
      </x:c>
      <x:c r="B68" s="2" t="str">
        <x:v>Biomass Electric Power Generation</x:v>
      </x:c>
      <x:c r="C68" s="8" t="n">
        <x:v>346</x:v>
      </x:c>
      <x:c r="D68" s="8" t="n">
        <x:v>323</x:v>
      </x:c>
      <x:c r="E68" s="8" t="n">
        <x:v>379</x:v>
      </x:c>
      <x:c r="F68" s="8" t="n">
        <x:v>487</x:v>
      </x:c>
      <x:c r="G68" s="8" t="n">
        <x:v>557</x:v>
      </x:c>
      <x:c r="H68" s="8" t="n">
        <x:v>390</x:v>
      </x:c>
    </x:row>
    <x:row r="69">
      <x:c r="A69" s="2" t="str">
        <x:v>221118</x:v>
      </x:c>
      <x:c r="B69" s="2" t="str">
        <x:v>Other Electric Power Generation</x:v>
      </x:c>
      <x:c r="C69" s="8" t="n">
        <x:v>719</x:v>
      </x:c>
      <x:c r="D69" s="8" t="n">
        <x:v>710</x:v>
      </x:c>
      <x:c r="E69" s="8" t="n">
        <x:v>517</x:v>
      </x:c>
      <x:c r="F69" s="8" t="n">
        <x:v>889</x:v>
      </x:c>
      <x:c r="G69" s="8" t="n">
        <x:v>953</x:v>
      </x:c>
      <x:c r="H69" s="8" t="n">
        <x:v>1234</x:v>
      </x:c>
    </x:row>
    <x:row r="70">
      <x:c r="A70" s="2" t="str">
        <x:v>221121</x:v>
      </x:c>
      <x:c r="B70" s="2" t="str">
        <x:v>Electric Bulk Power Transmission and Control</x:v>
      </x:c>
      <x:c r="C70" s="8" t="n">
        <x:v>1127</x:v>
      </x:c>
      <x:c r="D70" s="8" t="n">
        <x:v>1667</x:v>
      </x:c>
      <x:c r="E70" s="8" t="n">
        <x:v>3272</x:v>
      </x:c>
      <x:c r="F70" s="8" t="n">
        <x:v>2385</x:v>
      </x:c>
      <x:c r="G70" s="8" t="n">
        <x:v>2513</x:v>
      </x:c>
      <x:c r="H70" s="8" t="n">
        <x:v>2615</x:v>
      </x:c>
    </x:row>
    <x:row r="71">
      <x:c r="A71" s="2" t="str">
        <x:v>221122</x:v>
      </x:c>
      <x:c r="B71" s="2" t="str">
        <x:v>Electric Power Distribution</x:v>
      </x:c>
      <x:c r="C71" s="8" t="n">
        <x:v>1799</x:v>
      </x:c>
      <x:c r="D71" s="8" t="n">
        <x:v>1747</x:v>
      </x:c>
      <x:c r="E71" s="8" t="n">
        <x:v>1263</x:v>
      </x:c>
      <x:c r="F71" s="8" t="n">
        <x:v>1429</x:v>
      </x:c>
      <x:c r="G71" s="8" t="n">
        <x:v>1307</x:v>
      </x:c>
      <x:c r="H71" s="8" t="n">
        <x:v>1498</x:v>
      </x:c>
    </x:row>
    <x:row r="72">
      <x:c r="A72" s="2" t="str">
        <x:v>221310</x:v>
      </x:c>
      <x:c r="B72" s="2" t="str">
        <x:v>Water Supply and Irrigation Systems</x:v>
      </x:c>
      <x:c r="C72" s="8" t="n">
        <x:v>4788</x:v>
      </x:c>
      <x:c r="D72" s="8" t="n">
        <x:v>4778</x:v>
      </x:c>
      <x:c r="E72" s="8" t="n">
        <x:v>4922</x:v>
      </x:c>
      <x:c r="F72" s="8" t="n">
        <x:v>5152</x:v>
      </x:c>
      <x:c r="G72" s="8" t="n">
        <x:v>5147</x:v>
      </x:c>
      <x:c r="H72" s="8" t="n">
        <x:v>5467</x:v>
      </x:c>
    </x:row>
    <x:row r="73">
      <x:c r="A73" s="2" t="str">
        <x:v>221320</x:v>
      </x:c>
      <x:c r="B73" s="2" t="str">
        <x:v>Sewage Treatment Facilities</x:v>
      </x:c>
      <x:c r="C73" s="8" t="n">
        <x:v>137</x:v>
      </x:c>
      <x:c r="D73" s="8" t="n">
        <x:v>143</x:v>
      </x:c>
      <x:c r="E73" s="8" t="n">
        <x:v>146</x:v>
      </x:c>
      <x:c r="F73" s="8" t="n">
        <x:v>196</x:v>
      </x:c>
      <x:c r="G73" s="8" t="n">
        <x:v>209</x:v>
      </x:c>
      <x:c r="H73" s="8" t="n">
        <x:v>326</x:v>
      </x:c>
    </x:row>
    <x:row r="74">
      <x:c r="A74" s="2" t="str">
        <x:v>236115</x:v>
      </x:c>
      <x:c r="B74" s="2" t="str">
        <x:v>New Single-Family Housing Construction (except For-Sale Builders)</x:v>
      </x:c>
      <x:c r="C74" s="8" t="n">
        <x:v>50608</x:v>
      </x:c>
      <x:c r="D74" s="8" t="n">
        <x:v>53001</x:v>
      </x:c>
      <x:c r="E74" s="8" t="n">
        <x:v>54523</x:v>
      </x:c>
      <x:c r="F74" s="8" t="n">
        <x:v>54684</x:v>
      </x:c>
      <x:c r="G74" s="8" t="n">
        <x:v>51446</x:v>
      </x:c>
      <x:c r="H74" s="8" t="n">
        <x:v>41916</x:v>
      </x:c>
    </x:row>
    <x:row r="75">
      <x:c r="A75" s="2" t="str">
        <x:v>236116</x:v>
      </x:c>
      <x:c r="B75" s="2" t="str">
        <x:v>New Multifamily Housing Construction (except For-Sale Builders)</x:v>
      </x:c>
      <x:c r="C75" s="8" t="n">
        <x:v>4503</x:v>
      </x:c>
      <x:c r="D75" s="8" t="n">
        <x:v>5022</x:v>
      </x:c>
      <x:c r="E75" s="8" t="n">
        <x:v>5634</x:v>
      </x:c>
      <x:c r="F75" s="8" t="n">
        <x:v>5867</x:v>
      </x:c>
      <x:c r="G75" s="8" t="n">
        <x:v>6102</x:v>
      </x:c>
      <x:c r="H75" s="8" t="n">
        <x:v>5898</x:v>
      </x:c>
    </x:row>
    <x:row r="76">
      <x:c r="A76" s="2" t="str">
        <x:v>236117</x:v>
      </x:c>
      <x:c r="B76" s="2" t="str">
        <x:v>New Housing For-Sale Builders</x:v>
      </x:c>
      <x:c r="C76" s="8" t="n">
        <x:v>2000</x:v>
      </x:c>
      <x:c r="D76" s="8" t="n">
        <x:v>2663</x:v>
      </x:c>
      <x:c r="E76" s="8" t="n">
        <x:v>2986</x:v>
      </x:c>
      <x:c r="F76" s="8" t="n">
        <x:v>3550</x:v>
      </x:c>
      <x:c r="G76" s="8" t="n">
        <x:v>3456</x:v>
      </x:c>
      <x:c r="H76" s="8" t="n">
        <x:v>3827</x:v>
      </x:c>
    </x:row>
    <x:row r="77">
      <x:c r="A77" s="2" t="str">
        <x:v>236118</x:v>
      </x:c>
      <x:c r="B77" s="2" t="str">
        <x:v>Residential Remodelers</x:v>
      </x:c>
      <x:c r="C77" s="8" t="n">
        <x:v>44494</x:v>
      </x:c>
      <x:c r="D77" s="8" t="n">
        <x:v>50466</x:v>
      </x:c>
      <x:c r="E77" s="8" t="n">
        <x:v>53780</x:v>
      </x:c>
      <x:c r="F77" s="8" t="n">
        <x:v>59926</x:v>
      </x:c>
      <x:c r="G77" s="8" t="n">
        <x:v>62277</x:v>
      </x:c>
      <x:c r="H77" s="8" t="n">
        <x:v>66226</x:v>
      </x:c>
    </x:row>
    <x:row r="78">
      <x:c r="A78" s="2" t="str">
        <x:v>236210</x:v>
      </x:c>
      <x:c r="B78" s="2" t="str">
        <x:v>Industrial Building Construction</x:v>
      </x:c>
      <x:c r="C78" s="8" t="n">
        <x:v>4831</x:v>
      </x:c>
      <x:c r="D78" s="8" t="n">
        <x:v>5634</x:v>
      </x:c>
      <x:c r="E78" s="8" t="n">
        <x:v>5335</x:v>
      </x:c>
      <x:c r="F78" s="8" t="n">
        <x:v>4456</x:v>
      </x:c>
      <x:c r="G78" s="8" t="n">
        <x:v>4434</x:v>
      </x:c>
      <x:c r="H78" s="8" t="n">
        <x:v>3841</x:v>
      </x:c>
    </x:row>
    <x:row r="79">
      <x:c r="A79" s="2" t="str">
        <x:v>236220</x:v>
      </x:c>
      <x:c r="B79" s="2" t="str">
        <x:v>Commercial and Institutional Building Construction</x:v>
      </x:c>
      <x:c r="C79" s="8" t="n">
        <x:v>68932</x:v>
      </x:c>
      <x:c r="D79" s="8" t="n">
        <x:v>74528</x:v>
      </x:c>
      <x:c r="E79" s="8" t="n">
        <x:v>77335</x:v>
      </x:c>
      <x:c r="F79" s="8" t="n">
        <x:v>79091</x:v>
      </x:c>
      <x:c r="G79" s="8" t="n">
        <x:v>80623</x:v>
      </x:c>
      <x:c r="H79" s="8" t="n">
        <x:v>78279</x:v>
      </x:c>
    </x:row>
    <x:row r="80">
      <x:c r="A80" s="2" t="str">
        <x:v>237110</x:v>
      </x:c>
      <x:c r="B80" s="2" t="str">
        <x:v>Water and Sewer Line and Related Structures Construction</x:v>
      </x:c>
      <x:c r="C80" s="8" t="n">
        <x:v>19094</x:v>
      </x:c>
      <x:c r="D80" s="8" t="n">
        <x:v>20091</x:v>
      </x:c>
      <x:c r="E80" s="8" t="n">
        <x:v>20437</x:v>
      </x:c>
      <x:c r="F80" s="8" t="n">
        <x:v>21578</x:v>
      </x:c>
      <x:c r="G80" s="8" t="n">
        <x:v>21201</x:v>
      </x:c>
      <x:c r="H80" s="8" t="n">
        <x:v>23031</x:v>
      </x:c>
    </x:row>
    <x:row r="81">
      <x:c r="A81" s="2" t="str">
        <x:v>237120</x:v>
      </x:c>
      <x:c r="B81" s="2" t="str">
        <x:v>Oil and Gas Pipeline and Related Structures Construction</x:v>
      </x:c>
      <x:c r="C81" s="8" t="n">
        <x:v>10646</x:v>
      </x:c>
      <x:c r="D81" s="8" t="n">
        <x:v>11433</x:v>
      </x:c>
      <x:c r="E81" s="8" t="n">
        <x:v>9747</x:v>
      </x:c>
      <x:c r="F81" s="8" t="n">
        <x:v>10364</x:v>
      </x:c>
      <x:c r="G81" s="8" t="n">
        <x:v>10152</x:v>
      </x:c>
      <x:c r="H81" s="8" t="n">
        <x:v>6849</x:v>
      </x:c>
    </x:row>
    <x:row r="82">
      <x:c r="A82" s="2" t="str">
        <x:v>237130</x:v>
      </x:c>
      <x:c r="B82" s="2" t="str">
        <x:v>Power and Communication Line and Related Structures Construction</x:v>
      </x:c>
      <x:c r="C82" s="8" t="n">
        <x:v>13329</x:v>
      </x:c>
      <x:c r="D82" s="8" t="n">
        <x:v>15218</x:v>
      </x:c>
      <x:c r="E82" s="8" t="n">
        <x:v>17526</x:v>
      </x:c>
      <x:c r="F82" s="8" t="n">
        <x:v>18458</x:v>
      </x:c>
      <x:c r="G82" s="8" t="n">
        <x:v>19575</x:v>
      </x:c>
      <x:c r="H82" s="8" t="n">
        <x:v>21123</x:v>
      </x:c>
    </x:row>
    <x:row r="83">
      <x:c r="A83" s="2" t="str">
        <x:v>237210</x:v>
      </x:c>
      <x:c r="B83" s="2" t="str">
        <x:v>Land Subdivision</x:v>
      </x:c>
      <x:c r="C83" s="8" t="n">
        <x:v>7566</x:v>
      </x:c>
      <x:c r="D83" s="8" t="n">
        <x:v>7379</x:v>
      </x:c>
      <x:c r="E83" s="8" t="n">
        <x:v>6982</x:v>
      </x:c>
      <x:c r="F83" s="8" t="n">
        <x:v>5404</x:v>
      </x:c>
      <x:c r="G83" s="8" t="n">
        <x:v>5222</x:v>
      </x:c>
      <x:c r="H83" s="8" t="n">
        <x:v>4229</x:v>
      </x:c>
    </x:row>
    <x:row r="84">
      <x:c r="A84" s="2" t="str">
        <x:v>237310</x:v>
      </x:c>
      <x:c r="B84" s="2" t="str">
        <x:v>Highway, Street, and Bridge Construction</x:v>
      </x:c>
      <x:c r="C84" s="8" t="n">
        <x:v>22039</x:v>
      </x:c>
      <x:c r="D84" s="8" t="n">
        <x:v>22233</x:v>
      </x:c>
      <x:c r="E84" s="8" t="n">
        <x:v>23930</x:v>
      </x:c>
      <x:c r="F84" s="8" t="n">
        <x:v>27404</x:v>
      </x:c>
      <x:c r="G84" s="8" t="n">
        <x:v>24610</x:v>
      </x:c>
      <x:c r="H84" s="8" t="n">
        <x:v>26579</x:v>
      </x:c>
    </x:row>
    <x:row r="85">
      <x:c r="A85" s="2" t="str">
        <x:v>237990</x:v>
      </x:c>
      <x:c r="B85" s="2" t="str">
        <x:v>Other Heavy and Civil Engineering Construction</x:v>
      </x:c>
      <x:c r="C85" s="8" t="n">
        <x:v>7596</x:v>
      </x:c>
      <x:c r="D85" s="8" t="n">
        <x:v>9607</x:v>
      </x:c>
      <x:c r="E85" s="8" t="n">
        <x:v>10215</x:v>
      </x:c>
      <x:c r="F85" s="8" t="n">
        <x:v>11469</x:v>
      </x:c>
      <x:c r="G85" s="8" t="n">
        <x:v>10721</x:v>
      </x:c>
      <x:c r="H85" s="8" t="n">
        <x:v>11791</x:v>
      </x:c>
    </x:row>
    <x:row r="86">
      <x:c r="A86" s="2" t="str">
        <x:v>311111</x:v>
      </x:c>
      <x:c r="B86" s="2" t="str">
        <x:v>Dog and Cat Food Manufacturing</x:v>
      </x:c>
      <x:c r="C86" s="8" t="n">
        <x:v>1403</x:v>
      </x:c>
      <x:c r="D86" s="8" t="n">
        <x:v>1588</x:v>
      </x:c>
      <x:c r="E86" s="8" t="n">
        <x:v>1756</x:v>
      </x:c>
      <x:c r="F86" s="8" t="n">
        <x:v>2109</x:v>
      </x:c>
      <x:c r="G86" s="8" t="n">
        <x:v>1917</x:v>
      </x:c>
      <x:c r="H86" s="8" t="n">
        <x:v>1886</x:v>
      </x:c>
    </x:row>
    <x:row r="87">
      <x:c r="A87" s="2" t="str">
        <x:v>311119</x:v>
      </x:c>
      <x:c r="B87" s="2" t="str">
        <x:v>Other Animal Food Manufacturing</x:v>
      </x:c>
      <x:c r="C87" s="8" t="n">
        <x:v>2488</x:v>
      </x:c>
      <x:c r="D87" s="8" t="n">
        <x:v>2598</x:v>
      </x:c>
      <x:c r="E87" s="8" t="n">
        <x:v>2578</x:v>
      </x:c>
      <x:c r="F87" s="8" t="n">
        <x:v>2419</x:v>
      </x:c>
      <x:c r="G87" s="8" t="n">
        <x:v>2465</x:v>
      </x:c>
      <x:c r="H87" s="8" t="n">
        <x:v>2536</x:v>
      </x:c>
    </x:row>
    <x:row r="88">
      <x:c r="A88" s="2" t="str">
        <x:v>311212</x:v>
      </x:c>
      <x:c r="B88" s="2" t="str">
        <x:v>Rice Milling</x:v>
      </x:c>
      <x:c r="C88" s="8" t="n">
        <x:v>1205</x:v>
      </x:c>
      <x:c r="D88" s="8" t="n">
        <x:v>1269</x:v>
      </x:c>
      <x:c r="E88" s="8" t="n">
        <x:v>1283</x:v>
      </x:c>
      <x:c r="F88" s="8" t="n">
        <x:v>1228</x:v>
      </x:c>
      <x:c r="G88" s="8" t="n">
        <x:v>1123</x:v>
      </x:c>
      <x:c r="H88" s="8" t="n">
        <x:v>1225</x:v>
      </x:c>
    </x:row>
    <x:row r="89">
      <x:c r="A89" s="2" t="str">
        <x:v>311225</x:v>
      </x:c>
      <x:c r="B89" s="2" t="str">
        <x:v>Fats and Oils Refining and Blending</x:v>
      </x:c>
      <x:c r="C89" s="8" t="n">
        <x:v>746</x:v>
      </x:c>
      <x:c r="D89" s="8" t="n">
        <x:v>766</x:v>
      </x:c>
      <x:c r="E89" s="8" t="n">
        <x:v>847</x:v>
      </x:c>
      <x:c r="F89" s="8" t="n">
        <x:v>938</x:v>
      </x:c>
      <x:c r="G89" s="8" t="n">
        <x:v>928</x:v>
      </x:c>
      <x:c r="H89" s="8" t="n">
        <x:v>1150</x:v>
      </x:c>
    </x:row>
    <x:row r="90">
      <x:c r="A90" s="2" t="str">
        <x:v>311230</x:v>
      </x:c>
      <x:c r="B90" s="2" t="str">
        <x:v>Breakfast Cereal Manufacturing</x:v>
      </x:c>
      <x:c r="C90" s="8" t="n">
        <x:v>184</x:v>
      </x:c>
      <x:c r="D90" s="8" t="n">
        <x:v>162</x:v>
      </x:c>
      <x:c r="E90" s="8" t="n">
        <x:v>148</x:v>
      </x:c>
      <x:c r="F90" s="8" t="n">
        <x:v>184</x:v>
      </x:c>
      <x:c r="G90" s="8" t="n">
        <x:v>198</x:v>
      </x:c>
      <x:c r="H90" s="8" t="n">
        <x:v>175</x:v>
      </x:c>
    </x:row>
    <x:row r="91">
      <x:c r="A91" s="2" t="str">
        <x:v>311340</x:v>
      </x:c>
      <x:c r="B91" s="2" t="str">
        <x:v>Nonchocolate Confectionery Manufacturing</x:v>
      </x:c>
      <x:c r="C91" s="8" t="n">
        <x:v>2633</x:v>
      </x:c>
      <x:c r="D91" s="8" t="n">
        <x:v>2572</x:v>
      </x:c>
      <x:c r="E91" s="8" t="n">
        <x:v>2812</x:v>
      </x:c>
      <x:c r="F91" s="8" t="n">
        <x:v>2184</x:v>
      </x:c>
      <x:c r="G91" s="8" t="n">
        <x:v>2044</x:v>
      </x:c>
      <x:c r="H91" s="8" t="n">
        <x:v>1872</x:v>
      </x:c>
    </x:row>
    <x:row r="92">
      <x:c r="A92" s="2" t="str">
        <x:v>311351</x:v>
      </x:c>
      <x:c r="B92" s="2" t="str">
        <x:v>Chocolate and Confectionery Manufacturing from Cacao Beans</x:v>
      </x:c>
      <x:c r="C92" s="8" t="n">
        <x:v>1526</x:v>
      </x:c>
      <x:c r="D92" s="8" t="n">
        <x:v>1494</x:v>
      </x:c>
      <x:c r="E92" s="8" t="n">
        <x:v>1593</x:v>
      </x:c>
      <x:c r="F92" s="8" t="n">
        <x:v>1665</x:v>
      </x:c>
      <x:c r="G92" s="8" t="n">
        <x:v>1612</x:v>
      </x:c>
      <x:c r="H92" s="8" t="n">
        <x:v>1616</x:v>
      </x:c>
    </x:row>
    <x:row r="93">
      <x:c r="A93" s="2" t="str">
        <x:v>311352</x:v>
      </x:c>
      <x:c r="B93" s="2" t="str">
        <x:v>Confectionery Manufacturing from Purchased Chocolate</x:v>
      </x:c>
      <x:c r="C93" s="8" t="n">
        <x:v>2064</x:v>
      </x:c>
      <x:c r="D93" s="8" t="n">
        <x:v>2111</x:v>
      </x:c>
      <x:c r="E93" s="8" t="n">
        <x:v>1826</x:v>
      </x:c>
      <x:c r="F93" s="8" t="n">
        <x:v>2205</x:v>
      </x:c>
      <x:c r="G93" s="8" t="n">
        <x:v>2303</x:v>
      </x:c>
      <x:c r="H93" s="8" t="n">
        <x:v>2188</x:v>
      </x:c>
    </x:row>
    <x:row r="94">
      <x:c r="A94" s="2" t="str">
        <x:v>311411</x:v>
      </x:c>
      <x:c r="B94" s="2" t="str">
        <x:v>Frozen Fruit, Juice, and Vegetable Manufacturing</x:v>
      </x:c>
      <x:c r="C94" s="8" t="n">
        <x:v>3797</x:v>
      </x:c>
      <x:c r="D94" s="8" t="n">
        <x:v>3631</x:v>
      </x:c>
      <x:c r="E94" s="8" t="n">
        <x:v>3731</x:v>
      </x:c>
      <x:c r="F94" s="8" t="n">
        <x:v>3664</x:v>
      </x:c>
      <x:c r="G94" s="8" t="n">
        <x:v>3296</x:v>
      </x:c>
      <x:c r="H94" s="8" t="n">
        <x:v>3040</x:v>
      </x:c>
    </x:row>
    <x:row r="95">
      <x:c r="A95" s="2" t="str">
        <x:v>311412</x:v>
      </x:c>
      <x:c r="B95" s="2" t="str">
        <x:v>Frozen Specialty Food Manufacturing</x:v>
      </x:c>
      <x:c r="C95" s="8" t="n">
        <x:v>6505</x:v>
      </x:c>
      <x:c r="D95" s="8" t="n">
        <x:v>6737</x:v>
      </x:c>
      <x:c r="E95" s="8" t="n">
        <x:v>6739</x:v>
      </x:c>
      <x:c r="F95" s="8" t="n">
        <x:v>8270</x:v>
      </x:c>
      <x:c r="G95" s="8" t="n">
        <x:v>7738</x:v>
      </x:c>
      <x:c r="H95" s="8" t="n">
        <x:v>7646</x:v>
      </x:c>
    </x:row>
    <x:row r="96">
      <x:c r="A96" s="2" t="str">
        <x:v>311421</x:v>
      </x:c>
      <x:c r="B96" s="2" t="str">
        <x:v>Fruit and Vegetable Canning</x:v>
      </x:c>
      <x:c r="C96" s="8" t="n">
        <x:v>9685</x:v>
      </x:c>
      <x:c r="D96" s="8" t="n">
        <x:v>9457</x:v>
      </x:c>
      <x:c r="E96" s="8" t="n">
        <x:v>9248</x:v>
      </x:c>
      <x:c r="F96" s="8" t="n">
        <x:v>8945</x:v>
      </x:c>
      <x:c r="G96" s="8" t="n">
        <x:v>9959</x:v>
      </x:c>
      <x:c r="H96" s="8" t="n">
        <x:v>10414</x:v>
      </x:c>
    </x:row>
    <x:row r="97">
      <x:c r="A97" s="2" t="str">
        <x:v>311422</x:v>
      </x:c>
      <x:c r="B97" s="2" t="str">
        <x:v>Specialty Canning</x:v>
      </x:c>
      <x:c r="C97" s="8" t="n">
        <x:v>488</x:v>
      </x:c>
      <x:c r="D97" s="8" t="n">
        <x:v>508</x:v>
      </x:c>
      <x:c r="E97" s="8" t="n">
        <x:v>528</x:v>
      </x:c>
      <x:c r="F97" s="8" t="n">
        <x:v>472</x:v>
      </x:c>
      <x:c r="G97" s="8" t="n">
        <x:v>457</x:v>
      </x:c>
      <x:c r="H97" s="8" t="n">
        <x:v>522</x:v>
      </x:c>
    </x:row>
    <x:row r="98">
      <x:c r="A98" s="2" t="str">
        <x:v>311423</x:v>
      </x:c>
      <x:c r="B98" s="2" t="str">
        <x:v>Dried and Dehydrated Food Manufacturing</x:v>
      </x:c>
      <x:c r="C98" s="8" t="n">
        <x:v>3078</x:v>
      </x:c>
      <x:c r="D98" s="8" t="n">
        <x:v>3365</x:v>
      </x:c>
      <x:c r="E98" s="8" t="n">
        <x:v>3678</x:v>
      </x:c>
      <x:c r="F98" s="8" t="n">
        <x:v>3206</x:v>
      </x:c>
      <x:c r="G98" s="8" t="n">
        <x:v>3256</x:v>
      </x:c>
      <x:c r="H98" s="8" t="n">
        <x:v>3031</x:v>
      </x:c>
    </x:row>
    <x:row r="99">
      <x:c r="A99" s="2" t="str">
        <x:v>311511</x:v>
      </x:c>
      <x:c r="B99" s="2" t="str">
        <x:v>Fluid Milk Manufacturing</x:v>
      </x:c>
      <x:c r="C99" s="8" t="n">
        <x:v>7927</x:v>
      </x:c>
      <x:c r="D99" s="8" t="n">
        <x:v>7283</x:v>
      </x:c>
      <x:c r="E99" s="8" t="n">
        <x:v>6560</x:v>
      </x:c>
      <x:c r="F99" s="8" t="n">
        <x:v>6890</x:v>
      </x:c>
      <x:c r="G99" s="8" t="n">
        <x:v>6954</x:v>
      </x:c>
      <x:c r="H99" s="8" t="n">
        <x:v>6873</x:v>
      </x:c>
    </x:row>
    <x:row r="100">
      <x:c r="A100" s="2" t="str">
        <x:v>311513</x:v>
      </x:c>
      <x:c r="B100" s="2" t="str">
        <x:v>Cheese Manufacturing</x:v>
      </x:c>
      <x:c r="C100" s="8" t="n">
        <x:v>6153</x:v>
      </x:c>
      <x:c r="D100" s="8" t="n">
        <x:v>6355</x:v>
      </x:c>
      <x:c r="E100" s="8" t="n">
        <x:v>6903</x:v>
      </x:c>
      <x:c r="F100" s="8" t="n">
        <x:v>6848</x:v>
      </x:c>
      <x:c r="G100" s="8" t="n">
        <x:v>6901</x:v>
      </x:c>
      <x:c r="H100" s="8" t="n">
        <x:v>6038</x:v>
      </x:c>
    </x:row>
    <x:row r="101">
      <x:c r="A101" s="2" t="str">
        <x:v>311520</x:v>
      </x:c>
      <x:c r="B101" s="2" t="str">
        <x:v>Ice Cream and Frozen Dessert Manufacturing</x:v>
      </x:c>
      <x:c r="C101" s="8" t="n">
        <x:v>2956</x:v>
      </x:c>
      <x:c r="D101" s="8" t="n">
        <x:v>2827</x:v>
      </x:c>
      <x:c r="E101" s="8" t="n">
        <x:v>2657</x:v>
      </x:c>
      <x:c r="F101" s="8" t="n">
        <x:v>3138</x:v>
      </x:c>
      <x:c r="G101" s="8" t="n">
        <x:v>3454</x:v>
      </x:c>
      <x:c r="H101" s="8" t="n">
        <x:v>2926</x:v>
      </x:c>
    </x:row>
    <x:row r="102">
      <x:c r="A102" s="2" t="str">
        <x:v>311611</x:v>
      </x:c>
      <x:c r="B102" s="2" t="str">
        <x:v>Animal (except Poultry) Slaughtering</x:v>
      </x:c>
      <x:c r="C102" s="8" t="n">
        <x:v>4904</x:v>
      </x:c>
      <x:c r="D102" s="8" t="n">
        <x:v>4665</x:v>
      </x:c>
      <x:c r="E102" s="8" t="n">
        <x:v>4966</x:v>
      </x:c>
      <x:c r="F102" s="8" t="n">
        <x:v>4804</x:v>
      </x:c>
      <x:c r="G102" s="8" t="n">
        <x:v>4055</x:v>
      </x:c>
      <x:c r="H102" s="8" t="n">
        <x:v>3095</x:v>
      </x:c>
    </x:row>
    <x:row r="103">
      <x:c r="A103" s="2" t="str">
        <x:v>311612</x:v>
      </x:c>
      <x:c r="B103" s="2" t="str">
        <x:v>Meat Processed from Carcasses</x:v>
      </x:c>
      <x:c r="C103" s="8" t="n">
        <x:v>6390</x:v>
      </x:c>
      <x:c r="D103" s="8" t="n">
        <x:v>6456</x:v>
      </x:c>
      <x:c r="E103" s="8" t="n">
        <x:v>6531</x:v>
      </x:c>
      <x:c r="F103" s="8" t="n">
        <x:v>7652</x:v>
      </x:c>
      <x:c r="G103" s="8" t="n">
        <x:v>7832</x:v>
      </x:c>
      <x:c r="H103" s="8" t="n">
        <x:v>6478</x:v>
      </x:c>
    </x:row>
    <x:row r="104">
      <x:c r="A104" s="2" t="str">
        <x:v>311613</x:v>
      </x:c>
      <x:c r="B104" s="2" t="str">
        <x:v>Rendering and Meat Byproduct Processing</x:v>
      </x:c>
      <x:c r="C104" s="8" t="n">
        <x:v>674</x:v>
      </x:c>
      <x:c r="D104" s="8" t="n">
        <x:v>699</x:v>
      </x:c>
      <x:c r="E104" s="8" t="n">
        <x:v>719</x:v>
      </x:c>
      <x:c r="F104" s="8" t="n">
        <x:v>658</x:v>
      </x:c>
      <x:c r="G104" s="8" t="n">
        <x:v>656</x:v>
      </x:c>
      <x:c r="H104" s="8" t="n">
        <x:v>600</x:v>
      </x:c>
    </x:row>
    <x:row r="105">
      <x:c r="A105" s="2" t="str">
        <x:v>311615</x:v>
      </x:c>
      <x:c r="B105" s="2" t="str">
        <x:v>Poultry Processing</x:v>
      </x:c>
      <x:c r="C105" s="8" t="n">
        <x:v>9701</x:v>
      </x:c>
      <x:c r="D105" s="8" t="n">
        <x:v>10057</x:v>
      </x:c>
      <x:c r="E105" s="8" t="n">
        <x:v>9552</x:v>
      </x:c>
      <x:c r="F105" s="8" t="n">
        <x:v>9403</x:v>
      </x:c>
      <x:c r="G105" s="8" t="n">
        <x:v>10292</x:v>
      </x:c>
      <x:c r="H105" s="8" t="n">
        <x:v>9315</x:v>
      </x:c>
    </x:row>
    <x:row r="106">
      <x:c r="A106" s="2" t="str">
        <x:v>311710</x:v>
      </x:c>
      <x:c r="B106" s="2" t="str">
        <x:v>Seafood Product Preparation and Packaging</x:v>
      </x:c>
      <x:c r="C106" s="8" t="n">
        <x:v>1146</x:v>
      </x:c>
      <x:c r="D106" s="8" t="n">
        <x:v>1127</x:v>
      </x:c>
      <x:c r="E106" s="8" t="n">
        <x:v>1489</x:v>
      </x:c>
      <x:c r="F106" s="8" t="n">
        <x:v>1357</x:v>
      </x:c>
      <x:c r="G106" s="8" t="n">
        <x:v>1459</x:v>
      </x:c>
      <x:c r="H106" s="8" t="n">
        <x:v>1103</x:v>
      </x:c>
    </x:row>
    <x:row r="107">
      <x:c r="A107" s="2" t="str">
        <x:v>311811</x:v>
      </x:c>
      <x:c r="B107" s="2" t="str">
        <x:v>Retail Bakeries</x:v>
      </x:c>
      <x:c r="C107" s="8" t="n">
        <x:v>14309</x:v>
      </x:c>
      <x:c r="D107" s="8" t="n">
        <x:v>14712</x:v>
      </x:c>
      <x:c r="E107" s="8" t="n">
        <x:v>15200</x:v>
      </x:c>
      <x:c r="F107" s="8" t="n">
        <x:v>14934</x:v>
      </x:c>
      <x:c r="G107" s="8" t="n">
        <x:v>15492</x:v>
      </x:c>
      <x:c r="H107" s="8" t="n">
        <x:v>16585</x:v>
      </x:c>
    </x:row>
    <x:row r="108">
      <x:c r="A108" s="2" t="str">
        <x:v>311812</x:v>
      </x:c>
      <x:c r="B108" s="2" t="str">
        <x:v>Commercial Bakeries</x:v>
      </x:c>
      <x:c r="C108" s="8" t="n">
        <x:v>16080</x:v>
      </x:c>
      <x:c r="D108" s="8" t="n">
        <x:v>16342</x:v>
      </x:c>
      <x:c r="E108" s="8" t="n">
        <x:v>15398</x:v>
      </x:c>
      <x:c r="F108" s="8" t="n">
        <x:v>14483</x:v>
      </x:c>
      <x:c r="G108" s="8" t="n">
        <x:v>15593</x:v>
      </x:c>
      <x:c r="H108" s="8" t="n">
        <x:v>15936</x:v>
      </x:c>
    </x:row>
    <x:row r="109">
      <x:c r="A109" s="2" t="str">
        <x:v>311813</x:v>
      </x:c>
      <x:c r="B109" s="2" t="str">
        <x:v>Frozen Cakes, Pies, and Other Pastries Manufacturing</x:v>
      </x:c>
      <x:c r="C109" s="8" t="n">
        <x:v>1737</x:v>
      </x:c>
      <x:c r="D109" s="8" t="n">
        <x:v>1654</x:v>
      </x:c>
      <x:c r="E109" s="8" t="n">
        <x:v>1512</x:v>
      </x:c>
      <x:c r="F109" s="8" t="n">
        <x:v>1381</x:v>
      </x:c>
      <x:c r="G109" s="8" t="n">
        <x:v>1231</x:v>
      </x:c>
      <x:c r="H109" s="8" t="n">
        <x:v>1133</x:v>
      </x:c>
    </x:row>
    <x:row r="110">
      <x:c r="A110" s="2" t="str">
        <x:v>311821</x:v>
      </x:c>
      <x:c r="B110" s="2" t="str">
        <x:v>Cookie and Cracker Manufacturing</x:v>
      </x:c>
      <x:c r="C110" s="8" t="n">
        <x:v>2624</x:v>
      </x:c>
      <x:c r="D110" s="8" t="n">
        <x:v>2428</x:v>
      </x:c>
      <x:c r="E110" s="8" t="n">
        <x:v>2389</x:v>
      </x:c>
      <x:c r="F110" s="8" t="n">
        <x:v>2302</x:v>
      </x:c>
      <x:c r="G110" s="8" t="n">
        <x:v>2569</x:v>
      </x:c>
      <x:c r="H110" s="8" t="n">
        <x:v>2026</x:v>
      </x:c>
    </x:row>
    <x:row r="111">
      <x:c r="A111" s="2" t="str">
        <x:v>311824</x:v>
      </x:c>
      <x:c r="B111" s="2" t="str">
        <x:v>Dry Pasta, Dough, and Flour Mixes Manufacturing from Purchased Flour</x:v>
      </x:c>
      <x:c r="C111" s="8" t="n">
        <x:v>2706</x:v>
      </x:c>
      <x:c r="D111" s="8" t="n">
        <x:v>2731</x:v>
      </x:c>
      <x:c r="E111" s="8" t="n">
        <x:v>2624</x:v>
      </x:c>
      <x:c r="F111" s="8" t="n">
        <x:v>2431</x:v>
      </x:c>
      <x:c r="G111" s="8" t="n">
        <x:v>2485</x:v>
      </x:c>
      <x:c r="H111" s="8" t="n">
        <x:v>2580</x:v>
      </x:c>
    </x:row>
    <x:row r="112">
      <x:c r="A112" s="2" t="str">
        <x:v>311830</x:v>
      </x:c>
      <x:c r="B112" s="2" t="str">
        <x:v>Tortilla Manufacturing</x:v>
      </x:c>
      <x:c r="C112" s="8" t="n">
        <x:v>6291</x:v>
      </x:c>
      <x:c r="D112" s="8" t="n">
        <x:v>6046</x:v>
      </x:c>
      <x:c r="E112" s="8" t="n">
        <x:v>6243</x:v>
      </x:c>
      <x:c r="F112" s="8" t="n">
        <x:v>5776</x:v>
      </x:c>
      <x:c r="G112" s="8" t="n">
        <x:v>5872</x:v>
      </x:c>
      <x:c r="H112" s="8" t="n">
        <x:v>5132</x:v>
      </x:c>
    </x:row>
    <x:row r="113">
      <x:c r="A113" s="2" t="str">
        <x:v>311911</x:v>
      </x:c>
      <x:c r="B113" s="2" t="str">
        <x:v>Roasted Nuts and Peanut Butter Manufacturing</x:v>
      </x:c>
      <x:c r="C113" s="8" t="n">
        <x:v>6018</x:v>
      </x:c>
      <x:c r="D113" s="8" t="n">
        <x:v>5824</x:v>
      </x:c>
      <x:c r="E113" s="8" t="n">
        <x:v>5715</x:v>
      </x:c>
      <x:c r="F113" s="8" t="n">
        <x:v>5975</x:v>
      </x:c>
      <x:c r="G113" s="8" t="n">
        <x:v>6168</x:v>
      </x:c>
      <x:c r="H113" s="8" t="n">
        <x:v>5536</x:v>
      </x:c>
    </x:row>
    <x:row r="114">
      <x:c r="A114" s="2" t="str">
        <x:v>311919</x:v>
      </x:c>
      <x:c r="B114" s="2" t="str">
        <x:v>Other Snack Food Manufacturing</x:v>
      </x:c>
      <x:c r="C114" s="8" t="n">
        <x:v>3349</x:v>
      </x:c>
      <x:c r="D114" s="8" t="n">
        <x:v>3503</x:v>
      </x:c>
      <x:c r="E114" s="8" t="n">
        <x:v>3464</x:v>
      </x:c>
      <x:c r="F114" s="8" t="n">
        <x:v>4010</x:v>
      </x:c>
      <x:c r="G114" s="8" t="n">
        <x:v>4456</x:v>
      </x:c>
      <x:c r="H114" s="8" t="n">
        <x:v>3820</x:v>
      </x:c>
    </x:row>
    <x:row r="115">
      <x:c r="A115" s="2" t="str">
        <x:v>311920</x:v>
      </x:c>
      <x:c r="B115" s="2" t="str">
        <x:v>Coffee and Tea Manufacturing</x:v>
      </x:c>
      <x:c r="C115" s="8" t="n">
        <x:v>2940</x:v>
      </x:c>
      <x:c r="D115" s="8" t="n">
        <x:v>3324</x:v>
      </x:c>
      <x:c r="E115" s="8" t="n">
        <x:v>3830</x:v>
      </x:c>
      <x:c r="F115" s="8" t="n">
        <x:v>3592</x:v>
      </x:c>
      <x:c r="G115" s="8" t="n">
        <x:v>3718</x:v>
      </x:c>
      <x:c r="H115" s="8" t="n">
        <x:v>3994</x:v>
      </x:c>
    </x:row>
    <x:row r="116">
      <x:c r="A116" s="2" t="str">
        <x:v>311930</x:v>
      </x:c>
      <x:c r="B116" s="2" t="str">
        <x:v>Flavoring Syrup and Concentrate Manufacturing</x:v>
      </x:c>
      <x:c r="C116" s="8" t="n">
        <x:v>887</x:v>
      </x:c>
      <x:c r="D116" s="8" t="n">
        <x:v>1034</x:v>
      </x:c>
      <x:c r="E116" s="8" t="n">
        <x:v>1002</x:v>
      </x:c>
      <x:c r="F116" s="8" t="n">
        <x:v>1027</x:v>
      </x:c>
      <x:c r="G116" s="8" t="n">
        <x:v>1072</x:v>
      </x:c>
      <x:c r="H116" s="8" t="n">
        <x:v>1313</x:v>
      </x:c>
    </x:row>
    <x:row r="117">
      <x:c r="A117" s="2" t="str">
        <x:v>311941</x:v>
      </x:c>
      <x:c r="B117" s="2" t="str">
        <x:v>Mayonnaise, Dressing, and Other Prepared Sauce Manufacturing</x:v>
      </x:c>
      <x:c r="C117" s="8" t="n">
        <x:v>2724</x:v>
      </x:c>
      <x:c r="D117" s="8" t="n">
        <x:v>2838</x:v>
      </x:c>
      <x:c r="E117" s="8" t="n">
        <x:v>3061</x:v>
      </x:c>
      <x:c r="F117" s="8" t="n">
        <x:v>2691</x:v>
      </x:c>
      <x:c r="G117" s="8" t="n">
        <x:v>2763</x:v>
      </x:c>
      <x:c r="H117" s="8" t="n">
        <x:v>3301</x:v>
      </x:c>
    </x:row>
    <x:row r="118">
      <x:c r="A118" s="2" t="str">
        <x:v>311942</x:v>
      </x:c>
      <x:c r="B118" s="2" t="str">
        <x:v>Spice and Extract Manufacturing</x:v>
      </x:c>
      <x:c r="C118" s="8" t="n">
        <x:v>2414</x:v>
      </x:c>
      <x:c r="D118" s="8" t="n">
        <x:v>2340</x:v>
      </x:c>
      <x:c r="E118" s="8" t="n">
        <x:v>2541</x:v>
      </x:c>
      <x:c r="F118" s="8" t="n">
        <x:v>2999</x:v>
      </x:c>
      <x:c r="G118" s="8" t="n">
        <x:v>2993</x:v>
      </x:c>
      <x:c r="H118" s="8" t="n">
        <x:v>3196</x:v>
      </x:c>
    </x:row>
    <x:row r="119">
      <x:c r="A119" s="2" t="str">
        <x:v>311991</x:v>
      </x:c>
      <x:c r="B119" s="2" t="str">
        <x:v>Perishable Prepared Food Manufacturing</x:v>
      </x:c>
      <x:c r="C119" s="8" t="n">
        <x:v>11775</x:v>
      </x:c>
      <x:c r="D119" s="8" t="n">
        <x:v>10975</x:v>
      </x:c>
      <x:c r="E119" s="8" t="n">
        <x:v>11431</x:v>
      </x:c>
      <x:c r="F119" s="8" t="n">
        <x:v>13336</x:v>
      </x:c>
      <x:c r="G119" s="8" t="n">
        <x:v>12521</x:v>
      </x:c>
      <x:c r="H119" s="8" t="n">
        <x:v>13218</x:v>
      </x:c>
    </x:row>
    <x:row r="120">
      <x:c r="A120" s="2" t="str">
        <x:v>311999</x:v>
      </x:c>
      <x:c r="B120" s="2" t="str">
        <x:v>All Other Miscellaneous Food Manufacturing</x:v>
      </x:c>
      <x:c r="C120" s="8" t="n">
        <x:v>3524</x:v>
      </x:c>
      <x:c r="D120" s="8" t="n">
        <x:v>3057</x:v>
      </x:c>
      <x:c r="E120" s="8" t="n">
        <x:v>3750</x:v>
      </x:c>
      <x:c r="F120" s="8" t="n">
        <x:v>3884</x:v>
      </x:c>
      <x:c r="G120" s="8" t="n">
        <x:v>4200</x:v>
      </x:c>
      <x:c r="H120" s="8" t="n">
        <x:v>4585</x:v>
      </x:c>
    </x:row>
    <x:row r="121">
      <x:c r="A121" s="2" t="str">
        <x:v>312111</x:v>
      </x:c>
      <x:c r="B121" s="2" t="str">
        <x:v>Soft Drink Manufacturing</x:v>
      </x:c>
      <x:c r="C121" s="8" t="n">
        <x:v>11355</x:v>
      </x:c>
      <x:c r="D121" s="8" t="n">
        <x:v>10605</x:v>
      </x:c>
      <x:c r="E121" s="8" t="n">
        <x:v>9959</x:v>
      </x:c>
      <x:c r="F121" s="8" t="n">
        <x:v>9183</x:v>
      </x:c>
      <x:c r="G121" s="8" t="n">
        <x:v>9087</x:v>
      </x:c>
      <x:c r="H121" s="8" t="n">
        <x:v>8339</x:v>
      </x:c>
    </x:row>
    <x:row r="122">
      <x:c r="A122" s="2" t="str">
        <x:v>312112</x:v>
      </x:c>
      <x:c r="B122" s="2" t="str">
        <x:v>Bottled Water Manufacturing</x:v>
      </x:c>
      <x:c r="C122" s="8" t="n">
        <x:v>1587</x:v>
      </x:c>
      <x:c r="D122" s="8" t="n">
        <x:v>1668</x:v>
      </x:c>
      <x:c r="E122" s="8" t="n">
        <x:v>1614</x:v>
      </x:c>
      <x:c r="F122" s="8" t="n">
        <x:v>2247</x:v>
      </x:c>
      <x:c r="G122" s="8" t="n">
        <x:v>3072</x:v>
      </x:c>
      <x:c r="H122" s="8" t="n">
        <x:v>3013</x:v>
      </x:c>
    </x:row>
    <x:row r="123">
      <x:c r="A123" s="2" t="str">
        <x:v>312113</x:v>
      </x:c>
      <x:c r="B123" s="2" t="str">
        <x:v>Ice Manufacturing</x:v>
      </x:c>
      <x:c r="C123" s="8" t="n">
        <x:v>562</x:v>
      </x:c>
      <x:c r="D123" s="8" t="n">
        <x:v>576</x:v>
      </x:c>
      <x:c r="E123" s="8" t="n">
        <x:v>590</x:v>
      </x:c>
      <x:c r="F123" s="8" t="n">
        <x:v>589</x:v>
      </x:c>
      <x:c r="G123" s="8" t="n">
        <x:v>617</x:v>
      </x:c>
      <x:c r="H123" s="8" t="n">
        <x:v>563</x:v>
      </x:c>
    </x:row>
    <x:row r="124">
      <x:c r="A124" s="2" t="str">
        <x:v>312120</x:v>
      </x:c>
      <x:c r="B124" s="2" t="str">
        <x:v>Breweries</x:v>
      </x:c>
      <x:c r="C124" s="8" t="n">
        <x:v>8903</x:v>
      </x:c>
      <x:c r="D124" s="8" t="n">
        <x:v>10599</x:v>
      </x:c>
      <x:c r="E124" s="8" t="n">
        <x:v>11905</x:v>
      </x:c>
      <x:c r="F124" s="8" t="n">
        <x:v>13059</x:v>
      </x:c>
      <x:c r="G124" s="8" t="n">
        <x:v>13083</x:v>
      </x:c>
      <x:c r="H124" s="8" t="n">
        <x:v>11873</x:v>
      </x:c>
    </x:row>
    <x:row r="125">
      <x:c r="A125" s="2" t="str">
        <x:v>312130</x:v>
      </x:c>
      <x:c r="B125" s="2" t="str">
        <x:v>Wineries</x:v>
      </x:c>
      <x:c r="C125" s="8" t="n">
        <x:v>35197</x:v>
      </x:c>
      <x:c r="D125" s="8" t="n">
        <x:v>36563</x:v>
      </x:c>
      <x:c r="E125" s="8" t="n">
        <x:v>37625</x:v>
      </x:c>
      <x:c r="F125" s="8" t="n">
        <x:v>38076</x:v>
      </x:c>
      <x:c r="G125" s="8" t="n">
        <x:v>39098</x:v>
      </x:c>
      <x:c r="H125" s="8" t="n">
        <x:v>34140</x:v>
      </x:c>
    </x:row>
    <x:row r="126">
      <x:c r="A126" s="2" t="str">
        <x:v>312140</x:v>
      </x:c>
      <x:c r="B126" s="2" t="str">
        <x:v>Distilleries</x:v>
      </x:c>
      <x:c r="C126" s="8" t="n">
        <x:v>424</x:v>
      </x:c>
      <x:c r="D126" s="8" t="n">
        <x:v>559</x:v>
      </x:c>
      <x:c r="E126" s="8" t="n">
        <x:v>665</x:v>
      </x:c>
      <x:c r="F126" s="8" t="n">
        <x:v>1100</x:v>
      </x:c>
      <x:c r="G126" s="8" t="n">
        <x:v>1115</x:v>
      </x:c>
      <x:c r="H126" s="8" t="n">
        <x:v>1354</x:v>
      </x:c>
    </x:row>
    <x:row r="127">
      <x:c r="A127" s="2" t="str">
        <x:v>312230</x:v>
      </x:c>
      <x:c r="B127" s="2" t="str">
        <x:v>Tobacco Manufacturing</x:v>
      </x:c>
      <x:c r="C127" s="8" t="n">
        <x:v>108</x:v>
      </x:c>
      <x:c r="D127" s="8" t="n">
        <x:v>137</x:v>
      </x:c>
      <x:c r="E127" s="8" t="n">
        <x:v>104</x:v>
      </x:c>
      <x:c r="F127" s="8" t="n">
        <x:v>176</x:v>
      </x:c>
      <x:c r="G127" s="8" t="n">
        <x:v>311</x:v>
      </x:c>
      <x:c r="H127" s="8" t="n">
        <x:v>150</x:v>
      </x:c>
    </x:row>
    <x:row r="128">
      <x:c r="A128" s="2" t="str">
        <x:v>313110</x:v>
      </x:c>
      <x:c r="B128" s="2" t="str">
        <x:v>Fiber, Yarn, and Thread Mills</x:v>
      </x:c>
      <x:c r="C128" s="8" t="n">
        <x:v>410</x:v>
      </x:c>
      <x:c r="D128" s="8" t="n">
        <x:v>266</x:v>
      </x:c>
      <x:c r="E128" s="8" t="n">
        <x:v>208</x:v>
      </x:c>
      <x:c r="F128" s="8" t="n">
        <x:v>234</x:v>
      </x:c>
      <x:c r="G128" s="8" t="n">
        <x:v>227</x:v>
      </x:c>
      <x:c r="H128" s="8" t="n">
        <x:v>180</x:v>
      </x:c>
    </x:row>
    <x:row r="129">
      <x:c r="A129" s="2" t="str">
        <x:v>313210</x:v>
      </x:c>
      <x:c r="B129" s="2" t="str">
        <x:v>Broadwoven Fabric Mills</x:v>
      </x:c>
      <x:c r="C129" s="8" t="n">
        <x:v>412</x:v>
      </x:c>
      <x:c r="D129" s="8" t="n">
        <x:v>448</x:v>
      </x:c>
      <x:c r="E129" s="8" t="n">
        <x:v>421</x:v>
      </x:c>
      <x:c r="F129" s="8" t="n">
        <x:v>240</x:v>
      </x:c>
      <x:c r="G129" s="8" t="n">
        <x:v>210</x:v>
      </x:c>
      <x:c r="H129" s="8" t="n">
        <x:v>184</x:v>
      </x:c>
    </x:row>
    <x:row r="130">
      <x:c r="A130" s="2" t="str">
        <x:v>313220</x:v>
      </x:c>
      <x:c r="B130" s="2" t="str">
        <x:v>Narrow Fabric Mills and Schiffli Machine Embroidery</x:v>
      </x:c>
      <x:c r="C130" s="8" t="n">
        <x:v>305</x:v>
      </x:c>
      <x:c r="D130" s="8" t="n">
        <x:v>261</x:v>
      </x:c>
      <x:c r="E130" s="8" t="n">
        <x:v>232</x:v>
      </x:c>
      <x:c r="F130" s="8" t="n">
        <x:v>229</x:v>
      </x:c>
      <x:c r="G130" s="8" t="n">
        <x:v>229</x:v>
      </x:c>
      <x:c r="H130" s="8" t="n">
        <x:v>189</x:v>
      </x:c>
    </x:row>
    <x:row r="131">
      <x:c r="A131" s="2" t="str">
        <x:v>313230</x:v>
      </x:c>
      <x:c r="B131" s="2" t="str">
        <x:v>Nonwoven Fabric Mills</x:v>
      </x:c>
      <x:c r="C131" s="8" t="n">
        <x:v>154</x:v>
      </x:c>
      <x:c r="D131" s="8" t="n">
        <x:v>155</x:v>
      </x:c>
      <x:c r="E131" s="8" t="n">
        <x:v>135</x:v>
      </x:c>
      <x:c r="F131" s="8" t="n">
        <x:v>94</x:v>
      </x:c>
      <x:c r="G131" s="8" t="n">
        <x:v>103</x:v>
      </x:c>
      <x:c r="H131" s="8" t="n">
        <x:v>59</x:v>
      </x:c>
    </x:row>
    <x:row r="132">
      <x:c r="A132" s="2" t="str">
        <x:v>313240</x:v>
      </x:c>
      <x:c r="B132" s="2" t="str">
        <x:v>Knit Fabric Mills</x:v>
      </x:c>
      <x:c r="C132" s="8" t="n">
        <x:v>736</x:v>
      </x:c>
      <x:c r="D132" s="8" t="n">
        <x:v>638</x:v>
      </x:c>
      <x:c r="E132" s="8" t="n">
        <x:v>595</x:v>
      </x:c>
      <x:c r="F132" s="8" t="n">
        <x:v>413</x:v>
      </x:c>
      <x:c r="G132" s="8" t="n">
        <x:v>348</x:v>
      </x:c>
      <x:c r="H132" s="8" t="n">
        <x:v>237</x:v>
      </x:c>
    </x:row>
    <x:row r="133">
      <x:c r="A133" s="2" t="str">
        <x:v>313310</x:v>
      </x:c>
      <x:c r="B133" s="2" t="str">
        <x:v>Textile and Fabric Finishing Mills</x:v>
      </x:c>
      <x:c r="C133" s="8" t="n">
        <x:v>4200</x:v>
      </x:c>
      <x:c r="D133" s="8" t="n">
        <x:v>4039</x:v>
      </x:c>
      <x:c r="E133" s="8" t="n">
        <x:v>3653</x:v>
      </x:c>
      <x:c r="F133" s="8" t="n">
        <x:v>3430</x:v>
      </x:c>
      <x:c r="G133" s="8" t="n">
        <x:v>3207</x:v>
      </x:c>
      <x:c r="H133" s="8" t="n">
        <x:v>2416</x:v>
      </x:c>
    </x:row>
    <x:row r="134">
      <x:c r="A134" s="2" t="str">
        <x:v>313320</x:v>
      </x:c>
      <x:c r="B134" s="2" t="str">
        <x:v>Fabric Coating Mills</x:v>
      </x:c>
      <x:c r="C134" s="8" t="n">
        <x:v>497</x:v>
      </x:c>
      <x:c r="D134" s="8" t="n">
        <x:v>548</x:v>
      </x:c>
      <x:c r="E134" s="8" t="n">
        <x:v>622</x:v>
      </x:c>
      <x:c r="F134" s="8" t="n">
        <x:v>514</x:v>
      </x:c>
      <x:c r="G134" s="8" t="n">
        <x:v>544</x:v>
      </x:c>
      <x:c r="H134" s="8" t="n">
        <x:v>482</x:v>
      </x:c>
    </x:row>
    <x:row r="135">
      <x:c r="A135" s="2" t="str">
        <x:v>314110</x:v>
      </x:c>
      <x:c r="B135" s="2" t="str">
        <x:v>Carpet and Rug Mills</x:v>
      </x:c>
      <x:c r="C135" s="8" t="n">
        <x:v>1088</x:v>
      </x:c>
      <x:c r="D135" s="8" t="n">
        <x:v>969</x:v>
      </x:c>
      <x:c r="E135" s="8" t="n">
        <x:v>1127</x:v>
      </x:c>
      <x:c r="F135" s="8" t="n">
        <x:v>1461</x:v>
      </x:c>
      <x:c r="G135" s="8" t="n">
        <x:v>1318</x:v>
      </x:c>
      <x:c r="H135" s="8" t="n">
        <x:v>861</x:v>
      </x:c>
    </x:row>
    <x:row r="136">
      <x:c r="A136" s="2" t="str">
        <x:v>314120</x:v>
      </x:c>
      <x:c r="B136" s="2" t="str">
        <x:v>Curtain and Linen Mills</x:v>
      </x:c>
      <x:c r="C136" s="8" t="n">
        <x:v>2389</x:v>
      </x:c>
      <x:c r="D136" s="8" t="n">
        <x:v>2299</x:v>
      </x:c>
      <x:c r="E136" s="8" t="n">
        <x:v>2280</x:v>
      </x:c>
      <x:c r="F136" s="8" t="n">
        <x:v>2078</x:v>
      </x:c>
      <x:c r="G136" s="8" t="n">
        <x:v>1636</x:v>
      </x:c>
      <x:c r="H136" s="8" t="n">
        <x:v>1112</x:v>
      </x:c>
    </x:row>
    <x:row r="137">
      <x:c r="A137" s="2" t="str">
        <x:v>314910</x:v>
      </x:c>
      <x:c r="B137" s="2" t="str">
        <x:v>Textile Bag and Canvas Mills</x:v>
      </x:c>
      <x:c r="C137" s="8" t="n">
        <x:v>2179</x:v>
      </x:c>
      <x:c r="D137" s="8" t="n">
        <x:v>2107</x:v>
      </x:c>
      <x:c r="E137" s="8" t="n">
        <x:v>2172</x:v>
      </x:c>
      <x:c r="F137" s="8" t="n">
        <x:v>1989</x:v>
      </x:c>
      <x:c r="G137" s="8" t="n">
        <x:v>1983</x:v>
      </x:c>
      <x:c r="H137" s="8" t="n">
        <x:v>1619</x:v>
      </x:c>
    </x:row>
    <x:row r="138">
      <x:c r="A138" s="2" t="str">
        <x:v>314994</x:v>
      </x:c>
      <x:c r="B138" s="2" t="str">
        <x:v>Rope, Cordage, Twine, Tire Cord, and Tire Fabric Mills</x:v>
      </x:c>
      <x:c r="C138" s="8" t="n">
        <x:v>73</x:v>
      </x:c>
      <x:c r="D138" s="8" t="n">
        <x:v>73</x:v>
      </x:c>
      <x:c r="E138" s="8" t="n">
        <x:v>80</x:v>
      </x:c>
      <x:c r="F138" s="8" t="n">
        <x:v>78</x:v>
      </x:c>
      <x:c r="G138" s="8" t="n">
        <x:v>78</x:v>
      </x:c>
      <x:c r="H138" s="8" t="n">
        <x:v>86</x:v>
      </x:c>
    </x:row>
    <x:row r="139">
      <x:c r="A139" s="2" t="str">
        <x:v>314999</x:v>
      </x:c>
      <x:c r="B139" s="2" t="str">
        <x:v>All Other Miscellaneous Textile Product Mills</x:v>
      </x:c>
      <x:c r="C139" s="8" t="n">
        <x:v>2940</x:v>
      </x:c>
      <x:c r="D139" s="8" t="n">
        <x:v>3100</x:v>
      </x:c>
      <x:c r="E139" s="8" t="n">
        <x:v>3105</x:v>
      </x:c>
      <x:c r="F139" s="8" t="n">
        <x:v>3027</x:v>
      </x:c>
      <x:c r="G139" s="8" t="n">
        <x:v>3047</x:v>
      </x:c>
      <x:c r="H139" s="8" t="n">
        <x:v>2404</x:v>
      </x:c>
    </x:row>
    <x:row r="140">
      <x:c r="A140" s="2" t="str">
        <x:v>315120</x:v>
      </x:c>
      <x:c r="B140" s="2" t="str">
        <x:v>Apparel Knitting Mills</x:v>
      </x:c>
      <x:c r="C140" s="8" t="n">
        <x:v>1251</x:v>
      </x:c>
      <x:c r="D140" s="8" t="n">
        <x:v>1002</x:v>
      </x:c>
      <x:c r="E140" s="8" t="n">
        <x:v>954</x:v>
      </x:c>
      <x:c r="F140" s="8" t="n">
        <x:v>741</x:v>
      </x:c>
      <x:c r="G140" s="8" t="n">
        <x:v>594</x:v>
      </x:c>
      <x:c r="H140" s="8" t="n">
        <x:v>789</x:v>
      </x:c>
    </x:row>
    <x:row r="141">
      <x:c r="A141" s="2" t="str">
        <x:v>315210</x:v>
      </x:c>
      <x:c r="B141" s="2" t="str">
        <x:v>Cut and Sew Apparel Contractors</x:v>
      </x:c>
      <x:c r="C141" s="8" t="n">
        <x:v>19617</x:v>
      </x:c>
      <x:c r="D141" s="8" t="n">
        <x:v>17659</x:v>
      </x:c>
      <x:c r="E141" s="8" t="n">
        <x:v>15204</x:v>
      </x:c>
      <x:c r="F141" s="8" t="n">
        <x:v>11226</x:v>
      </x:c>
      <x:c r="G141" s="8" t="n">
        <x:v>9736</x:v>
      </x:c>
      <x:c r="H141" s="8" t="n">
        <x:v>6440</x:v>
      </x:c>
    </x:row>
    <x:row r="142">
      <x:c r="A142" s="2" t="str">
        <x:v>315250</x:v>
      </x:c>
      <x:c r="B142" s="2" t="str">
        <x:v>Cut and Sew Apparel Manufacturing (except Contractors)</x:v>
      </x:c>
      <x:c r="C142" s="8" t="n">
        <x:v>18580</x:v>
      </x:c>
      <x:c r="D142" s="8" t="n">
        <x:v>17258</x:v>
      </x:c>
      <x:c r="E142" s="8" t="n">
        <x:v>16803</x:v>
      </x:c>
      <x:c r="F142" s="8" t="n">
        <x:v>15911</x:v>
      </x:c>
      <x:c r="G142" s="8" t="n">
        <x:v>15204</x:v>
      </x:c>
      <x:c r="H142" s="8" t="n">
        <x:v>13398</x:v>
      </x:c>
    </x:row>
    <x:row r="143">
      <x:c r="A143" s="2" t="str">
        <x:v>315990</x:v>
      </x:c>
      <x:c r="B143" s="2" t="str">
        <x:v>Apparel Accessories and Other Apparel Manufacturing</x:v>
      </x:c>
      <x:c r="C143" s="8" t="n">
        <x:v>2674</x:v>
      </x:c>
      <x:c r="D143" s="8" t="n">
        <x:v>2508</x:v>
      </x:c>
      <x:c r="E143" s="8" t="n">
        <x:v>2371</x:v>
      </x:c>
      <x:c r="F143" s="8" t="n">
        <x:v>2152</x:v>
      </x:c>
      <x:c r="G143" s="8" t="n">
        <x:v>2001</x:v>
      </x:c>
      <x:c r="H143" s="8" t="n">
        <x:v>1731</x:v>
      </x:c>
    </x:row>
    <x:row r="144">
      <x:c r="A144" s="2" t="str">
        <x:v>316110</x:v>
      </x:c>
      <x:c r="B144" s="2" t="str">
        <x:v>Leather and Hide Tanning and Finishing</x:v>
      </x:c>
      <x:c r="C144" s="8" t="n">
        <x:v>86</x:v>
      </x:c>
      <x:c r="D144" s="8" t="n">
        <x:v>108</x:v>
      </x:c>
      <x:c r="E144" s="8" t="n">
        <x:v>150</x:v>
      </x:c>
      <x:c r="F144" s="8" t="n">
        <x:v>115</x:v>
      </x:c>
      <x:c r="G144" s="8" t="n">
        <x:v>90</x:v>
      </x:c>
      <x:c r="H144" s="8" t="n">
        <x:v>51</x:v>
      </x:c>
    </x:row>
    <x:row r="145">
      <x:c r="A145" s="2" t="str">
        <x:v>316210</x:v>
      </x:c>
      <x:c r="B145" s="2" t="str">
        <x:v>Footwear Manufacturing</x:v>
      </x:c>
      <x:c r="C145" s="8" t="n">
        <x:v>501</x:v>
      </x:c>
      <x:c r="D145" s="8" t="n">
        <x:v>516</x:v>
      </x:c>
      <x:c r="E145" s="8" t="n">
        <x:v>499</x:v>
      </x:c>
      <x:c r="F145" s="8" t="n">
        <x:v>768</x:v>
      </x:c>
      <x:c r="G145" s="8" t="n">
        <x:v>829</x:v>
      </x:c>
      <x:c r="H145" s="8" t="n">
        <x:v>245</x:v>
      </x:c>
    </x:row>
    <x:row r="146">
      <x:c r="A146" s="2" t="str">
        <x:v>316990</x:v>
      </x:c>
      <x:c r="B146" s="2" t="str">
        <x:v>Other Leather and Allied Product Manufacturing</x:v>
      </x:c>
      <x:c r="C146" s="8" t="n">
        <x:v>2042</x:v>
      </x:c>
      <x:c r="D146" s="8" t="n">
        <x:v>2150</x:v>
      </x:c>
      <x:c r="E146" s="8" t="n">
        <x:v>2180</x:v>
      </x:c>
      <x:c r="F146" s="8" t="n">
        <x:v>2025</x:v>
      </x:c>
      <x:c r="G146" s="8" t="n">
        <x:v>1857</x:v>
      </x:c>
      <x:c r="H146" s="8" t="n">
        <x:v>1561</x:v>
      </x:c>
    </x:row>
    <x:row r="147">
      <x:c r="A147" s="2" t="str">
        <x:v>321113</x:v>
      </x:c>
      <x:c r="B147" s="2" t="str">
        <x:v>Sawmills</x:v>
      </x:c>
      <x:c r="C147" s="8" t="n">
        <x:v>3484</x:v>
      </x:c>
      <x:c r="D147" s="8" t="n">
        <x:v>3526</x:v>
      </x:c>
      <x:c r="E147" s="8" t="n">
        <x:v>3499</x:v>
      </x:c>
      <x:c r="F147" s="8" t="n">
        <x:v>3519</x:v>
      </x:c>
      <x:c r="G147" s="8" t="n">
        <x:v>3596</x:v>
      </x:c>
      <x:c r="H147" s="8" t="n">
        <x:v>3582</x:v>
      </x:c>
    </x:row>
    <x:row r="148">
      <x:c r="A148" s="2" t="str">
        <x:v>321114</x:v>
      </x:c>
      <x:c r="B148" s="2" t="str">
        <x:v>Wood Preservation</x:v>
      </x:c>
      <x:c r="C148" s="8" t="n">
        <x:v>463</x:v>
      </x:c>
      <x:c r="D148" s="8" t="n">
        <x:v>451</x:v>
      </x:c>
      <x:c r="E148" s="8" t="n">
        <x:v>445</x:v>
      </x:c>
      <x:c r="F148" s="8" t="n">
        <x:v>652</x:v>
      </x:c>
      <x:c r="G148" s="8" t="n">
        <x:v>632</x:v>
      </x:c>
      <x:c r="H148" s="8" t="n">
        <x:v>305</x:v>
      </x:c>
    </x:row>
    <x:row r="149">
      <x:c r="A149" s="2" t="str">
        <x:v>321215</x:v>
      </x:c>
      <x:c r="B149" s="2" t="str">
        <x:v>Engineered Wood Member Manufacturing</x:v>
      </x:c>
      <x:c r="C149" s="8" t="n">
        <x:v>2126</x:v>
      </x:c>
      <x:c r="D149" s="8" t="n">
        <x:v>2533</x:v>
      </x:c>
      <x:c r="E149" s="8" t="n">
        <x:v>2477</x:v>
      </x:c>
      <x:c r="F149" s="8" t="n">
        <x:v>2989</x:v>
      </x:c>
      <x:c r="G149" s="8" t="n">
        <x:v>2394</x:v>
      </x:c>
      <x:c r="H149" s="8" t="n">
        <x:v>2302</x:v>
      </x:c>
    </x:row>
    <x:row r="150">
      <x:c r="A150" s="2" t="str">
        <x:v>321911</x:v>
      </x:c>
      <x:c r="B150" s="2" t="str">
        <x:v>Wood Window and Door Manufacturing</x:v>
      </x:c>
      <x:c r="C150" s="8" t="n">
        <x:v>3320</x:v>
      </x:c>
      <x:c r="D150" s="8" t="n">
        <x:v>3433</x:v>
      </x:c>
      <x:c r="E150" s="8" t="n">
        <x:v>3795</x:v>
      </x:c>
      <x:c r="F150" s="8" t="n">
        <x:v>4234</x:v>
      </x:c>
      <x:c r="G150" s="8" t="n">
        <x:v>3967</x:v>
      </x:c>
      <x:c r="H150" s="8" t="n">
        <x:v>3411</x:v>
      </x:c>
    </x:row>
    <x:row r="151">
      <x:c r="A151" s="2" t="str">
        <x:v>321912</x:v>
      </x:c>
      <x:c r="B151" s="2" t="str">
        <x:v>Cut Stock, Resawing Lumber, and Planing</x:v>
      </x:c>
      <x:c r="C151" s="8" t="n">
        <x:v>523</x:v>
      </x:c>
      <x:c r="D151" s="8" t="n">
        <x:v>769</x:v>
      </x:c>
      <x:c r="E151" s="8" t="n">
        <x:v>697</x:v>
      </x:c>
      <x:c r="F151" s="8" t="n">
        <x:v>552</x:v>
      </x:c>
      <x:c r="G151" s="8" t="n">
        <x:v>545</x:v>
      </x:c>
      <x:c r="H151" s="8" t="n">
        <x:v>517</x:v>
      </x:c>
    </x:row>
    <x:row r="152">
      <x:c r="A152" s="2" t="str">
        <x:v>321918</x:v>
      </x:c>
      <x:c r="B152" s="2" t="str">
        <x:v>Other Millwork (including Flooring)</x:v>
      </x:c>
      <x:c r="C152" s="8" t="n">
        <x:v>3463</x:v>
      </x:c>
      <x:c r="D152" s="8" t="n">
        <x:v>3360</x:v>
      </x:c>
      <x:c r="E152" s="8" t="n">
        <x:v>3425</x:v>
      </x:c>
      <x:c r="F152" s="8" t="n">
        <x:v>3058</x:v>
      </x:c>
      <x:c r="G152" s="8" t="n">
        <x:v>2857</x:v>
      </x:c>
      <x:c r="H152" s="8" t="n">
        <x:v>2429</x:v>
      </x:c>
    </x:row>
    <x:row r="153">
      <x:c r="A153" s="2" t="str">
        <x:v>321920</x:v>
      </x:c>
      <x:c r="B153" s="2" t="str">
        <x:v>Wood Container and Pallet Manufacturing</x:v>
      </x:c>
      <x:c r="C153" s="8" t="n">
        <x:v>5442</x:v>
      </x:c>
      <x:c r="D153" s="8" t="n">
        <x:v>5579</x:v>
      </x:c>
      <x:c r="E153" s="8" t="n">
        <x:v>5958</x:v>
      </x:c>
      <x:c r="F153" s="8" t="n">
        <x:v>6717</x:v>
      </x:c>
      <x:c r="G153" s="8" t="n">
        <x:v>6935</x:v>
      </x:c>
      <x:c r="H153" s="8" t="n">
        <x:v>6277</x:v>
      </x:c>
    </x:row>
    <x:row r="154">
      <x:c r="A154" s="2" t="str">
        <x:v>321991</x:v>
      </x:c>
      <x:c r="B154" s="2" t="str">
        <x:v>Manufactured Home (Mobile Home) Manufacturing</x:v>
      </x:c>
      <x:c r="C154" s="8" t="n">
        <x:v>1391</x:v>
      </x:c>
      <x:c r="D154" s="8" t="n">
        <x:v>1686</x:v>
      </x:c>
      <x:c r="E154" s="8" t="n">
        <x:v>1888</x:v>
      </x:c>
      <x:c r="F154" s="8" t="n">
        <x:v>2334</x:v>
      </x:c>
      <x:c r="G154" s="8" t="n">
        <x:v>2346</x:v>
      </x:c>
      <x:c r="H154" s="8" t="n">
        <x:v>1842</x:v>
      </x:c>
    </x:row>
    <x:row r="155">
      <x:c r="A155" s="2" t="str">
        <x:v>321992</x:v>
      </x:c>
      <x:c r="B155" s="2" t="str">
        <x:v>Prefabricated Wood Building Manufacturing</x:v>
      </x:c>
      <x:c r="C155" s="8" t="n">
        <x:v>658</x:v>
      </x:c>
      <x:c r="D155" s="8" t="n">
        <x:v>687</x:v>
      </x:c>
      <x:c r="E155" s="8" t="n">
        <x:v>760</x:v>
      </x:c>
      <x:c r="F155" s="8" t="n">
        <x:v>1074</x:v>
      </x:c>
      <x:c r="G155" s="8" t="n">
        <x:v>956</x:v>
      </x:c>
      <x:c r="H155" s="8" t="n">
        <x:v>873</x:v>
      </x:c>
    </x:row>
    <x:row r="156">
      <x:c r="A156" s="2" t="str">
        <x:v>321999</x:v>
      </x:c>
      <x:c r="B156" s="2" t="str">
        <x:v>All Other Miscellaneous Wood Product Manufacturing</x:v>
      </x:c>
      <x:c r="C156" s="8" t="n">
        <x:v>1421</x:v>
      </x:c>
      <x:c r="D156" s="8" t="n">
        <x:v>1827</x:v>
      </x:c>
      <x:c r="E156" s="8" t="n">
        <x:v>1943</x:v>
      </x:c>
      <x:c r="F156" s="8" t="n">
        <x:v>1789</x:v>
      </x:c>
      <x:c r="G156" s="8" t="n">
        <x:v>1882</x:v>
      </x:c>
      <x:c r="H156" s="8" t="n">
        <x:v>1836</x:v>
      </x:c>
    </x:row>
    <x:row r="157">
      <x:c r="A157" s="2" t="str">
        <x:v>322211</x:v>
      </x:c>
      <x:c r="B157" s="2" t="str">
        <x:v>Corrugated and Solid Fiber Box Manufacturing</x:v>
      </x:c>
      <x:c r="C157" s="8" t="n">
        <x:v>10652</x:v>
      </x:c>
      <x:c r="D157" s="8" t="n">
        <x:v>11225</x:v>
      </x:c>
      <x:c r="E157" s="8" t="n">
        <x:v>11368</x:v>
      </x:c>
      <x:c r="F157" s="8" t="n">
        <x:v>10683</x:v>
      </x:c>
      <x:c r="G157" s="8" t="n">
        <x:v>10669</x:v>
      </x:c>
      <x:c r="H157" s="8" t="n">
        <x:v>9775</x:v>
      </x:c>
    </x:row>
    <x:row r="158">
      <x:c r="A158" s="2" t="str">
        <x:v>322212</x:v>
      </x:c>
      <x:c r="B158" s="2" t="str">
        <x:v>Folding Paperboard Box Manufacturing</x:v>
      </x:c>
      <x:c r="C158" s="8" t="n">
        <x:v>2820</x:v>
      </x:c>
      <x:c r="D158" s="8" t="n">
        <x:v>2726</x:v>
      </x:c>
      <x:c r="E158" s="8" t="n">
        <x:v>2638</x:v>
      </x:c>
      <x:c r="F158" s="8" t="n">
        <x:v>2912</x:v>
      </x:c>
      <x:c r="G158" s="8" t="n">
        <x:v>2726</x:v>
      </x:c>
      <x:c r="H158" s="8" t="n">
        <x:v>3006</x:v>
      </x:c>
    </x:row>
    <x:row r="159">
      <x:c r="A159" s="2" t="str">
        <x:v>322219</x:v>
      </x:c>
      <x:c r="B159" s="2" t="str">
        <x:v>Other Paperboard Container Manufacturing</x:v>
      </x:c>
      <x:c r="C159" s="8" t="n">
        <x:v>1894</x:v>
      </x:c>
      <x:c r="D159" s="8" t="n">
        <x:v>1501</x:v>
      </x:c>
      <x:c r="E159" s="8" t="n">
        <x:v>1551</x:v>
      </x:c>
      <x:c r="F159" s="8" t="n">
        <x:v>1496</x:v>
      </x:c>
      <x:c r="G159" s="8" t="n">
        <x:v>1435</x:v>
      </x:c>
      <x:c r="H159" s="8" t="n">
        <x:v>1217</x:v>
      </x:c>
    </x:row>
    <x:row r="160">
      <x:c r="A160" s="2" t="str">
        <x:v>322220</x:v>
      </x:c>
      <x:c r="B160" s="2" t="str">
        <x:v>Paper Bag and Coated and Treated Paper Manufacturing</x:v>
      </x:c>
      <x:c r="C160" s="8" t="n">
        <x:v>1778</x:v>
      </x:c>
      <x:c r="D160" s="8" t="n">
        <x:v>1745</x:v>
      </x:c>
      <x:c r="E160" s="8" t="n">
        <x:v>1763</x:v>
      </x:c>
      <x:c r="F160" s="8" t="n">
        <x:v>1884</x:v>
      </x:c>
      <x:c r="G160" s="8" t="n">
        <x:v>1799</x:v>
      </x:c>
      <x:c r="H160" s="8" t="n">
        <x:v>1489</x:v>
      </x:c>
    </x:row>
    <x:row r="161">
      <x:c r="A161" s="2" t="str">
        <x:v>322230</x:v>
      </x:c>
      <x:c r="B161" s="2" t="str">
        <x:v>Stationery Product Manufacturing</x:v>
      </x:c>
      <x:c r="C161" s="8" t="n">
        <x:v>1171</x:v>
      </x:c>
      <x:c r="D161" s="8" t="n">
        <x:v>1091</x:v>
      </x:c>
      <x:c r="E161" s="8" t="n">
        <x:v>1062</x:v>
      </x:c>
      <x:c r="F161" s="8" t="n">
        <x:v>774</x:v>
      </x:c>
      <x:c r="G161" s="8" t="n">
        <x:v>721</x:v>
      </x:c>
      <x:c r="H161" s="8" t="n">
        <x:v>443</x:v>
      </x:c>
    </x:row>
    <x:row r="162">
      <x:c r="A162" s="2" t="str">
        <x:v>322291</x:v>
      </x:c>
      <x:c r="B162" s="2" t="str">
        <x:v>Sanitary Paper Product Manufacturing</x:v>
      </x:c>
      <x:c r="C162" s="8" t="n">
        <x:v>792</x:v>
      </x:c>
      <x:c r="D162" s="8" t="n">
        <x:v>708</x:v>
      </x:c>
      <x:c r="E162" s="8" t="n">
        <x:v>728</x:v>
      </x:c>
      <x:c r="F162" s="8" t="n">
        <x:v>719</x:v>
      </x:c>
      <x:c r="G162" s="8" t="n">
        <x:v>734</x:v>
      </x:c>
      <x:c r="H162" s="8" t="n">
        <x:v>858</x:v>
      </x:c>
    </x:row>
    <x:row r="163">
      <x:c r="A163" s="2" t="str">
        <x:v>322299</x:v>
      </x:c>
      <x:c r="B163" s="2" t="str">
        <x:v>All Other Converted Paper Product Manufacturing</x:v>
      </x:c>
      <x:c r="C163" s="8" t="n">
        <x:v>1068</x:v>
      </x:c>
      <x:c r="D163" s="8" t="n">
        <x:v>1000</x:v>
      </x:c>
      <x:c r="E163" s="8" t="n">
        <x:v>1001</x:v>
      </x:c>
      <x:c r="F163" s="8" t="n">
        <x:v>1046</x:v>
      </x:c>
      <x:c r="G163" s="8" t="n">
        <x:v>1052</x:v>
      </x:c>
      <x:c r="H163" s="8" t="n">
        <x:v>810</x:v>
      </x:c>
    </x:row>
    <x:row r="164">
      <x:c r="A164" s="2" t="str">
        <x:v>323111</x:v>
      </x:c>
      <x:c r="B164" s="2" t="str">
        <x:v>Commercial Printing (except Screen and Books)</x:v>
      </x:c>
      <x:c r="C164" s="8" t="n">
        <x:v>28714</x:v>
      </x:c>
      <x:c r="D164" s="8" t="n">
        <x:v>28442</x:v>
      </x:c>
      <x:c r="E164" s="8" t="n">
        <x:v>27513</x:v>
      </x:c>
      <x:c r="F164" s="8" t="n">
        <x:v>22360</x:v>
      </x:c>
      <x:c r="G164" s="8" t="n">
        <x:v>21618</x:v>
      </x:c>
      <x:c r="H164" s="8" t="n">
        <x:v>19519</x:v>
      </x:c>
    </x:row>
    <x:row r="165">
      <x:c r="A165" s="2" t="str">
        <x:v>323113</x:v>
      </x:c>
      <x:c r="B165" s="2" t="str">
        <x:v>Commercial Screen Printing</x:v>
      </x:c>
      <x:c r="C165" s="8" t="n">
        <x:v>7813</x:v>
      </x:c>
      <x:c r="D165" s="8" t="n">
        <x:v>8233</x:v>
      </x:c>
      <x:c r="E165" s="8" t="n">
        <x:v>7778</x:v>
      </x:c>
      <x:c r="F165" s="8" t="n">
        <x:v>7675</x:v>
      </x:c>
      <x:c r="G165" s="8" t="n">
        <x:v>7582</x:v>
      </x:c>
      <x:c r="H165" s="8" t="n">
        <x:v>7257</x:v>
      </x:c>
    </x:row>
    <x:row r="166">
      <x:c r="A166" s="2" t="str">
        <x:v>323117</x:v>
      </x:c>
      <x:c r="B166" s="2" t="str">
        <x:v>Books Printing</x:v>
      </x:c>
      <x:c r="C166" s="8" t="n">
        <x:v>1005</x:v>
      </x:c>
      <x:c r="D166" s="8" t="n">
        <x:v>965</x:v>
      </x:c>
      <x:c r="E166" s="8" t="n">
        <x:v>895</x:v>
      </x:c>
      <x:c r="F166" s="8" t="n">
        <x:v>553</x:v>
      </x:c>
      <x:c r="G166" s="8" t="n">
        <x:v>467</x:v>
      </x:c>
      <x:c r="H166" s="8" t="n">
        <x:v>434</x:v>
      </x:c>
    </x:row>
    <x:row r="167">
      <x:c r="A167" s="2" t="str">
        <x:v>323120</x:v>
      </x:c>
      <x:c r="B167" s="2" t="str">
        <x:v>Support Activites for Printing</x:v>
      </x:c>
      <x:c r="C167" s="8" t="n">
        <x:v>2448</x:v>
      </x:c>
      <x:c r="D167" s="8" t="n">
        <x:v>2008</x:v>
      </x:c>
      <x:c r="E167" s="8" t="n">
        <x:v>1849</x:v>
      </x:c>
      <x:c r="F167" s="8" t="n">
        <x:v>1446</x:v>
      </x:c>
      <x:c r="G167" s="8" t="n">
        <x:v>1249</x:v>
      </x:c>
      <x:c r="H167" s="8" t="n">
        <x:v>773</x:v>
      </x:c>
    </x:row>
    <x:row r="168">
      <x:c r="A168" s="2" t="str">
        <x:v>324110</x:v>
      </x:c>
      <x:c r="B168" s="2" t="str">
        <x:v>Petroleum Refineries</x:v>
      </x:c>
      <x:c r="C168" s="8" t="n">
        <x:v>11179</x:v>
      </x:c>
      <x:c r="D168" s="8" t="n">
        <x:v>11054</x:v>
      </x:c>
      <x:c r="E168" s="8" t="n">
        <x:v>10800</x:v>
      </x:c>
      <x:c r="F168" s="8" t="n">
        <x:v>8698</x:v>
      </x:c>
      <x:c r="G168" s="8" t="n">
        <x:v>8900</x:v>
      </x:c>
      <x:c r="H168" s="8" t="n">
        <x:v>8135</x:v>
      </x:c>
    </x:row>
    <x:row r="169">
      <x:c r="A169" s="2" t="str">
        <x:v>324121</x:v>
      </x:c>
      <x:c r="B169" s="2" t="str">
        <x:v>Asphalt Paving Mixture and Block Manufacturing</x:v>
      </x:c>
      <x:c r="C169" s="8" t="n">
        <x:v>570</x:v>
      </x:c>
      <x:c r="D169" s="8" t="n">
        <x:v>516</x:v>
      </x:c>
      <x:c r="E169" s="8" t="n">
        <x:v>471</x:v>
      </x:c>
      <x:c r="F169" s="8" t="n">
        <x:v>331</x:v>
      </x:c>
      <x:c r="G169" s="8" t="n">
        <x:v>366</x:v>
      </x:c>
      <x:c r="H169" s="8" t="n">
        <x:v>400</x:v>
      </x:c>
    </x:row>
    <x:row r="170">
      <x:c r="A170" s="2" t="str">
        <x:v>324122</x:v>
      </x:c>
      <x:c r="B170" s="2" t="str">
        <x:v>Asphalt Shingle and Coating Materials Manufacturing</x:v>
      </x:c>
      <x:c r="C170" s="8" t="n">
        <x:v>739</x:v>
      </x:c>
      <x:c r="D170" s="8" t="n">
        <x:v>756</x:v>
      </x:c>
      <x:c r="E170" s="8" t="n">
        <x:v>713</x:v>
      </x:c>
      <x:c r="F170" s="8" t="n">
        <x:v>781</x:v>
      </x:c>
      <x:c r="G170" s="8" t="n">
        <x:v>677</x:v>
      </x:c>
      <x:c r="H170" s="8" t="n">
        <x:v>843</x:v>
      </x:c>
    </x:row>
    <x:row r="171">
      <x:c r="A171" s="2" t="str">
        <x:v>325120</x:v>
      </x:c>
      <x:c r="B171" s="2" t="str">
        <x:v>Industrial Gas Manufacturing</x:v>
      </x:c>
      <x:c r="C171" s="8" t="n">
        <x:v>1321</x:v>
      </x:c>
      <x:c r="D171" s="8" t="n">
        <x:v>1197</x:v>
      </x:c>
      <x:c r="E171" s="8" t="n">
        <x:v>1229</x:v>
      </x:c>
      <x:c r="F171" s="8" t="n">
        <x:v>1347</x:v>
      </x:c>
      <x:c r="G171" s="8" t="n">
        <x:v>1429</x:v>
      </x:c>
      <x:c r="H171" s="8" t="n">
        <x:v>1376</x:v>
      </x:c>
    </x:row>
    <x:row r="172">
      <x:c r="A172" s="2" t="str">
        <x:v>325180</x:v>
      </x:c>
      <x:c r="B172" s="2" t="str">
        <x:v>Other Basic Inorganic Chemical Manufacturing</x:v>
      </x:c>
      <x:c r="C172" s="8" t="n">
        <x:v>1788</x:v>
      </x:c>
      <x:c r="D172" s="8" t="n">
        <x:v>1755</x:v>
      </x:c>
      <x:c r="E172" s="8" t="n">
        <x:v>1895</x:v>
      </x:c>
      <x:c r="F172" s="8" t="n">
        <x:v>1874</x:v>
      </x:c>
      <x:c r="G172" s="8" t="n">
        <x:v>1957</x:v>
      </x:c>
      <x:c r="H172" s="8" t="n">
        <x:v>1962</x:v>
      </x:c>
    </x:row>
    <x:row r="173">
      <x:c r="A173" s="2" t="str">
        <x:v>325199</x:v>
      </x:c>
      <x:c r="B173" s="2" t="str">
        <x:v>All Other Basic Organic Chemical Manufacturing</x:v>
      </x:c>
      <x:c r="C173" s="8" t="n">
        <x:v>1541</x:v>
      </x:c>
      <x:c r="D173" s="8" t="n">
        <x:v>1540</x:v>
      </x:c>
      <x:c r="E173" s="8" t="n">
        <x:v>1559</x:v>
      </x:c>
      <x:c r="F173" s="8" t="n">
        <x:v>2125</x:v>
      </x:c>
      <x:c r="G173" s="8" t="n">
        <x:v>2391</x:v>
      </x:c>
      <x:c r="H173" s="8" t="n">
        <x:v>1788</x:v>
      </x:c>
    </x:row>
    <x:row r="174">
      <x:c r="A174" s="2" t="str">
        <x:v>325211</x:v>
      </x:c>
      <x:c r="B174" s="2" t="str">
        <x:v>Plastics Material and Resin Manufacturing</x:v>
      </x:c>
      <x:c r="C174" s="8" t="n">
        <x:v>2319</x:v>
      </x:c>
      <x:c r="D174" s="8" t="n">
        <x:v>2547</x:v>
      </x:c>
      <x:c r="E174" s="8" t="n">
        <x:v>2384</x:v>
      </x:c>
      <x:c r="F174" s="8" t="n">
        <x:v>2015</x:v>
      </x:c>
      <x:c r="G174" s="8" t="n">
        <x:v>1811</x:v>
      </x:c>
      <x:c r="H174" s="8" t="n">
        <x:v>1664</x:v>
      </x:c>
    </x:row>
    <x:row r="175">
      <x:c r="A175" s="2" t="str">
        <x:v>325212</x:v>
      </x:c>
      <x:c r="B175" s="2" t="str">
        <x:v>Synthetic Rubber Manufacturing</x:v>
      </x:c>
      <x:c r="C175" s="8" t="n">
        <x:v>507</x:v>
      </x:c>
      <x:c r="D175" s="8" t="n">
        <x:v>316</x:v>
      </x:c>
      <x:c r="E175" s="8" t="n">
        <x:v>325</x:v>
      </x:c>
      <x:c r="F175" s="8" t="n">
        <x:v>301</x:v>
      </x:c>
      <x:c r="G175" s="8" t="n">
        <x:v>296</x:v>
      </x:c>
      <x:c r="H175" s="8" t="n">
        <x:v>314</x:v>
      </x:c>
    </x:row>
    <x:row r="176">
      <x:c r="A176" s="2" t="str">
        <x:v>325220</x:v>
      </x:c>
      <x:c r="B176" s="2" t="str">
        <x:v>Artificial and Synthetic Fibers and Filaments Manufacturing</x:v>
      </x:c>
      <x:c r="C176" s="8" t="n">
        <x:v>113</x:v>
      </x:c>
      <x:c r="D176" s="8" t="n">
        <x:v>114</x:v>
      </x:c>
      <x:c r="E176" s="8" t="n">
        <x:v>231</x:v>
      </x:c>
      <x:c r="F176" s="8" t="n">
        <x:v>81</x:v>
      </x:c>
      <x:c r="G176" s="8" t="n">
        <x:v>89</x:v>
      </x:c>
      <x:c r="H176" s="8" t="n">
        <x:v>81</x:v>
      </x:c>
    </x:row>
    <x:row r="177">
      <x:c r="A177" s="2" t="str">
        <x:v>325311</x:v>
      </x:c>
      <x:c r="B177" s="2" t="str">
        <x:v>Nitrogenous Fertilizer Manufacturing</x:v>
      </x:c>
      <x:c r="C177" s="8" t="n">
        <x:v>504</x:v>
      </x:c>
      <x:c r="D177" s="8" t="n">
        <x:v>544</x:v>
      </x:c>
      <x:c r="E177" s="8" t="n">
        <x:v>547</x:v>
      </x:c>
      <x:c r="F177" s="8" t="n">
        <x:v>841</x:v>
      </x:c>
      <x:c r="G177" s="8" t="n">
        <x:v>732</x:v>
      </x:c>
      <x:c r="H177" s="8" t="n">
        <x:v>774</x:v>
      </x:c>
    </x:row>
    <x:row r="178">
      <x:c r="A178" s="2" t="str">
        <x:v>325320</x:v>
      </x:c>
      <x:c r="B178" s="2" t="str">
        <x:v>Pesticide and Other Agricultural Chemical Manufacturing</x:v>
      </x:c>
      <x:c r="C178" s="8" t="n">
        <x:v>524</x:v>
      </x:c>
      <x:c r="D178" s="8" t="n">
        <x:v>525</x:v>
      </x:c>
      <x:c r="E178" s="8" t="n">
        <x:v>544</x:v>
      </x:c>
      <x:c r="F178" s="8" t="n">
        <x:v>612</x:v>
      </x:c>
      <x:c r="G178" s="8" t="n">
        <x:v>618</x:v>
      </x:c>
      <x:c r="H178" s="8" t="n">
        <x:v>699</x:v>
      </x:c>
    </x:row>
    <x:row r="179">
      <x:c r="A179" s="2" t="str">
        <x:v>325411</x:v>
      </x:c>
      <x:c r="B179" s="2" t="str">
        <x:v>Medicinal and Botanical Manufacturing</x:v>
      </x:c>
      <x:c r="C179" s="8" t="n">
        <x:v>5029</x:v>
      </x:c>
      <x:c r="D179" s="8" t="n">
        <x:v>5282</x:v>
      </x:c>
      <x:c r="E179" s="8" t="n">
        <x:v>5585</x:v>
      </x:c>
      <x:c r="F179" s="8" t="n">
        <x:v>6800</x:v>
      </x:c>
      <x:c r="G179" s="8" t="n">
        <x:v>6505</x:v>
      </x:c>
      <x:c r="H179" s="8" t="n">
        <x:v>6473</x:v>
      </x:c>
    </x:row>
    <x:row r="180">
      <x:c r="A180" s="2" t="str">
        <x:v>325412</x:v>
      </x:c>
      <x:c r="B180" s="2" t="str">
        <x:v>Pharmaceutical Preparation Manufacturing</x:v>
      </x:c>
      <x:c r="C180" s="8" t="n">
        <x:v>36046</x:v>
      </x:c>
      <x:c r="D180" s="8" t="n">
        <x:v>29750</x:v>
      </x:c>
      <x:c r="E180" s="8" t="n">
        <x:v>29828</x:v>
      </x:c>
      <x:c r="F180" s="8" t="n">
        <x:v>29364</x:v>
      </x:c>
      <x:c r="G180" s="8" t="n">
        <x:v>26672</x:v>
      </x:c>
      <x:c r="H180" s="8" t="n">
        <x:v>24702</x:v>
      </x:c>
    </x:row>
    <x:row r="181">
      <x:c r="A181" s="2" t="str">
        <x:v>325413</x:v>
      </x:c>
      <x:c r="B181" s="2" t="str">
        <x:v>In-Vitro Diagnostic Substance Manufacturing</x:v>
      </x:c>
      <x:c r="C181" s="8" t="n">
        <x:v>7598</x:v>
      </x:c>
      <x:c r="D181" s="8" t="n">
        <x:v>8182</x:v>
      </x:c>
      <x:c r="E181" s="8" t="n">
        <x:v>8545</x:v>
      </x:c>
      <x:c r="F181" s="8" t="n">
        <x:v>8632</x:v>
      </x:c>
      <x:c r="G181" s="8" t="n">
        <x:v>8467</x:v>
      </x:c>
      <x:c r="H181" s="8" t="n">
        <x:v>8587</x:v>
      </x:c>
    </x:row>
    <x:row r="182">
      <x:c r="A182" s="2" t="str">
        <x:v>325414</x:v>
      </x:c>
      <x:c r="B182" s="2" t="str">
        <x:v>Biological Product (except Diagnostic) Manufacturing</x:v>
      </x:c>
      <x:c r="C182" s="8" t="n">
        <x:v>3279</x:v>
      </x:c>
      <x:c r="D182" s="8" t="n">
        <x:v>3497</x:v>
      </x:c>
      <x:c r="E182" s="8" t="n">
        <x:v>2699</x:v>
      </x:c>
      <x:c r="F182" s="8" t="n">
        <x:v>3306</x:v>
      </x:c>
      <x:c r="G182" s="8" t="n">
        <x:v>3281</x:v>
      </x:c>
      <x:c r="H182" s="8" t="n">
        <x:v>3275</x:v>
      </x:c>
    </x:row>
    <x:row r="183">
      <x:c r="A183" s="2" t="str">
        <x:v>325510</x:v>
      </x:c>
      <x:c r="B183" s="2" t="str">
        <x:v>Paint and Coating Manufacturing</x:v>
      </x:c>
      <x:c r="C183" s="8" t="n">
        <x:v>2769</x:v>
      </x:c>
      <x:c r="D183" s="8" t="n">
        <x:v>2655</x:v>
      </x:c>
      <x:c r="E183" s="8" t="n">
        <x:v>2874</x:v>
      </x:c>
      <x:c r="F183" s="8" t="n">
        <x:v>2830</x:v>
      </x:c>
      <x:c r="G183" s="8" t="n">
        <x:v>2651</x:v>
      </x:c>
      <x:c r="H183" s="8" t="n">
        <x:v>2222</x:v>
      </x:c>
    </x:row>
    <x:row r="184">
      <x:c r="A184" s="2" t="str">
        <x:v>325520</x:v>
      </x:c>
      <x:c r="B184" s="2" t="str">
        <x:v>Adhesive Manufacturing</x:v>
      </x:c>
      <x:c r="C184" s="8" t="n">
        <x:v>2116</x:v>
      </x:c>
      <x:c r="D184" s="8" t="n">
        <x:v>1960</x:v>
      </x:c>
      <x:c r="E184" s="8" t="n">
        <x:v>2072</x:v>
      </x:c>
      <x:c r="F184" s="8" t="n">
        <x:v>2111</x:v>
      </x:c>
      <x:c r="G184" s="8" t="n">
        <x:v>2102</x:v>
      </x:c>
      <x:c r="H184" s="8" t="n">
        <x:v>2329</x:v>
      </x:c>
    </x:row>
    <x:row r="185">
      <x:c r="A185" s="2" t="str">
        <x:v>325611</x:v>
      </x:c>
      <x:c r="B185" s="2" t="str">
        <x:v>Soap and Other Detergent Manufacturing</x:v>
      </x:c>
      <x:c r="C185" s="8" t="n">
        <x:v>1863</x:v>
      </x:c>
      <x:c r="D185" s="8" t="n">
        <x:v>1708</x:v>
      </x:c>
      <x:c r="E185" s="8" t="n">
        <x:v>1722</x:v>
      </x:c>
      <x:c r="F185" s="8" t="n">
        <x:v>1872</x:v>
      </x:c>
      <x:c r="G185" s="8" t="n">
        <x:v>2032</x:v>
      </x:c>
      <x:c r="H185" s="8" t="n">
        <x:v>1875</x:v>
      </x:c>
    </x:row>
    <x:row r="186">
      <x:c r="A186" s="2" t="str">
        <x:v>325612</x:v>
      </x:c>
      <x:c r="B186" s="2" t="str">
        <x:v>Polish and Other Sanitation Good Manufacturing</x:v>
      </x:c>
      <x:c r="C186" s="8" t="n">
        <x:v>2011</x:v>
      </x:c>
      <x:c r="D186" s="8" t="n">
        <x:v>2136</x:v>
      </x:c>
      <x:c r="E186" s="8" t="n">
        <x:v>2147</x:v>
      </x:c>
      <x:c r="F186" s="8" t="n">
        <x:v>1707</x:v>
      </x:c>
      <x:c r="G186" s="8" t="n">
        <x:v>1617</x:v>
      </x:c>
      <x:c r="H186" s="8" t="n">
        <x:v>1449</x:v>
      </x:c>
    </x:row>
    <x:row r="187">
      <x:c r="A187" s="2" t="str">
        <x:v>325613</x:v>
      </x:c>
      <x:c r="B187" s="2" t="str">
        <x:v>Surface Active Agent Manufacturing</x:v>
      </x:c>
      <x:c r="C187" s="8" t="n">
        <x:v>70</x:v>
      </x:c>
      <x:c r="D187" s="8" t="n">
        <x:v>71</x:v>
      </x:c>
      <x:c r="E187" s="8" t="n">
        <x:v>68</x:v>
      </x:c>
      <x:c r="F187" s="8" t="n">
        <x:v>64</x:v>
      </x:c>
      <x:c r="G187" s="8" t="n">
        <x:v>73</x:v>
      </x:c>
      <x:c r="H187" s="8" t="n">
        <x:v>55</x:v>
      </x:c>
    </x:row>
    <x:row r="188">
      <x:c r="A188" s="2" t="str">
        <x:v>325620</x:v>
      </x:c>
      <x:c r="B188" s="2" t="str">
        <x:v>Toilet Preparation Manufacturing</x:v>
      </x:c>
      <x:c r="C188" s="8" t="n">
        <x:v>7534</x:v>
      </x:c>
      <x:c r="D188" s="8" t="n">
        <x:v>7989</x:v>
      </x:c>
      <x:c r="E188" s="8" t="n">
        <x:v>8542</x:v>
      </x:c>
      <x:c r="F188" s="8" t="n">
        <x:v>9553</x:v>
      </x:c>
      <x:c r="G188" s="8" t="n">
        <x:v>9571</x:v>
      </x:c>
      <x:c r="H188" s="8" t="n">
        <x:v>7849</x:v>
      </x:c>
    </x:row>
    <x:row r="189">
      <x:c r="A189" s="2" t="str">
        <x:v>325910</x:v>
      </x:c>
      <x:c r="B189" s="2" t="str">
        <x:v>Printing Ink Manufacturing</x:v>
      </x:c>
      <x:c r="C189" s="8" t="n">
        <x:v>684</x:v>
      </x:c>
      <x:c r="D189" s="8" t="n">
        <x:v>658</x:v>
      </x:c>
      <x:c r="E189" s="8" t="n">
        <x:v>648</x:v>
      </x:c>
      <x:c r="F189" s="8" t="n">
        <x:v>511</x:v>
      </x:c>
      <x:c r="G189" s="8" t="n">
        <x:v>506</x:v>
      </x:c>
      <x:c r="H189" s="8" t="n">
        <x:v>523</x:v>
      </x:c>
    </x:row>
    <x:row r="190">
      <x:c r="A190" s="2" t="str">
        <x:v>325920</x:v>
      </x:c>
      <x:c r="B190" s="2" t="str">
        <x:v>Explosives Manufacturing</x:v>
      </x:c>
      <x:c r="C190" s="8" t="n">
        <x:v>716</x:v>
      </x:c>
      <x:c r="D190" s="8" t="n">
        <x:v>744</x:v>
      </x:c>
      <x:c r="E190" s="8" t="n">
        <x:v>776</x:v>
      </x:c>
      <x:c r="F190" s="8" t="n">
        <x:v>814</x:v>
      </x:c>
      <x:c r="G190" s="8" t="n">
        <x:v>850</x:v>
      </x:c>
      <x:c r="H190" s="8" t="n">
        <x:v>933</x:v>
      </x:c>
    </x:row>
    <x:row r="191">
      <x:c r="A191" s="2" t="str">
        <x:v>325991</x:v>
      </x:c>
      <x:c r="B191" s="2" t="str">
        <x:v>Custom Compounding of Purchased Resins</x:v>
      </x:c>
      <x:c r="C191" s="8" t="n">
        <x:v>1139</x:v>
      </x:c>
      <x:c r="D191" s="8" t="n">
        <x:v>1033</x:v>
      </x:c>
      <x:c r="E191" s="8" t="n">
        <x:v>1048</x:v>
      </x:c>
      <x:c r="F191" s="8" t="n">
        <x:v>1410</x:v>
      </x:c>
      <x:c r="G191" s="8" t="n">
        <x:v>1044</x:v>
      </x:c>
      <x:c r="H191" s="8" t="n">
        <x:v>933</x:v>
      </x:c>
    </x:row>
    <x:row r="192">
      <x:c r="A192" s="2" t="str">
        <x:v>325992</x:v>
      </x:c>
      <x:c r="B192" s="2" t="str">
        <x:v>Photographic Film, Paper, Plate, Chemical, and Copy Toner Manufacturing</x:v>
      </x:c>
      <x:c r="C192" s="8" t="n">
        <x:v>245</x:v>
      </x:c>
      <x:c r="D192" s="8" t="n">
        <x:v>238</x:v>
      </x:c>
      <x:c r="E192" s="8" t="n">
        <x:v>239</x:v>
      </x:c>
      <x:c r="F192" s="8" t="n">
        <x:v>214</x:v>
      </x:c>
      <x:c r="G192" s="8" t="n">
        <x:v>180</x:v>
      </x:c>
      <x:c r="H192" s="8" t="n">
        <x:v>110</x:v>
      </x:c>
    </x:row>
    <x:row r="193">
      <x:c r="A193" s="2" t="str">
        <x:v>325998</x:v>
      </x:c>
      <x:c r="B193" s="2" t="str">
        <x:v>All Other Miscellaneous Chemical Product and Preparation Manufacturing</x:v>
      </x:c>
      <x:c r="C193" s="8" t="n">
        <x:v>2907</x:v>
      </x:c>
      <x:c r="D193" s="8" t="n">
        <x:v>3602</x:v>
      </x:c>
      <x:c r="E193" s="8" t="n">
        <x:v>4156</x:v>
      </x:c>
      <x:c r="F193" s="8" t="n">
        <x:v>4395</x:v>
      </x:c>
      <x:c r="G193" s="8" t="n">
        <x:v>4102</x:v>
      </x:c>
      <x:c r="H193" s="8" t="n">
        <x:v>3221</x:v>
      </x:c>
    </x:row>
    <x:row r="194">
      <x:c r="A194" s="2" t="str">
        <x:v>326111</x:v>
      </x:c>
      <x:c r="B194" s="2" t="str">
        <x:v>Plastics Bag and Pouch Manufacturing</x:v>
      </x:c>
      <x:c r="C194" s="8" t="n">
        <x:v>3134</x:v>
      </x:c>
      <x:c r="D194" s="8" t="n">
        <x:v>2963</x:v>
      </x:c>
      <x:c r="E194" s="8" t="n">
        <x:v>2985</x:v>
      </x:c>
      <x:c r="F194" s="8" t="n">
        <x:v>3071</x:v>
      </x:c>
      <x:c r="G194" s="8" t="n">
        <x:v>3080</x:v>
      </x:c>
      <x:c r="H194" s="8" t="n">
        <x:v>3145</x:v>
      </x:c>
    </x:row>
    <x:row r="195">
      <x:c r="A195" s="2" t="str">
        <x:v>326112</x:v>
      </x:c>
      <x:c r="B195" s="2" t="str">
        <x:v>Plastics Packaging Film and Sheet (including Laminated) Manufacturing</x:v>
      </x:c>
      <x:c r="C195" s="8" t="n">
        <x:v>1753</x:v>
      </x:c>
      <x:c r="D195" s="8" t="n">
        <x:v>1607</x:v>
      </x:c>
      <x:c r="E195" s="8" t="n">
        <x:v>1622</x:v>
      </x:c>
      <x:c r="F195" s="8" t="n">
        <x:v>1720</x:v>
      </x:c>
      <x:c r="G195" s="8" t="n">
        <x:v>1855</x:v>
      </x:c>
      <x:c r="H195" s="8" t="n">
        <x:v>1531</x:v>
      </x:c>
    </x:row>
    <x:row r="196">
      <x:c r="A196" s="2" t="str">
        <x:v>326113</x:v>
      </x:c>
      <x:c r="B196" s="2" t="str">
        <x:v>Unlaminated Plastics Film and Sheet (except Packaging) Manufacturing</x:v>
      </x:c>
      <x:c r="C196" s="8" t="n">
        <x:v>1543</x:v>
      </x:c>
      <x:c r="D196" s="8" t="n">
        <x:v>1664</x:v>
      </x:c>
      <x:c r="E196" s="8" t="n">
        <x:v>1779</x:v>
      </x:c>
      <x:c r="F196" s="8" t="n">
        <x:v>1505</x:v>
      </x:c>
      <x:c r="G196" s="8" t="n">
        <x:v>1453</x:v>
      </x:c>
      <x:c r="H196" s="8" t="n">
        <x:v>1405</x:v>
      </x:c>
    </x:row>
    <x:row r="197">
      <x:c r="A197" s="2" t="str">
        <x:v>326121</x:v>
      </x:c>
      <x:c r="B197" s="2" t="str">
        <x:v>Unlaminated Plastics Profile Shape Manufacturing</x:v>
      </x:c>
      <x:c r="C197" s="8" t="n">
        <x:v>1563</x:v>
      </x:c>
      <x:c r="D197" s="8" t="n">
        <x:v>1634</x:v>
      </x:c>
      <x:c r="E197" s="8" t="n">
        <x:v>1789</x:v>
      </x:c>
      <x:c r="F197" s="8" t="n">
        <x:v>1695</x:v>
      </x:c>
      <x:c r="G197" s="8" t="n">
        <x:v>1648</x:v>
      </x:c>
      <x:c r="H197" s="8" t="n">
        <x:v>1423</x:v>
      </x:c>
    </x:row>
    <x:row r="198">
      <x:c r="A198" s="2" t="str">
        <x:v>326122</x:v>
      </x:c>
      <x:c r="B198" s="2" t="str">
        <x:v>Plastics Pipe and Pipe Fitting Manufacturing</x:v>
      </x:c>
      <x:c r="C198" s="8" t="n">
        <x:v>2842</x:v>
      </x:c>
      <x:c r="D198" s="8" t="n">
        <x:v>2857</x:v>
      </x:c>
      <x:c r="E198" s="8" t="n">
        <x:v>2756</x:v>
      </x:c>
      <x:c r="F198" s="8" t="n">
        <x:v>2893</x:v>
      </x:c>
      <x:c r="G198" s="8" t="n">
        <x:v>2994</x:v>
      </x:c>
      <x:c r="H198" s="8" t="n">
        <x:v>2166</x:v>
      </x:c>
    </x:row>
    <x:row r="199">
      <x:c r="A199" s="2" t="str">
        <x:v>326130</x:v>
      </x:c>
      <x:c r="B199" s="2" t="str">
        <x:v>Laminated Plastics Plate, Sheet (except Packaging), and Shape Manufacturing</x:v>
      </x:c>
      <x:c r="C199" s="8" t="n">
        <x:v>1077</x:v>
      </x:c>
      <x:c r="D199" s="8" t="n">
        <x:v>992</x:v>
      </x:c>
      <x:c r="E199" s="8" t="n">
        <x:v>1053</x:v>
      </x:c>
      <x:c r="F199" s="8" t="n">
        <x:v>846</x:v>
      </x:c>
      <x:c r="G199" s="8" t="n">
        <x:v>842</x:v>
      </x:c>
      <x:c r="H199" s="8" t="n">
        <x:v>857</x:v>
      </x:c>
    </x:row>
    <x:row r="200">
      <x:c r="A200" s="2" t="str">
        <x:v>326140</x:v>
      </x:c>
      <x:c r="B200" s="2" t="str">
        <x:v>Polystyrene Foam Product Manufacturing</x:v>
      </x:c>
      <x:c r="C200" s="8" t="n">
        <x:v>1765</x:v>
      </x:c>
      <x:c r="D200" s="8" t="n">
        <x:v>1896</x:v>
      </x:c>
      <x:c r="E200" s="8" t="n">
        <x:v>1731</x:v>
      </x:c>
      <x:c r="F200" s="8" t="n">
        <x:v>1624</x:v>
      </x:c>
      <x:c r="G200" s="8" t="n">
        <x:v>1621</x:v>
      </x:c>
      <x:c r="H200" s="8" t="n">
        <x:v>971</x:v>
      </x:c>
    </x:row>
    <x:row r="201">
      <x:c r="A201" s="2" t="str">
        <x:v>326150</x:v>
      </x:c>
      <x:c r="B201" s="2" t="str">
        <x:v>Urethane and Other Foam Product (except Polystyrene) Manufacturing</x:v>
      </x:c>
      <x:c r="C201" s="8" t="n">
        <x:v>3073</x:v>
      </x:c>
      <x:c r="D201" s="8" t="n">
        <x:v>3106</x:v>
      </x:c>
      <x:c r="E201" s="8" t="n">
        <x:v>2944</x:v>
      </x:c>
      <x:c r="F201" s="8" t="n">
        <x:v>3045</x:v>
      </x:c>
      <x:c r="G201" s="8" t="n">
        <x:v>3067</x:v>
      </x:c>
      <x:c r="H201" s="8" t="n">
        <x:v>2697</x:v>
      </x:c>
    </x:row>
    <x:row r="202">
      <x:c r="A202" s="2" t="str">
        <x:v>326160</x:v>
      </x:c>
      <x:c r="B202" s="2" t="str">
        <x:v>Plastics Bottle Manufacturing</x:v>
      </x:c>
      <x:c r="C202" s="8" t="n">
        <x:v>3722</x:v>
      </x:c>
      <x:c r="D202" s="8" t="n">
        <x:v>3847</x:v>
      </x:c>
      <x:c r="E202" s="8" t="n">
        <x:v>3995</x:v>
      </x:c>
      <x:c r="F202" s="8" t="n">
        <x:v>4424</x:v>
      </x:c>
      <x:c r="G202" s="8" t="n">
        <x:v>4294</x:v>
      </x:c>
      <x:c r="H202" s="8" t="n">
        <x:v>3941</x:v>
      </x:c>
    </x:row>
    <x:row r="203">
      <x:c r="A203" s="2" t="str">
        <x:v>326191</x:v>
      </x:c>
      <x:c r="B203" s="2" t="str">
        <x:v>Plastics Plumbing Fixture Manufacturing</x:v>
      </x:c>
      <x:c r="C203" s="8" t="n">
        <x:v>2053</x:v>
      </x:c>
      <x:c r="D203" s="8" t="n">
        <x:v>1628</x:v>
      </x:c>
      <x:c r="E203" s="8" t="n">
        <x:v>1625</x:v>
      </x:c>
      <x:c r="F203" s="8" t="n">
        <x:v>1805</x:v>
      </x:c>
      <x:c r="G203" s="8" t="n">
        <x:v>1626</x:v>
      </x:c>
      <x:c r="H203" s="8" t="n">
        <x:v>1219</x:v>
      </x:c>
    </x:row>
    <x:row r="204">
      <x:c r="A204" s="2" t="str">
        <x:v>326199</x:v>
      </x:c>
      <x:c r="B204" s="2" t="str">
        <x:v>All Other Plastics Product Manufacturing</x:v>
      </x:c>
      <x:c r="C204" s="8" t="n">
        <x:v>16480</x:v>
      </x:c>
      <x:c r="D204" s="8" t="n">
        <x:v>16651</x:v>
      </x:c>
      <x:c r="E204" s="8" t="n">
        <x:v>16220</x:v>
      </x:c>
      <x:c r="F204" s="8" t="n">
        <x:v>17878</x:v>
      </x:c>
      <x:c r="G204" s="8" t="n">
        <x:v>17319</x:v>
      </x:c>
      <x:c r="H204" s="8" t="n">
        <x:v>15633</x:v>
      </x:c>
    </x:row>
    <x:row r="205">
      <x:c r="A205" s="2" t="str">
        <x:v>326211</x:v>
      </x:c>
      <x:c r="B205" s="2" t="str">
        <x:v>Tire Manufacturing (except Retreading)</x:v>
      </x:c>
      <x:c r="C205" s="8" t="n">
        <x:v>79</x:v>
      </x:c>
      <x:c r="D205" s="8" t="n">
        <x:v>49</x:v>
      </x:c>
      <x:c r="E205" s="8" t="n">
        <x:v>48</x:v>
      </x:c>
      <x:c r="F205" s="8" t="n">
        <x:v>55</x:v>
      </x:c>
      <x:c r="G205" s="8" t="n">
        <x:v>60</x:v>
      </x:c>
      <x:c r="H205" s="8" t="n">
        <x:v>51</x:v>
      </x:c>
    </x:row>
    <x:row r="206">
      <x:c r="A206" s="2" t="str">
        <x:v>326212</x:v>
      </x:c>
      <x:c r="B206" s="2" t="str">
        <x:v>Tire Retreading</x:v>
      </x:c>
      <x:c r="C206" s="8" t="n">
        <x:v>237</x:v>
      </x:c>
      <x:c r="D206" s="8" t="n">
        <x:v>344</x:v>
      </x:c>
      <x:c r="E206" s="8" t="n">
        <x:v>330</x:v>
      </x:c>
      <x:c r="F206" s="8" t="n">
        <x:v>355</x:v>
      </x:c>
      <x:c r="G206" s="8" t="n">
        <x:v>353</x:v>
      </x:c>
      <x:c r="H206" s="8" t="n">
        <x:v>502</x:v>
      </x:c>
    </x:row>
    <x:row r="207">
      <x:c r="A207" s="2" t="str">
        <x:v>326220</x:v>
      </x:c>
      <x:c r="B207" s="2" t="str">
        <x:v>Rubber and Plastics Hoses and Belting Manufacturing</x:v>
      </x:c>
      <x:c r="C207" s="8" t="n">
        <x:v>543</x:v>
      </x:c>
      <x:c r="D207" s="8" t="n">
        <x:v>541</x:v>
      </x:c>
      <x:c r="E207" s="8" t="n">
        <x:v>513</x:v>
      </x:c>
      <x:c r="F207" s="8" t="n">
        <x:v>417</x:v>
      </x:c>
      <x:c r="G207" s="8" t="n">
        <x:v>376</x:v>
      </x:c>
      <x:c r="H207" s="8" t="n">
        <x:v>783</x:v>
      </x:c>
    </x:row>
    <x:row r="208">
      <x:c r="A208" s="2" t="str">
        <x:v>326291</x:v>
      </x:c>
      <x:c r="B208" s="2" t="str">
        <x:v>Rubber Product Manufacturing for Mechanical Use</x:v>
      </x:c>
      <x:c r="C208" s="8" t="n">
        <x:v>1316</x:v>
      </x:c>
      <x:c r="D208" s="8" t="n">
        <x:v>1177</x:v>
      </x:c>
      <x:c r="E208" s="8" t="n">
        <x:v>1178</x:v>
      </x:c>
      <x:c r="F208" s="8" t="n">
        <x:v>936</x:v>
      </x:c>
      <x:c r="G208" s="8" t="n">
        <x:v>1118</x:v>
      </x:c>
      <x:c r="H208" s="8" t="n">
        <x:v>979</x:v>
      </x:c>
    </x:row>
    <x:row r="209">
      <x:c r="A209" s="2" t="str">
        <x:v>326299</x:v>
      </x:c>
      <x:c r="B209" s="2" t="str">
        <x:v>All Other Rubber Product Manufacturing</x:v>
      </x:c>
      <x:c r="C209" s="8" t="n">
        <x:v>2727</x:v>
      </x:c>
      <x:c r="D209" s="8" t="n">
        <x:v>2635</x:v>
      </x:c>
      <x:c r="E209" s="8" t="n">
        <x:v>2760</x:v>
      </x:c>
      <x:c r="F209" s="8" t="n">
        <x:v>2360</x:v>
      </x:c>
      <x:c r="G209" s="8" t="n">
        <x:v>2337</x:v>
      </x:c>
      <x:c r="H209" s="8" t="n">
        <x:v>2269</x:v>
      </x:c>
    </x:row>
    <x:row r="210">
      <x:c r="A210" s="2" t="str">
        <x:v>327110</x:v>
      </x:c>
      <x:c r="B210" s="2" t="str">
        <x:v>Pottery, Ceramics, and Plumbing Fixture Manufacturing</x:v>
      </x:c>
      <x:c r="C210" s="8" t="n">
        <x:v>767</x:v>
      </x:c>
      <x:c r="D210" s="8" t="n">
        <x:v>761</x:v>
      </x:c>
      <x:c r="E210" s="8" t="n">
        <x:v>726</x:v>
      </x:c>
      <x:c r="F210" s="8" t="n">
        <x:v>964</x:v>
      </x:c>
      <x:c r="G210" s="8" t="n">
        <x:v>1092</x:v>
      </x:c>
      <x:c r="H210" s="8" t="n">
        <x:v>882</x:v>
      </x:c>
    </x:row>
    <x:row r="211">
      <x:c r="A211" s="2" t="str">
        <x:v>327120</x:v>
      </x:c>
      <x:c r="B211" s="2" t="str">
        <x:v>Clay Building Material and Refractories Manufacturing</x:v>
      </x:c>
      <x:c r="C211" s="8" t="n">
        <x:v>1290</x:v>
      </x:c>
      <x:c r="D211" s="8" t="n">
        <x:v>1303</x:v>
      </x:c>
      <x:c r="E211" s="8" t="n">
        <x:v>1363</x:v>
      </x:c>
      <x:c r="F211" s="8" t="n">
        <x:v>1275</x:v>
      </x:c>
      <x:c r="G211" s="8" t="n">
        <x:v>1058</x:v>
      </x:c>
      <x:c r="H211" s="8" t="n">
        <x:v>1020</x:v>
      </x:c>
    </x:row>
    <x:row r="212">
      <x:c r="A212" s="2" t="str">
        <x:v>327211</x:v>
      </x:c>
      <x:c r="B212" s="2" t="str">
        <x:v>Flat Glass Manufacturing</x:v>
      </x:c>
      <x:c r="C212" s="8" t="n">
        <x:v>289</x:v>
      </x:c>
      <x:c r="D212" s="8" t="n">
        <x:v>704</x:v>
      </x:c>
      <x:c r="E212" s="8" t="n">
        <x:v>761</x:v>
      </x:c>
      <x:c r="F212" s="8" t="n">
        <x:v>780</x:v>
      </x:c>
      <x:c r="G212" s="8" t="n">
        <x:v>836</x:v>
      </x:c>
      <x:c r="H212" s="8" t="n">
        <x:v>659</x:v>
      </x:c>
    </x:row>
    <x:row r="213">
      <x:c r="A213" s="2" t="str">
        <x:v>327212</x:v>
      </x:c>
      <x:c r="B213" s="2" t="str">
        <x:v>Other Pressed and Blown Glass and Glassware Manufacturing</x:v>
      </x:c>
      <x:c r="C213" s="8" t="n">
        <x:v>839</x:v>
      </x:c>
      <x:c r="D213" s="8" t="n">
        <x:v>909</x:v>
      </x:c>
      <x:c r="E213" s="8" t="n">
        <x:v>826</x:v>
      </x:c>
      <x:c r="F213" s="8" t="n">
        <x:v>719</x:v>
      </x:c>
      <x:c r="G213" s="8" t="n">
        <x:v>607</x:v>
      </x:c>
      <x:c r="H213" s="8" t="n">
        <x:v>357</x:v>
      </x:c>
    </x:row>
    <x:row r="214">
      <x:c r="A214" s="2" t="str">
        <x:v>327213</x:v>
      </x:c>
      <x:c r="B214" s="2" t="str">
        <x:v>Glass Container Manufacturing</x:v>
      </x:c>
      <x:c r="C214" s="8" t="n">
        <x:v>1748</x:v>
      </x:c>
      <x:c r="D214" s="8" t="n">
        <x:v>1699</x:v>
      </x:c>
      <x:c r="E214" s="8" t="n">
        <x:v>1711</x:v>
      </x:c>
      <x:c r="F214" s="8" t="n">
        <x:v>1795</x:v>
      </x:c>
      <x:c r="G214" s="8" t="n">
        <x:v>1829</x:v>
      </x:c>
      <x:c r="H214" s="8" t="n">
        <x:v>1562</x:v>
      </x:c>
    </x:row>
    <x:row r="215">
      <x:c r="A215" s="2" t="str">
        <x:v>327215</x:v>
      </x:c>
      <x:c r="B215" s="2" t="str">
        <x:v>Glass Product Manufacturing Made of Purchased Glass</x:v>
      </x:c>
      <x:c r="C215" s="8" t="n">
        <x:v>4043</x:v>
      </x:c>
      <x:c r="D215" s="8" t="n">
        <x:v>4057</x:v>
      </x:c>
      <x:c r="E215" s="8" t="n">
        <x:v>3973</x:v>
      </x:c>
      <x:c r="F215" s="8" t="n">
        <x:v>3833</x:v>
      </x:c>
      <x:c r="G215" s="8" t="n">
        <x:v>3913</x:v>
      </x:c>
      <x:c r="H215" s="8" t="n">
        <x:v>3452</x:v>
      </x:c>
    </x:row>
    <x:row r="216">
      <x:c r="A216" s="2" t="str">
        <x:v>327310</x:v>
      </x:c>
      <x:c r="B216" s="2" t="str">
        <x:v>Cement Manufacturing</x:v>
      </x:c>
      <x:c r="C216" s="8" t="n">
        <x:v>1262</x:v>
      </x:c>
      <x:c r="D216" s="8" t="n">
        <x:v>1286</x:v>
      </x:c>
      <x:c r="E216" s="8" t="n">
        <x:v>1530</x:v>
      </x:c>
      <x:c r="F216" s="8" t="n">
        <x:v>1359</x:v>
      </x:c>
      <x:c r="G216" s="8" t="n">
        <x:v>1316</x:v>
      </x:c>
      <x:c r="H216" s="8" t="n">
        <x:v>1300</x:v>
      </x:c>
    </x:row>
    <x:row r="217">
      <x:c r="A217" s="2" t="str">
        <x:v>327320</x:v>
      </x:c>
      <x:c r="B217" s="2" t="str">
        <x:v>Ready-Mix Concrete Manufacturing</x:v>
      </x:c>
      <x:c r="C217" s="8" t="n">
        <x:v>7462</x:v>
      </x:c>
      <x:c r="D217" s="8" t="n">
        <x:v>7620</x:v>
      </x:c>
      <x:c r="E217" s="8" t="n">
        <x:v>7851</x:v>
      </x:c>
      <x:c r="F217" s="8" t="n">
        <x:v>7711</x:v>
      </x:c>
      <x:c r="G217" s="8" t="n">
        <x:v>8282</x:v>
      </x:c>
      <x:c r="H217" s="8" t="n">
        <x:v>8039</x:v>
      </x:c>
    </x:row>
    <x:row r="218">
      <x:c r="A218" s="2" t="str">
        <x:v>327331</x:v>
      </x:c>
      <x:c r="B218" s="2" t="str">
        <x:v>Concrete Block and Brick Manufacturing</x:v>
      </x:c>
      <x:c r="C218" s="8" t="n">
        <x:v>1852</x:v>
      </x:c>
      <x:c r="D218" s="8" t="n">
        <x:v>1198</x:v>
      </x:c>
      <x:c r="E218" s="8" t="n">
        <x:v>1178</x:v>
      </x:c>
      <x:c r="F218" s="8" t="n">
        <x:v>1236</x:v>
      </x:c>
      <x:c r="G218" s="8" t="n">
        <x:v>1105</x:v>
      </x:c>
      <x:c r="H218" s="8" t="n">
        <x:v>1109</x:v>
      </x:c>
    </x:row>
    <x:row r="219">
      <x:c r="A219" s="2" t="str">
        <x:v>327332</x:v>
      </x:c>
      <x:c r="B219" s="2" t="str">
        <x:v>Concrete Pipe Manufacturing</x:v>
      </x:c>
      <x:c r="C219" s="8" t="n">
        <x:v>534</x:v>
      </x:c>
      <x:c r="D219" s="8" t="n">
        <x:v>569</x:v>
      </x:c>
      <x:c r="E219" s="8" t="n">
        <x:v>607</x:v>
      </x:c>
      <x:c r="F219" s="8" t="n">
        <x:v>587</x:v>
      </x:c>
      <x:c r="G219" s="8" t="n">
        <x:v>545</x:v>
      </x:c>
      <x:c r="H219" s="8" t="n">
        <x:v>447</x:v>
      </x:c>
    </x:row>
    <x:row r="220">
      <x:c r="A220" s="2" t="str">
        <x:v>327390</x:v>
      </x:c>
      <x:c r="B220" s="2" t="str">
        <x:v>Other Concrete Product Manufacturing</x:v>
      </x:c>
      <x:c r="C220" s="8" t="n">
        <x:v>4464</x:v>
      </x:c>
      <x:c r="D220" s="8" t="n">
        <x:v>5155</x:v>
      </x:c>
      <x:c r="E220" s="8" t="n">
        <x:v>5214</x:v>
      </x:c>
      <x:c r="F220" s="8" t="n">
        <x:v>4643</x:v>
      </x:c>
      <x:c r="G220" s="8" t="n">
        <x:v>4472</x:v>
      </x:c>
      <x:c r="H220" s="8" t="n">
        <x:v>3567</x:v>
      </x:c>
    </x:row>
    <x:row r="221">
      <x:c r="A221" s="2" t="str">
        <x:v>327910</x:v>
      </x:c>
      <x:c r="B221" s="2" t="str">
        <x:v>Abrasive Product Manufacturing</x:v>
      </x:c>
      <x:c r="C221" s="8" t="n">
        <x:v>448</x:v>
      </x:c>
      <x:c r="D221" s="8" t="n">
        <x:v>450</x:v>
      </x:c>
      <x:c r="E221" s="8" t="n">
        <x:v>461</x:v>
      </x:c>
      <x:c r="F221" s="8" t="n">
        <x:v>495</x:v>
      </x:c>
      <x:c r="G221" s="8" t="n">
        <x:v>499</x:v>
      </x:c>
      <x:c r="H221" s="8" t="n">
        <x:v>361</x:v>
      </x:c>
    </x:row>
    <x:row r="222">
      <x:c r="A222" s="2" t="str">
        <x:v>327991</x:v>
      </x:c>
      <x:c r="B222" s="2" t="str">
        <x:v>Cut Stone and Stone Product Manufacturing</x:v>
      </x:c>
      <x:c r="C222" s="8" t="n">
        <x:v>1855</x:v>
      </x:c>
      <x:c r="D222" s="8" t="n">
        <x:v>1716</x:v>
      </x:c>
      <x:c r="E222" s="8" t="n">
        <x:v>1802</x:v>
      </x:c>
      <x:c r="F222" s="8" t="n">
        <x:v>2053</x:v>
      </x:c>
      <x:c r="G222" s="8" t="n">
        <x:v>1947</x:v>
      </x:c>
      <x:c r="H222" s="8" t="n">
        <x:v>1918</x:v>
      </x:c>
    </x:row>
    <x:row r="223">
      <x:c r="A223" s="2" t="str">
        <x:v>327992</x:v>
      </x:c>
      <x:c r="B223" s="2" t="str">
        <x:v>Ground or Treated Mineral and Earth Manufacturing</x:v>
      </x:c>
      <x:c r="C223" s="8" t="n">
        <x:v>150</x:v>
      </x:c>
      <x:c r="D223" s="8" t="n">
        <x:v>192</x:v>
      </x:c>
      <x:c r="E223" s="8" t="n">
        <x:v>184</x:v>
      </x:c>
      <x:c r="F223" s="8" t="n">
        <x:v>170</x:v>
      </x:c>
      <x:c r="G223" s="8" t="n">
        <x:v>173</x:v>
      </x:c>
      <x:c r="H223" s="8" t="n">
        <x:v>204</x:v>
      </x:c>
    </x:row>
    <x:row r="224">
      <x:c r="A224" s="2" t="str">
        <x:v>327993</x:v>
      </x:c>
      <x:c r="B224" s="2" t="str">
        <x:v>Mineral Wool Manufacturing</x:v>
      </x:c>
      <x:c r="C224" s="8" t="n">
        <x:v>1767</x:v>
      </x:c>
      <x:c r="D224" s="8" t="n">
        <x:v>1768</x:v>
      </x:c>
      <x:c r="E224" s="8" t="n">
        <x:v>1749</x:v>
      </x:c>
      <x:c r="F224" s="8" t="n">
        <x:v>1048</x:v>
      </x:c>
      <x:c r="G224" s="8" t="n">
        <x:v>1055</x:v>
      </x:c>
      <x:c r="H224" s="8" t="n">
        <x:v>980</x:v>
      </x:c>
    </x:row>
    <x:row r="225">
      <x:c r="A225" s="2" t="str">
        <x:v>327999</x:v>
      </x:c>
      <x:c r="B225" s="2" t="str">
        <x:v>All Other Miscellaneous Nonmetallic Mineral Product Manufacturing</x:v>
      </x:c>
      <x:c r="C225" s="8" t="n">
        <x:v>1387</x:v>
      </x:c>
      <x:c r="D225" s="8" t="n">
        <x:v>1361</x:v>
      </x:c>
      <x:c r="E225" s="8" t="n">
        <x:v>1380</x:v>
      </x:c>
      <x:c r="F225" s="8" t="n">
        <x:v>1377</x:v>
      </x:c>
      <x:c r="G225" s="8" t="n">
        <x:v>1396</x:v>
      </x:c>
      <x:c r="H225" s="8" t="n">
        <x:v>1290</x:v>
      </x:c>
    </x:row>
    <x:row r="226">
      <x:c r="A226" s="2" t="str">
        <x:v>331110</x:v>
      </x:c>
      <x:c r="B226" s="2" t="str">
        <x:v>Iron and Steel Mills and Ferroalloy Manufacturing</x:v>
      </x:c>
      <x:c r="C226" s="8" t="n">
        <x:v>2900</x:v>
      </x:c>
      <x:c r="D226" s="8" t="n">
        <x:v>2628</x:v>
      </x:c>
      <x:c r="E226" s="8" t="n">
        <x:v>2613</x:v>
      </x:c>
      <x:c r="F226" s="8" t="n">
        <x:v>2120</x:v>
      </x:c>
      <x:c r="G226" s="8" t="n">
        <x:v>2212</x:v>
      </x:c>
      <x:c r="H226" s="8" t="n">
        <x:v>1401</x:v>
      </x:c>
    </x:row>
    <x:row r="227">
      <x:c r="A227" s="2" t="str">
        <x:v>331210</x:v>
      </x:c>
      <x:c r="B227" s="2" t="str">
        <x:v>Iron and Steel Pipe and Tube Manufacturing from Purchased Steel</x:v>
      </x:c>
      <x:c r="C227" s="8" t="n">
        <x:v>1446</x:v>
      </x:c>
      <x:c r="D227" s="8" t="n">
        <x:v>1433</x:v>
      </x:c>
      <x:c r="E227" s="8" t="n">
        <x:v>1412</x:v>
      </x:c>
      <x:c r="F227" s="8" t="n">
        <x:v>1352</x:v>
      </x:c>
      <x:c r="G227" s="8" t="n">
        <x:v>1284</x:v>
      </x:c>
      <x:c r="H227" s="8" t="n">
        <x:v>1310</x:v>
      </x:c>
    </x:row>
    <x:row r="228">
      <x:c r="A228" s="2" t="str">
        <x:v>331221</x:v>
      </x:c>
      <x:c r="B228" s="2" t="str">
        <x:v>Rolled Steel Shape Manufacturing</x:v>
      </x:c>
      <x:c r="C228" s="8" t="n">
        <x:v>380</x:v>
      </x:c>
      <x:c r="D228" s="8" t="n">
        <x:v>412</x:v>
      </x:c>
      <x:c r="E228" s="8" t="n">
        <x:v>408</x:v>
      </x:c>
      <x:c r="F228" s="8" t="n">
        <x:v>328</x:v>
      </x:c>
      <x:c r="G228" s="8" t="n">
        <x:v>359</x:v>
      </x:c>
      <x:c r="H228" s="8" t="n">
        <x:v>620</x:v>
      </x:c>
    </x:row>
    <x:row r="229">
      <x:c r="A229" s="2" t="str">
        <x:v>331222</x:v>
      </x:c>
      <x:c r="B229" s="2" t="str">
        <x:v>Steel Wire Drawing</x:v>
      </x:c>
      <x:c r="C229" s="8" t="n">
        <x:v>638</x:v>
      </x:c>
      <x:c r="D229" s="8" t="n">
        <x:v>613</x:v>
      </x:c>
      <x:c r="E229" s="8" t="n">
        <x:v>515</x:v>
      </x:c>
      <x:c r="F229" s="8" t="n">
        <x:v>471</x:v>
      </x:c>
      <x:c r="G229" s="8" t="n">
        <x:v>470</x:v>
      </x:c>
      <x:c r="H229" s="8" t="n">
        <x:v>369</x:v>
      </x:c>
    </x:row>
    <x:row r="230">
      <x:c r="A230" s="2" t="str">
        <x:v>331313</x:v>
      </x:c>
      <x:c r="B230" s="2" t="str">
        <x:v>Alumina Refining and Primary Aluminum Production</x:v>
      </x:c>
      <x:c r="C230" s="8" t="n">
        <x:v>181</x:v>
      </x:c>
      <x:c r="D230" s="8" t="n">
        <x:v>188</x:v>
      </x:c>
      <x:c r="E230" s="8" t="n">
        <x:v>80</x:v>
      </x:c>
      <x:c r="F230" s="8" t="n">
        <x:v>180</x:v>
      </x:c>
      <x:c r="G230" s="8" t="n">
        <x:v>165</x:v>
      </x:c>
      <x:c r="H230" s="8" t="n">
        <x:v>107</x:v>
      </x:c>
    </x:row>
    <x:row r="231">
      <x:c r="A231" s="2" t="str">
        <x:v>331314</x:v>
      </x:c>
      <x:c r="B231" s="2" t="str">
        <x:v>Secondary Smelting and Alloying of Aluminum</x:v>
      </x:c>
      <x:c r="C231" s="8" t="n">
        <x:v>321</x:v>
      </x:c>
      <x:c r="D231" s="8" t="n">
        <x:v>303</x:v>
      </x:c>
      <x:c r="E231" s="8" t="n">
        <x:v>373</x:v>
      </x:c>
      <x:c r="F231" s="8" t="n">
        <x:v>301</x:v>
      </x:c>
      <x:c r="G231" s="8" t="n">
        <x:v>295</x:v>
      </x:c>
      <x:c r="H231" s="8" t="n">
        <x:v>534</x:v>
      </x:c>
    </x:row>
    <x:row r="232">
      <x:c r="A232" s="2" t="str">
        <x:v>331315</x:v>
      </x:c>
      <x:c r="B232" s="2" t="str">
        <x:v>Aluminum Sheet, Plate, and Foil Manufacturing</x:v>
      </x:c>
      <x:c r="C232" s="8" t="n">
        <x:v>217</x:v>
      </x:c>
      <x:c r="D232" s="8" t="n">
        <x:v>227</x:v>
      </x:c>
      <x:c r="E232" s="8" t="n">
        <x:v>216</x:v>
      </x:c>
      <x:c r="F232" s="8" t="n">
        <x:v>302</x:v>
      </x:c>
      <x:c r="G232" s="8" t="n">
        <x:v>315</x:v>
      </x:c>
      <x:c r="H232" s="8" t="n">
        <x:v>309</x:v>
      </x:c>
    </x:row>
    <x:row r="233">
      <x:c r="A233" s="2" t="str">
        <x:v>331318</x:v>
      </x:c>
      <x:c r="B233" s="2" t="str">
        <x:v>Other Aluminum Rolling, Drawing, and Extruding</x:v>
      </x:c>
      <x:c r="C233" s="8" t="n">
        <x:v>3076</x:v>
      </x:c>
      <x:c r="D233" s="8" t="n">
        <x:v>2665</x:v>
      </x:c>
      <x:c r="E233" s="8" t="n">
        <x:v>2836</x:v>
      </x:c>
      <x:c r="F233" s="8" t="n">
        <x:v>2563</x:v>
      </x:c>
      <x:c r="G233" s="8" t="n">
        <x:v>2537</x:v>
      </x:c>
      <x:c r="H233" s="8" t="n">
        <x:v>2175</x:v>
      </x:c>
    </x:row>
    <x:row r="234">
      <x:c r="A234" s="2" t="str">
        <x:v>331410</x:v>
      </x:c>
      <x:c r="B234" s="2" t="str">
        <x:v>Nonferrous Metal (except Aluminum) Smelting and Refining</x:v>
      </x:c>
      <x:c r="C234" s="8" t="n">
        <x:v>79</x:v>
      </x:c>
      <x:c r="D234" s="8" t="n">
        <x:v>81</x:v>
      </x:c>
      <x:c r="E234" s="8" t="n">
        <x:v>86</x:v>
      </x:c>
      <x:c r="F234" s="8" t="n">
        <x:v>57</x:v>
      </x:c>
      <x:c r="G234" s="8" t="n">
        <x:v>81</x:v>
      </x:c>
      <x:c r="H234" s="8" t="n">
        <x:v>42</x:v>
      </x:c>
    </x:row>
    <x:row r="235">
      <x:c r="A235" s="2" t="str">
        <x:v>331420</x:v>
      </x:c>
      <x:c r="B235" s="2" t="str">
        <x:v>Copper Rolling, Drawing, Extruding, and Alloying</x:v>
      </x:c>
      <x:c r="C235" s="8" t="n">
        <x:v>480</x:v>
      </x:c>
      <x:c r="D235" s="8" t="n">
        <x:v>378</x:v>
      </x:c>
      <x:c r="E235" s="8" t="n">
        <x:v>366</x:v>
      </x:c>
      <x:c r="F235" s="8" t="n">
        <x:v>338</x:v>
      </x:c>
      <x:c r="G235" s="8" t="n">
        <x:v>251</x:v>
      </x:c>
      <x:c r="H235" s="8" t="n">
        <x:v>286</x:v>
      </x:c>
    </x:row>
    <x:row r="236">
      <x:c r="A236" s="2" t="str">
        <x:v>331491</x:v>
      </x:c>
      <x:c r="B236" s="2" t="str">
        <x:v>Nonferrous Metal (except Copper and Aluminum) Rolling, Drawing, and Extruding</x:v>
      </x:c>
      <x:c r="C236" s="8" t="n">
        <x:v>890</x:v>
      </x:c>
      <x:c r="D236" s="8" t="n">
        <x:v>1488</x:v>
      </x:c>
      <x:c r="E236" s="8" t="n">
        <x:v>1397</x:v>
      </x:c>
      <x:c r="F236" s="8" t="n">
        <x:v>1267</x:v>
      </x:c>
      <x:c r="G236" s="8" t="n">
        <x:v>1292</x:v>
      </x:c>
      <x:c r="H236" s="8" t="n">
        <x:v>778</x:v>
      </x:c>
    </x:row>
    <x:row r="237">
      <x:c r="A237" s="2" t="str">
        <x:v>331492</x:v>
      </x:c>
      <x:c r="B237" s="2" t="str">
        <x:v>Secondary Smelting, Refining, and Alloying of Nonferrous Metal (except Copper and Aluminum)</x:v>
      </x:c>
      <x:c r="C237" s="8" t="n">
        <x:v>856</x:v>
      </x:c>
      <x:c r="D237" s="8" t="n">
        <x:v>1035</x:v>
      </x:c>
      <x:c r="E237" s="8" t="n">
        <x:v>1077</x:v>
      </x:c>
      <x:c r="F237" s="8" t="n">
        <x:v>1048</x:v>
      </x:c>
      <x:c r="G237" s="8" t="n">
        <x:v>1148</x:v>
      </x:c>
      <x:c r="H237" s="8" t="n">
        <x:v>699</x:v>
      </x:c>
    </x:row>
    <x:row r="238">
      <x:c r="A238" s="2" t="str">
        <x:v>331511</x:v>
      </x:c>
      <x:c r="B238" s="2" t="str">
        <x:v>Iron Foundries</x:v>
      </x:c>
      <x:c r="C238" s="8" t="n">
        <x:v>775</x:v>
      </x:c>
      <x:c r="D238" s="8" t="n">
        <x:v>795</x:v>
      </x:c>
      <x:c r="E238" s="8" t="n">
        <x:v>831</x:v>
      </x:c>
      <x:c r="F238" s="8" t="n">
        <x:v>777</x:v>
      </x:c>
      <x:c r="G238" s="8" t="n">
        <x:v>572</x:v>
      </x:c>
      <x:c r="H238" s="8" t="n">
        <x:v>607</x:v>
      </x:c>
    </x:row>
    <x:row r="239">
      <x:c r="A239" s="2" t="str">
        <x:v>331512</x:v>
      </x:c>
      <x:c r="B239" s="2" t="str">
        <x:v>Steel Investment Foundries</x:v>
      </x:c>
      <x:c r="C239" s="8" t="n">
        <x:v>1350</x:v>
      </x:c>
      <x:c r="D239" s="8" t="n">
        <x:v>1410</x:v>
      </x:c>
      <x:c r="E239" s="8" t="n">
        <x:v>1434</x:v>
      </x:c>
      <x:c r="F239" s="8" t="n">
        <x:v>1244</x:v>
      </x:c>
      <x:c r="G239" s="8" t="n">
        <x:v>1095</x:v>
      </x:c>
      <x:c r="H239" s="8" t="n">
        <x:v>1084</x:v>
      </x:c>
    </x:row>
    <x:row r="240">
      <x:c r="A240" s="2" t="str">
        <x:v>331513</x:v>
      </x:c>
      <x:c r="B240" s="2" t="str">
        <x:v>Steel Foundries (except Investment)</x:v>
      </x:c>
      <x:c r="C240" s="8" t="n">
        <x:v>953</x:v>
      </x:c>
      <x:c r="D240" s="8" t="n">
        <x:v>940</x:v>
      </x:c>
      <x:c r="E240" s="8" t="n">
        <x:v>826</x:v>
      </x:c>
      <x:c r="F240" s="8" t="n">
        <x:v>756</x:v>
      </x:c>
      <x:c r="G240" s="8" t="n">
        <x:v>731</x:v>
      </x:c>
      <x:c r="H240" s="8" t="n">
        <x:v>722</x:v>
      </x:c>
    </x:row>
    <x:row r="241">
      <x:c r="A241" s="2" t="str">
        <x:v>331523</x:v>
      </x:c>
      <x:c r="B241" s="2" t="str">
        <x:v>Nonferrous Metal Die-Casting Foundries</x:v>
      </x:c>
      <x:c r="C241" s="8" t="n">
        <x:v>962</x:v>
      </x:c>
      <x:c r="D241" s="8" t="n">
        <x:v>930</x:v>
      </x:c>
      <x:c r="E241" s="8" t="n">
        <x:v>972</x:v>
      </x:c>
      <x:c r="F241" s="8" t="n">
        <x:v>772</x:v>
      </x:c>
      <x:c r="G241" s="8" t="n">
        <x:v>753</x:v>
      </x:c>
      <x:c r="H241" s="8" t="n">
        <x:v>673</x:v>
      </x:c>
    </x:row>
    <x:row r="242">
      <x:c r="A242" s="2" t="str">
        <x:v>331524</x:v>
      </x:c>
      <x:c r="B242" s="2" t="str">
        <x:v>Aluminum Foundries (except Die-Casting)</x:v>
      </x:c>
      <x:c r="C242" s="8" t="n">
        <x:v>1373</x:v>
      </x:c>
      <x:c r="D242" s="8" t="n">
        <x:v>1354</x:v>
      </x:c>
      <x:c r="E242" s="8" t="n">
        <x:v>1344</x:v>
      </x:c>
      <x:c r="F242" s="8" t="n">
        <x:v>1039</x:v>
      </x:c>
      <x:c r="G242" s="8" t="n">
        <x:v>948</x:v>
      </x:c>
      <x:c r="H242" s="8" t="n">
        <x:v>907</x:v>
      </x:c>
    </x:row>
    <x:row r="243">
      <x:c r="A243" s="2" t="str">
        <x:v>331529</x:v>
      </x:c>
      <x:c r="B243" s="2" t="str">
        <x:v>Other Nonferrous Metal Foundries (except Die-Casting)</x:v>
      </x:c>
      <x:c r="C243" s="8" t="n">
        <x:v>219</x:v>
      </x:c>
      <x:c r="D243" s="8" t="n">
        <x:v>228</x:v>
      </x:c>
      <x:c r="E243" s="8" t="n">
        <x:v>205</x:v>
      </x:c>
      <x:c r="F243" s="8" t="n">
        <x:v>327</x:v>
      </x:c>
      <x:c r="G243" s="8" t="n">
        <x:v>298</x:v>
      </x:c>
      <x:c r="H243" s="8" t="n">
        <x:v>293</x:v>
      </x:c>
    </x:row>
    <x:row r="244">
      <x:c r="A244" s="2" t="str">
        <x:v>332111</x:v>
      </x:c>
      <x:c r="B244" s="2" t="str">
        <x:v>Iron and Steel Forging</x:v>
      </x:c>
      <x:c r="C244" s="8" t="n">
        <x:v>1677</x:v>
      </x:c>
      <x:c r="D244" s="8" t="n">
        <x:v>1716</x:v>
      </x:c>
      <x:c r="E244" s="8" t="n">
        <x:v>1849</x:v>
      </x:c>
      <x:c r="F244" s="8" t="n">
        <x:v>1108</x:v>
      </x:c>
      <x:c r="G244" s="8" t="n">
        <x:v>1147</x:v>
      </x:c>
      <x:c r="H244" s="8" t="n">
        <x:v>1105</x:v>
      </x:c>
    </x:row>
    <x:row r="245">
      <x:c r="A245" s="2" t="str">
        <x:v>332112</x:v>
      </x:c>
      <x:c r="B245" s="2" t="str">
        <x:v>Nonferrous Forging</x:v>
      </x:c>
      <x:c r="C245" s="8" t="n">
        <x:v>2332</x:v>
      </x:c>
      <x:c r="D245" s="8" t="n">
        <x:v>2305</x:v>
      </x:c>
      <x:c r="E245" s="8" t="n">
        <x:v>2406</x:v>
      </x:c>
      <x:c r="F245" s="8" t="n">
        <x:v>1597</x:v>
      </x:c>
      <x:c r="G245" s="8" t="n">
        <x:v>1651</x:v>
      </x:c>
      <x:c r="H245" s="8" t="n">
        <x:v>1918</x:v>
      </x:c>
    </x:row>
    <x:row r="246">
      <x:c r="A246" s="2" t="str">
        <x:v>332114</x:v>
      </x:c>
      <x:c r="B246" s="2" t="str">
        <x:v>Custom Roll Forming</x:v>
      </x:c>
      <x:c r="C246" s="8" t="n">
        <x:v>1713</x:v>
      </x:c>
      <x:c r="D246" s="8" t="n">
        <x:v>1758</x:v>
      </x:c>
      <x:c r="E246" s="8" t="n">
        <x:v>1680</x:v>
      </x:c>
      <x:c r="F246" s="8" t="n">
        <x:v>1429</x:v>
      </x:c>
      <x:c r="G246" s="8" t="n">
        <x:v>613</x:v>
      </x:c>
      <x:c r="H246" s="8" t="n">
        <x:v>405</x:v>
      </x:c>
    </x:row>
    <x:row r="247">
      <x:c r="A247" s="2" t="str">
        <x:v>332117</x:v>
      </x:c>
      <x:c r="B247" s="2" t="str">
        <x:v>Powder Metallurgy Part Manufacturing</x:v>
      </x:c>
      <x:c r="C247" s="8" t="n">
        <x:v>211</x:v>
      </x:c>
      <x:c r="D247" s="8" t="n">
        <x:v>306</x:v>
      </x:c>
      <x:c r="E247" s="8" t="n">
        <x:v>320</x:v>
      </x:c>
      <x:c r="F247" s="8" t="n">
        <x:v>303</x:v>
      </x:c>
      <x:c r="G247" s="8" t="n">
        <x:v>289</x:v>
      </x:c>
      <x:c r="H247" s="8" t="n">
        <x:v>238</x:v>
      </x:c>
    </x:row>
    <x:row r="248">
      <x:c r="A248" s="2" t="str">
        <x:v>332119</x:v>
      </x:c>
      <x:c r="B248" s="2" t="str">
        <x:v>Metal Crown, Closure, and Other Metal Stamping (except Automotive)</x:v>
      </x:c>
      <x:c r="C248" s="8" t="n">
        <x:v>3860</x:v>
      </x:c>
      <x:c r="D248" s="8" t="n">
        <x:v>3400</x:v>
      </x:c>
      <x:c r="E248" s="8" t="n">
        <x:v>3258</x:v>
      </x:c>
      <x:c r="F248" s="8" t="n">
        <x:v>3098</x:v>
      </x:c>
      <x:c r="G248" s="8" t="n">
        <x:v>2926</x:v>
      </x:c>
      <x:c r="H248" s="8" t="n">
        <x:v>2634</x:v>
      </x:c>
    </x:row>
    <x:row r="249">
      <x:c r="A249" s="2" t="str">
        <x:v>332215</x:v>
      </x:c>
      <x:c r="B249" s="2" t="str">
        <x:v>Metal Kitchen Cookware, Utensil, Cutlery, and Flatware (except Precious) Manufacturing</x:v>
      </x:c>
      <x:c r="C249" s="8" t="n">
        <x:v>185</x:v>
      </x:c>
      <x:c r="D249" s="8" t="n">
        <x:v>237</x:v>
      </x:c>
      <x:c r="E249" s="8" t="n">
        <x:v>232</x:v>
      </x:c>
      <x:c r="F249" s="8" t="n">
        <x:v>369</x:v>
      </x:c>
      <x:c r="G249" s="8" t="n">
        <x:v>354</x:v>
      </x:c>
      <x:c r="H249" s="8" t="n">
        <x:v>286</x:v>
      </x:c>
    </x:row>
    <x:row r="250">
      <x:c r="A250" s="2" t="str">
        <x:v>332216</x:v>
      </x:c>
      <x:c r="B250" s="2" t="str">
        <x:v>Saw Blade and Handtool Manufacturing</x:v>
      </x:c>
      <x:c r="C250" s="8" t="n">
        <x:v>2224</x:v>
      </x:c>
      <x:c r="D250" s="8" t="n">
        <x:v>2066</x:v>
      </x:c>
      <x:c r="E250" s="8" t="n">
        <x:v>1821</x:v>
      </x:c>
      <x:c r="F250" s="8" t="n">
        <x:v>1563</x:v>
      </x:c>
      <x:c r="G250" s="8" t="n">
        <x:v>1397</x:v>
      </x:c>
      <x:c r="H250" s="8" t="n">
        <x:v>1008</x:v>
      </x:c>
    </x:row>
    <x:row r="251">
      <x:c r="A251" s="2" t="str">
        <x:v>332311</x:v>
      </x:c>
      <x:c r="B251" s="2" t="str">
        <x:v>Prefabricated Metal Building and Component Manufacturing</x:v>
      </x:c>
      <x:c r="C251" s="8" t="n">
        <x:v>1759</x:v>
      </x:c>
      <x:c r="D251" s="8" t="n">
        <x:v>1732</x:v>
      </x:c>
      <x:c r="E251" s="8" t="n">
        <x:v>1842</x:v>
      </x:c>
      <x:c r="F251" s="8" t="n">
        <x:v>2650</x:v>
      </x:c>
      <x:c r="G251" s="8" t="n">
        <x:v>2569</x:v>
      </x:c>
      <x:c r="H251" s="8" t="n">
        <x:v>2309</x:v>
      </x:c>
    </x:row>
    <x:row r="252">
      <x:c r="A252" s="2" t="str">
        <x:v>332312</x:v>
      </x:c>
      <x:c r="B252" s="2" t="str">
        <x:v>Fabricated Structural Metal Manufacturing</x:v>
      </x:c>
      <x:c r="C252" s="8" t="n">
        <x:v>5633</x:v>
      </x:c>
      <x:c r="D252" s="8" t="n">
        <x:v>6532</x:v>
      </x:c>
      <x:c r="E252" s="8" t="n">
        <x:v>6307</x:v>
      </x:c>
      <x:c r="F252" s="8" t="n">
        <x:v>5103</x:v>
      </x:c>
      <x:c r="G252" s="8" t="n">
        <x:v>4968</x:v>
      </x:c>
      <x:c r="H252" s="8" t="n">
        <x:v>4856</x:v>
      </x:c>
    </x:row>
    <x:row r="253">
      <x:c r="A253" s="2" t="str">
        <x:v>332313</x:v>
      </x:c>
      <x:c r="B253" s="2" t="str">
        <x:v>Plate Work Manufacturing</x:v>
      </x:c>
      <x:c r="C253" s="8" t="n">
        <x:v>1372</x:v>
      </x:c>
      <x:c r="D253" s="8" t="n">
        <x:v>1603</x:v>
      </x:c>
      <x:c r="E253" s="8" t="n">
        <x:v>1549</x:v>
      </x:c>
      <x:c r="F253" s="8" t="n">
        <x:v>1689</x:v>
      </x:c>
      <x:c r="G253" s="8" t="n">
        <x:v>2339</x:v>
      </x:c>
      <x:c r="H253" s="8" t="n">
        <x:v>2405</x:v>
      </x:c>
    </x:row>
    <x:row r="254">
      <x:c r="A254" s="2" t="str">
        <x:v>332321</x:v>
      </x:c>
      <x:c r="B254" s="2" t="str">
        <x:v>Metal Window and Door Manufacturing</x:v>
      </x:c>
      <x:c r="C254" s="8" t="n">
        <x:v>5513</x:v>
      </x:c>
      <x:c r="D254" s="8" t="n">
        <x:v>5959</x:v>
      </x:c>
      <x:c r="E254" s="8" t="n">
        <x:v>5950</x:v>
      </x:c>
      <x:c r="F254" s="8" t="n">
        <x:v>6019</x:v>
      </x:c>
      <x:c r="G254" s="8" t="n">
        <x:v>6103</x:v>
      </x:c>
      <x:c r="H254" s="8" t="n">
        <x:v>5371</x:v>
      </x:c>
    </x:row>
    <x:row r="255">
      <x:c r="A255" s="2" t="str">
        <x:v>332322</x:v>
      </x:c>
      <x:c r="B255" s="2" t="str">
        <x:v>Sheet Metal Work Manufacturing</x:v>
      </x:c>
      <x:c r="C255" s="8" t="n">
        <x:v>13490</x:v>
      </x:c>
      <x:c r="D255" s="8" t="n">
        <x:v>14374</x:v>
      </x:c>
      <x:c r="E255" s="8" t="n">
        <x:v>14081</x:v>
      </x:c>
      <x:c r="F255" s="8" t="n">
        <x:v>13829</x:v>
      </x:c>
      <x:c r="G255" s="8" t="n">
        <x:v>13583</x:v>
      </x:c>
      <x:c r="H255" s="8" t="n">
        <x:v>12881</x:v>
      </x:c>
    </x:row>
    <x:row r="256">
      <x:c r="A256" s="2" t="str">
        <x:v>332323</x:v>
      </x:c>
      <x:c r="B256" s="2" t="str">
        <x:v>Ornamental and Architectural Metal Work Manufacturing</x:v>
      </x:c>
      <x:c r="C256" s="8" t="n">
        <x:v>3314</x:v>
      </x:c>
      <x:c r="D256" s="8" t="n">
        <x:v>3637</x:v>
      </x:c>
      <x:c r="E256" s="8" t="n">
        <x:v>3732</x:v>
      </x:c>
      <x:c r="F256" s="8" t="n">
        <x:v>3574</x:v>
      </x:c>
      <x:c r="G256" s="8" t="n">
        <x:v>3590</x:v>
      </x:c>
      <x:c r="H256" s="8" t="n">
        <x:v>3545</x:v>
      </x:c>
    </x:row>
    <x:row r="257">
      <x:c r="A257" s="2" t="str">
        <x:v>332410</x:v>
      </x:c>
      <x:c r="B257" s="2" t="str">
        <x:v>Power Boiler and Heat Exchanger Manufacturing</x:v>
      </x:c>
      <x:c r="C257" s="8" t="n">
        <x:v>452</x:v>
      </x:c>
      <x:c r="D257" s="8" t="n">
        <x:v>399</x:v>
      </x:c>
      <x:c r="E257" s="8" t="n">
        <x:v>397</x:v>
      </x:c>
      <x:c r="F257" s="8" t="n">
        <x:v>380</x:v>
      </x:c>
      <x:c r="G257" s="8" t="n">
        <x:v>393</x:v>
      </x:c>
      <x:c r="H257" s="8" t="n">
        <x:v>337</x:v>
      </x:c>
    </x:row>
    <x:row r="258">
      <x:c r="A258" s="2" t="str">
        <x:v>332420</x:v>
      </x:c>
      <x:c r="B258" s="2" t="str">
        <x:v>Metal Tank (Heavy Gauge) Manufacturing</x:v>
      </x:c>
      <x:c r="C258" s="8" t="n">
        <x:v>1994</x:v>
      </x:c>
      <x:c r="D258" s="8" t="n">
        <x:v>2023</x:v>
      </x:c>
      <x:c r="E258" s="8" t="n">
        <x:v>2077</x:v>
      </x:c>
      <x:c r="F258" s="8" t="n">
        <x:v>2000</x:v>
      </x:c>
      <x:c r="G258" s="8" t="n">
        <x:v>2014</x:v>
      </x:c>
      <x:c r="H258" s="8" t="n">
        <x:v>2327</x:v>
      </x:c>
    </x:row>
    <x:row r="259">
      <x:c r="A259" s="2" t="str">
        <x:v>332431</x:v>
      </x:c>
      <x:c r="B259" s="2" t="str">
        <x:v>Metal Can Manufacturing</x:v>
      </x:c>
      <x:c r="C259" s="8" t="n">
        <x:v>1481</x:v>
      </x:c>
      <x:c r="D259" s="8" t="n">
        <x:v>1440</x:v>
      </x:c>
      <x:c r="E259" s="8" t="n">
        <x:v>1323</x:v>
      </x:c>
      <x:c r="F259" s="8" t="n">
        <x:v>1318</x:v>
      </x:c>
      <x:c r="G259" s="8" t="n">
        <x:v>1241</x:v>
      </x:c>
      <x:c r="H259" s="8" t="n">
        <x:v>1292</x:v>
      </x:c>
    </x:row>
    <x:row r="260">
      <x:c r="A260" s="2" t="str">
        <x:v>332439</x:v>
      </x:c>
      <x:c r="B260" s="2" t="str">
        <x:v>Other Metal Container Manufacturing</x:v>
      </x:c>
      <x:c r="C260" s="8" t="n">
        <x:v>863</x:v>
      </x:c>
      <x:c r="D260" s="8" t="n">
        <x:v>913</x:v>
      </x:c>
      <x:c r="E260" s="8" t="n">
        <x:v>966</x:v>
      </x:c>
      <x:c r="F260" s="8" t="n">
        <x:v>901</x:v>
      </x:c>
      <x:c r="G260" s="8" t="n">
        <x:v>929</x:v>
      </x:c>
      <x:c r="H260" s="8" t="n">
        <x:v>741</x:v>
      </x:c>
    </x:row>
    <x:row r="261">
      <x:c r="A261" s="2" t="str">
        <x:v>332510</x:v>
      </x:c>
      <x:c r="B261" s="2" t="str">
        <x:v>Hardware Manufacturing</x:v>
      </x:c>
      <x:c r="C261" s="8" t="n">
        <x:v>1733</x:v>
      </x:c>
      <x:c r="D261" s="8" t="n">
        <x:v>1760</x:v>
      </x:c>
      <x:c r="E261" s="8" t="n">
        <x:v>1718</x:v>
      </x:c>
      <x:c r="F261" s="8" t="n">
        <x:v>1551</x:v>
      </x:c>
      <x:c r="G261" s="8" t="n">
        <x:v>1580</x:v>
      </x:c>
      <x:c r="H261" s="8" t="n">
        <x:v>995</x:v>
      </x:c>
    </x:row>
    <x:row r="262">
      <x:c r="A262" s="2" t="str">
        <x:v>332613</x:v>
      </x:c>
      <x:c r="B262" s="2" t="str">
        <x:v>Spring Manufacturing</x:v>
      </x:c>
      <x:c r="C262" s="8" t="n">
        <x:v>1794</x:v>
      </x:c>
      <x:c r="D262" s="8" t="n">
        <x:v>1896</x:v>
      </x:c>
      <x:c r="E262" s="8" t="n">
        <x:v>2115</x:v>
      </x:c>
      <x:c r="F262" s="8" t="n">
        <x:v>1497</x:v>
      </x:c>
      <x:c r="G262" s="8" t="n">
        <x:v>1353</x:v>
      </x:c>
      <x:c r="H262" s="8" t="n">
        <x:v>857</x:v>
      </x:c>
    </x:row>
    <x:row r="263">
      <x:c r="A263" s="2" t="str">
        <x:v>332618</x:v>
      </x:c>
      <x:c r="B263" s="2" t="str">
        <x:v>Other Fabricated Wire Product Manufacturing</x:v>
      </x:c>
      <x:c r="C263" s="8" t="n">
        <x:v>1099</x:v>
      </x:c>
      <x:c r="D263" s="8" t="n">
        <x:v>1088</x:v>
      </x:c>
      <x:c r="E263" s="8" t="n">
        <x:v>1124</x:v>
      </x:c>
      <x:c r="F263" s="8" t="n">
        <x:v>1121</x:v>
      </x:c>
      <x:c r="G263" s="8" t="n">
        <x:v>1030</x:v>
      </x:c>
      <x:c r="H263" s="8" t="n">
        <x:v>917</x:v>
      </x:c>
    </x:row>
    <x:row r="264">
      <x:c r="A264" s="2" t="str">
        <x:v>332710</x:v>
      </x:c>
      <x:c r="B264" s="2" t="str">
        <x:v>Machine Shops</x:v>
      </x:c>
      <x:c r="C264" s="8" t="n">
        <x:v>31405</x:v>
      </x:c>
      <x:c r="D264" s="8" t="n">
        <x:v>31695</x:v>
      </x:c>
      <x:c r="E264" s="8" t="n">
        <x:v>31930</x:v>
      </x:c>
      <x:c r="F264" s="8" t="n">
        <x:v>29616</x:v>
      </x:c>
      <x:c r="G264" s="8" t="n">
        <x:v>29479</x:v>
      </x:c>
      <x:c r="H264" s="8" t="n">
        <x:v>28703</x:v>
      </x:c>
    </x:row>
    <x:row r="265">
      <x:c r="A265" s="2" t="str">
        <x:v>332721</x:v>
      </x:c>
      <x:c r="B265" s="2" t="str">
        <x:v>Precision Turned Product Manufacturing</x:v>
      </x:c>
      <x:c r="C265" s="8" t="n">
        <x:v>2940</x:v>
      </x:c>
      <x:c r="D265" s="8" t="n">
        <x:v>2813</x:v>
      </x:c>
      <x:c r="E265" s="8" t="n">
        <x:v>2953</x:v>
      </x:c>
      <x:c r="F265" s="8" t="n">
        <x:v>2715</x:v>
      </x:c>
      <x:c r="G265" s="8" t="n">
        <x:v>3039</x:v>
      </x:c>
      <x:c r="H265" s="8" t="n">
        <x:v>3620</x:v>
      </x:c>
    </x:row>
    <x:row r="266">
      <x:c r="A266" s="2" t="str">
        <x:v>332722</x:v>
      </x:c>
      <x:c r="B266" s="2" t="str">
        <x:v>Bolt, Nut, Screw, Rivet, and Washer Manufacturing</x:v>
      </x:c>
      <x:c r="C266" s="8" t="n">
        <x:v>8369</x:v>
      </x:c>
      <x:c r="D266" s="8" t="n">
        <x:v>8258</x:v>
      </x:c>
      <x:c r="E266" s="8" t="n">
        <x:v>8740</x:v>
      </x:c>
      <x:c r="F266" s="8" t="n">
        <x:v>6274</x:v>
      </x:c>
      <x:c r="G266" s="8" t="n">
        <x:v>6692</x:v>
      </x:c>
      <x:c r="H266" s="8" t="n">
        <x:v>7008</x:v>
      </x:c>
    </x:row>
    <x:row r="267">
      <x:c r="A267" s="2" t="str">
        <x:v>332811</x:v>
      </x:c>
      <x:c r="B267" s="2" t="str">
        <x:v>Metal Heat Treating</x:v>
      </x:c>
      <x:c r="C267" s="8" t="n">
        <x:v>1730</x:v>
      </x:c>
      <x:c r="D267" s="8" t="n">
        <x:v>1801</x:v>
      </x:c>
      <x:c r="E267" s="8" t="n">
        <x:v>1710</x:v>
      </x:c>
      <x:c r="F267" s="8" t="n">
        <x:v>1449</x:v>
      </x:c>
      <x:c r="G267" s="8" t="n">
        <x:v>1463</x:v>
      </x:c>
      <x:c r="H267" s="8" t="n">
        <x:v>1418</x:v>
      </x:c>
    </x:row>
    <x:row r="268">
      <x:c r="A268" s="2" t="str">
        <x:v>332812</x:v>
      </x:c>
      <x:c r="B268" s="2" t="str">
        <x:v>Metal Coating, Engraving (except Jewelry and Silverware), and Allied Services to Manufacturers</x:v>
      </x:c>
      <x:c r="C268" s="8" t="n">
        <x:v>5255</x:v>
      </x:c>
      <x:c r="D268" s="8" t="n">
        <x:v>5455</x:v>
      </x:c>
      <x:c r="E268" s="8" t="n">
        <x:v>5608</x:v>
      </x:c>
      <x:c r="F268" s="8" t="n">
        <x:v>5257</x:v>
      </x:c>
      <x:c r="G268" s="8" t="n">
        <x:v>5421</x:v>
      </x:c>
      <x:c r="H268" s="8" t="n">
        <x:v>5122</x:v>
      </x:c>
    </x:row>
    <x:row r="269">
      <x:c r="A269" s="2" t="str">
        <x:v>332813</x:v>
      </x:c>
      <x:c r="B269" s="2" t="str">
        <x:v>Electroplating, Plating, Polishing, Anodizing, and Coloring</x:v>
      </x:c>
      <x:c r="C269" s="8" t="n">
        <x:v>9213</x:v>
      </x:c>
      <x:c r="D269" s="8" t="n">
        <x:v>9352</x:v>
      </x:c>
      <x:c r="E269" s="8" t="n">
        <x:v>9279</x:v>
      </x:c>
      <x:c r="F269" s="8" t="n">
        <x:v>8423</x:v>
      </x:c>
      <x:c r="G269" s="8" t="n">
        <x:v>8285</x:v>
      </x:c>
      <x:c r="H269" s="8" t="n">
        <x:v>7985</x:v>
      </x:c>
    </x:row>
    <x:row r="270">
      <x:c r="A270" s="2" t="str">
        <x:v>332911</x:v>
      </x:c>
      <x:c r="B270" s="2" t="str">
        <x:v>Industrial Valve Manufacturing</x:v>
      </x:c>
      <x:c r="C270" s="8" t="n">
        <x:v>1476</x:v>
      </x:c>
      <x:c r="D270" s="8" t="n">
        <x:v>1494</x:v>
      </x:c>
      <x:c r="E270" s="8" t="n">
        <x:v>1668</x:v>
      </x:c>
      <x:c r="F270" s="8" t="n">
        <x:v>1487</x:v>
      </x:c>
      <x:c r="G270" s="8" t="n">
        <x:v>1548</x:v>
      </x:c>
      <x:c r="H270" s="8" t="n">
        <x:v>1695</x:v>
      </x:c>
    </x:row>
    <x:row r="271">
      <x:c r="A271" s="2" t="str">
        <x:v>332912</x:v>
      </x:c>
      <x:c r="B271" s="2" t="str">
        <x:v>Fluid Power Valve and Hose Fitting Manufacturing</x:v>
      </x:c>
      <x:c r="C271" s="8" t="n">
        <x:v>4753</x:v>
      </x:c>
      <x:c r="D271" s="8" t="n">
        <x:v>4783</x:v>
      </x:c>
      <x:c r="E271" s="8" t="n">
        <x:v>4939</x:v>
      </x:c>
      <x:c r="F271" s="8" t="n">
        <x:v>4076</x:v>
      </x:c>
      <x:c r="G271" s="8" t="n">
        <x:v>4255</x:v>
      </x:c>
      <x:c r="H271" s="8" t="n">
        <x:v>4565</x:v>
      </x:c>
    </x:row>
    <x:row r="272">
      <x:c r="A272" s="2" t="str">
        <x:v>332913</x:v>
      </x:c>
      <x:c r="B272" s="2" t="str">
        <x:v>Plumbing Fixture Fitting and Trim Manufacturing</x:v>
      </x:c>
      <x:c r="C272" s="8" t="n">
        <x:v>1413</x:v>
      </x:c>
      <x:c r="D272" s="8" t="n">
        <x:v>1450</x:v>
      </x:c>
      <x:c r="E272" s="8" t="n">
        <x:v>1397</x:v>
      </x:c>
      <x:c r="F272" s="8" t="n">
        <x:v>1541</x:v>
      </x:c>
      <x:c r="G272" s="8" t="n">
        <x:v>1559</x:v>
      </x:c>
      <x:c r="H272" s="8" t="n">
        <x:v>1315</x:v>
      </x:c>
    </x:row>
    <x:row r="273">
      <x:c r="A273" s="2" t="str">
        <x:v>332919</x:v>
      </x:c>
      <x:c r="B273" s="2" t="str">
        <x:v>Other Metal Valve and Pipe Fitting Manufacturing</x:v>
      </x:c>
      <x:c r="C273" s="8" t="n">
        <x:v>710</x:v>
      </x:c>
      <x:c r="D273" s="8" t="n">
        <x:v>745</x:v>
      </x:c>
      <x:c r="E273" s="8" t="n">
        <x:v>769</x:v>
      </x:c>
      <x:c r="F273" s="8" t="n">
        <x:v>770</x:v>
      </x:c>
      <x:c r="G273" s="8" t="n">
        <x:v>775</x:v>
      </x:c>
      <x:c r="H273" s="8" t="n">
        <x:v>706</x:v>
      </x:c>
    </x:row>
    <x:row r="274">
      <x:c r="A274" s="2" t="str">
        <x:v>332991</x:v>
      </x:c>
      <x:c r="B274" s="2" t="str">
        <x:v>Ball and Roller Bearing Manufacturing</x:v>
      </x:c>
      <x:c r="C274" s="8" t="n">
        <x:v>1078</x:v>
      </x:c>
      <x:c r="D274" s="8" t="n">
        <x:v>1188</x:v>
      </x:c>
      <x:c r="E274" s="8" t="n">
        <x:v>1228</x:v>
      </x:c>
      <x:c r="F274" s="8" t="n">
        <x:v>1180</x:v>
      </x:c>
      <x:c r="G274" s="8" t="n">
        <x:v>1224</x:v>
      </x:c>
      <x:c r="H274" s="8" t="n">
        <x:v>1301</x:v>
      </x:c>
    </x:row>
    <x:row r="275">
      <x:c r="A275" s="2" t="str">
        <x:v>332994</x:v>
      </x:c>
      <x:c r="B275" s="2" t="str">
        <x:v>Small Arms, Ordnance, and Ordnance Accessories Manufacturing</x:v>
      </x:c>
      <x:c r="C275" s="8" t="n">
        <x:v>831</x:v>
      </x:c>
      <x:c r="D275" s="8" t="n">
        <x:v>811</x:v>
      </x:c>
      <x:c r="E275" s="8" t="n">
        <x:v>426</x:v>
      </x:c>
      <x:c r="F275" s="8" t="n">
        <x:v>493</x:v>
      </x:c>
      <x:c r="G275" s="8" t="n">
        <x:v>523</x:v>
      </x:c>
      <x:c r="H275" s="8" t="n">
        <x:v>512</x:v>
      </x:c>
    </x:row>
    <x:row r="276">
      <x:c r="A276" s="2" t="str">
        <x:v>332996</x:v>
      </x:c>
      <x:c r="B276" s="2" t="str">
        <x:v>Fabricated Pipe and Pipe Fitting Manufacturing</x:v>
      </x:c>
      <x:c r="C276" s="8" t="n">
        <x:v>1389</x:v>
      </x:c>
      <x:c r="D276" s="8" t="n">
        <x:v>1366</x:v>
      </x:c>
      <x:c r="E276" s="8" t="n">
        <x:v>1416</x:v>
      </x:c>
      <x:c r="F276" s="8" t="n">
        <x:v>1273</x:v>
      </x:c>
      <x:c r="G276" s="8" t="n">
        <x:v>1258</x:v>
      </x:c>
      <x:c r="H276" s="8" t="n">
        <x:v>1296</x:v>
      </x:c>
    </x:row>
    <x:row r="277">
      <x:c r="A277" s="2" t="str">
        <x:v>332999</x:v>
      </x:c>
      <x:c r="B277" s="2" t="str">
        <x:v>All Other Miscellaneous Fabricated Metal Product Manufacturing</x:v>
      </x:c>
      <x:c r="C277" s="8" t="n">
        <x:v>5902</x:v>
      </x:c>
      <x:c r="D277" s="8" t="n">
        <x:v>5848</x:v>
      </x:c>
      <x:c r="E277" s="8" t="n">
        <x:v>5764</x:v>
      </x:c>
      <x:c r="F277" s="8" t="n">
        <x:v>5279</x:v>
      </x:c>
      <x:c r="G277" s="8" t="n">
        <x:v>5216</x:v>
      </x:c>
      <x:c r="H277" s="8" t="n">
        <x:v>5247</x:v>
      </x:c>
    </x:row>
    <x:row r="278">
      <x:c r="A278" s="2" t="str">
        <x:v>333111</x:v>
      </x:c>
      <x:c r="B278" s="2" t="str">
        <x:v>Farm Machinery and Equipment Manufacturing</x:v>
      </x:c>
      <x:c r="C278" s="8" t="n">
        <x:v>3796</x:v>
      </x:c>
      <x:c r="D278" s="8" t="n">
        <x:v>4035</x:v>
      </x:c>
      <x:c r="E278" s="8" t="n">
        <x:v>4036</x:v>
      </x:c>
      <x:c r="F278" s="8" t="n">
        <x:v>4585</x:v>
      </x:c>
      <x:c r="G278" s="8" t="n">
        <x:v>4670</x:v>
      </x:c>
      <x:c r="H278" s="8" t="n">
        <x:v>3160</x:v>
      </x:c>
    </x:row>
    <x:row r="279">
      <x:c r="A279" s="2" t="str">
        <x:v>333112</x:v>
      </x:c>
      <x:c r="B279" s="2" t="str">
        <x:v>Lawn and Garden Tractor and Home Lawn and Garden Equipment Manufacturing</x:v>
      </x:c>
      <x:c r="C279" s="8" t="n">
        <x:v>96</x:v>
      </x:c>
      <x:c r="D279" s="8" t="n">
        <x:v>99</x:v>
      </x:c>
      <x:c r="E279" s="8" t="n">
        <x:v>96</x:v>
      </x:c>
      <x:c r="F279" s="8" t="n">
        <x:v>55</x:v>
      </x:c>
      <x:c r="G279" s="8" t="n">
        <x:v>59</x:v>
      </x:c>
      <x:c r="H279" s="8" t="n">
        <x:v>39</x:v>
      </x:c>
    </x:row>
    <x:row r="280">
      <x:c r="A280" s="2" t="str">
        <x:v>333120</x:v>
      </x:c>
      <x:c r="B280" s="2" t="str">
        <x:v>Construction Machinery Manufacturing</x:v>
      </x:c>
      <x:c r="C280" s="8" t="n">
        <x:v>723</x:v>
      </x:c>
      <x:c r="D280" s="8" t="n">
        <x:v>770</x:v>
      </x:c>
      <x:c r="E280" s="8" t="n">
        <x:v>738</x:v>
      </x:c>
      <x:c r="F280" s="8" t="n">
        <x:v>873</x:v>
      </x:c>
      <x:c r="G280" s="8" t="n">
        <x:v>875</x:v>
      </x:c>
      <x:c r="H280" s="8" t="n">
        <x:v>773</x:v>
      </x:c>
    </x:row>
    <x:row r="281">
      <x:c r="A281" s="2" t="str">
        <x:v>333131</x:v>
      </x:c>
      <x:c r="B281" s="2" t="str">
        <x:v>Mining Machinery and Equipment Manufacturing</x:v>
      </x:c>
      <x:c r="C281" s="8" t="n">
        <x:v>97</x:v>
      </x:c>
      <x:c r="D281" s="8" t="n">
        <x:v>117</x:v>
      </x:c>
      <x:c r="E281" s="8" t="n">
        <x:v>114</x:v>
      </x:c>
      <x:c r="F281" s="8" t="n">
        <x:v>71</x:v>
      </x:c>
      <x:c r="G281" s="8" t="n">
        <x:v>78</x:v>
      </x:c>
      <x:c r="H281" s="8" t="n">
        <x:v>40</x:v>
      </x:c>
    </x:row>
    <x:row r="282">
      <x:c r="A282" s="2" t="str">
        <x:v>333132</x:v>
      </x:c>
      <x:c r="B282" s="2" t="str">
        <x:v>Oil and Gas Field Machinery and Equipment Manufacturing</x:v>
      </x:c>
      <x:c r="C282" s="8" t="n">
        <x:v>1292</x:v>
      </x:c>
      <x:c r="D282" s="8" t="n">
        <x:v>1345</x:v>
      </x:c>
      <x:c r="E282" s="8" t="n">
        <x:v>1420</x:v>
      </x:c>
      <x:c r="F282" s="8" t="n">
        <x:v>892</x:v>
      </x:c>
      <x:c r="G282" s="8" t="n">
        <x:v>835</x:v>
      </x:c>
      <x:c r="H282" s="8" t="n">
        <x:v>525</x:v>
      </x:c>
    </x:row>
    <x:row r="283">
      <x:c r="A283" s="2" t="str">
        <x:v>333241</x:v>
      </x:c>
      <x:c r="B283" s="2" t="str">
        <x:v>Food Product Machinery Manufacturing</x:v>
      </x:c>
      <x:c r="C283" s="8" t="n">
        <x:v>2092</x:v>
      </x:c>
      <x:c r="D283" s="8" t="n">
        <x:v>2174</x:v>
      </x:c>
      <x:c r="E283" s="8" t="n">
        <x:v>2319</x:v>
      </x:c>
      <x:c r="F283" s="8" t="n">
        <x:v>2129</x:v>
      </x:c>
      <x:c r="G283" s="8" t="n">
        <x:v>2290</x:v>
      </x:c>
      <x:c r="H283" s="8" t="n">
        <x:v>2040</x:v>
      </x:c>
    </x:row>
    <x:row r="284">
      <x:c r="A284" s="2" t="str">
        <x:v>333242</x:v>
      </x:c>
      <x:c r="B284" s="2" t="str">
        <x:v>Semiconductor Machinery Manufacturing</x:v>
      </x:c>
      <x:c r="C284" s="8" t="n">
        <x:v>9710</x:v>
      </x:c>
      <x:c r="D284" s="8" t="n">
        <x:v>11669</x:v>
      </x:c>
      <x:c r="E284" s="8" t="n">
        <x:v>12288</x:v>
      </x:c>
      <x:c r="F284" s="8" t="n">
        <x:v>13974</x:v>
      </x:c>
      <x:c r="G284" s="8" t="n">
        <x:v>14580</x:v>
      </x:c>
      <x:c r="H284" s="8" t="n">
        <x:v>13618</x:v>
      </x:c>
    </x:row>
    <x:row r="285">
      <x:c r="A285" s="2" t="str">
        <x:v>333243</x:v>
      </x:c>
      <x:c r="B285" s="2" t="str">
        <x:v>Sawmill, Woodworking, and Paper Machinery Manufacturing</x:v>
      </x:c>
      <x:c r="C285" s="8" t="n">
        <x:v>355</x:v>
      </x:c>
      <x:c r="D285" s="8" t="n">
        <x:v>426</x:v>
      </x:c>
      <x:c r="E285" s="8" t="n">
        <x:v>410</x:v>
      </x:c>
      <x:c r="F285" s="8" t="n">
        <x:v>402</x:v>
      </x:c>
      <x:c r="G285" s="8" t="n">
        <x:v>395</x:v>
      </x:c>
      <x:c r="H285" s="8" t="n">
        <x:v>284</x:v>
      </x:c>
    </x:row>
    <x:row r="286">
      <x:c r="A286" s="2" t="str">
        <x:v>333248</x:v>
      </x:c>
      <x:c r="B286" s="2" t="str">
        <x:v>All Other Industrial Machinery Manufacturing</x:v>
      </x:c>
      <x:c r="C286" s="8" t="n">
        <x:v>5253</x:v>
      </x:c>
      <x:c r="D286" s="8" t="n">
        <x:v>5785</x:v>
      </x:c>
      <x:c r="E286" s="8" t="n">
        <x:v>6090</x:v>
      </x:c>
      <x:c r="F286" s="8" t="n">
        <x:v>5909</x:v>
      </x:c>
      <x:c r="G286" s="8" t="n">
        <x:v>6236</x:v>
      </x:c>
      <x:c r="H286" s="8" t="n">
        <x:v>4983</x:v>
      </x:c>
    </x:row>
    <x:row r="287">
      <x:c r="A287" s="2" t="str">
        <x:v>333310</x:v>
      </x:c>
      <x:c r="B287" s="2" t="str">
        <x:v>Commercial and Service Industry Machinery Manufacturing</x:v>
      </x:c>
      <x:c r="C287" s="8" t="n">
        <x:v>12238</x:v>
      </x:c>
      <x:c r="D287" s="8" t="n">
        <x:v>11864</x:v>
      </x:c>
      <x:c r="E287" s="8" t="n">
        <x:v>11757</x:v>
      </x:c>
      <x:c r="F287" s="8" t="n">
        <x:v>10378</x:v>
      </x:c>
      <x:c r="G287" s="8" t="n">
        <x:v>10645</x:v>
      </x:c>
      <x:c r="H287" s="8" t="n">
        <x:v>9313</x:v>
      </x:c>
    </x:row>
    <x:row r="288">
      <x:c r="A288" s="2" t="str">
        <x:v>333413</x:v>
      </x:c>
      <x:c r="B288" s="2" t="str">
        <x:v>Industrial and Commercial Fan and Blower and Air Purification Equipment Manufacturing</x:v>
      </x:c>
      <x:c r="C288" s="8" t="n">
        <x:v>1111</x:v>
      </x:c>
      <x:c r="D288" s="8" t="n">
        <x:v>1170</x:v>
      </x:c>
      <x:c r="E288" s="8" t="n">
        <x:v>1262</x:v>
      </x:c>
      <x:c r="F288" s="8" t="n">
        <x:v>1347</x:v>
      </x:c>
      <x:c r="G288" s="8" t="n">
        <x:v>1270</x:v>
      </x:c>
      <x:c r="H288" s="8" t="n">
        <x:v>1181</x:v>
      </x:c>
    </x:row>
    <x:row r="289">
      <x:c r="A289" s="2" t="str">
        <x:v>333414</x:v>
      </x:c>
      <x:c r="B289" s="2" t="str">
        <x:v>Heating Equipment (except Warm Air Furnaces) Manufacturing</x:v>
      </x:c>
      <x:c r="C289" s="8" t="n">
        <x:v>1125</x:v>
      </x:c>
      <x:c r="D289" s="8" t="n">
        <x:v>1126</x:v>
      </x:c>
      <x:c r="E289" s="8" t="n">
        <x:v>1125</x:v>
      </x:c>
      <x:c r="F289" s="8" t="n">
        <x:v>1140</x:v>
      </x:c>
      <x:c r="G289" s="8" t="n">
        <x:v>1068</x:v>
      </x:c>
      <x:c r="H289" s="8" t="n">
        <x:v>761</x:v>
      </x:c>
    </x:row>
    <x:row r="290">
      <x:c r="A290" s="2" t="str">
        <x:v>333415</x:v>
      </x:c>
      <x:c r="B290" s="2" t="str">
        <x:v>Air-Conditioning and Warm Air Heating Equipment and Commercial and Industrial Refrigeration Equipment Manufacturing</x:v>
      </x:c>
      <x:c r="C290" s="8" t="n">
        <x:v>2974</x:v>
      </x:c>
      <x:c r="D290" s="8" t="n">
        <x:v>2823</x:v>
      </x:c>
      <x:c r="E290" s="8" t="n">
        <x:v>2859</x:v>
      </x:c>
      <x:c r="F290" s="8" t="n">
        <x:v>2596</x:v>
      </x:c>
      <x:c r="G290" s="8" t="n">
        <x:v>2627</x:v>
      </x:c>
      <x:c r="H290" s="8" t="n">
        <x:v>2424</x:v>
      </x:c>
    </x:row>
    <x:row r="291">
      <x:c r="A291" s="2" t="str">
        <x:v>333511</x:v>
      </x:c>
      <x:c r="B291" s="2" t="str">
        <x:v>Industrial Mold Manufacturing</x:v>
      </x:c>
      <x:c r="C291" s="8" t="n">
        <x:v>1936</x:v>
      </x:c>
      <x:c r="D291" s="8" t="n">
        <x:v>1905</x:v>
      </x:c>
      <x:c r="E291" s="8" t="n">
        <x:v>2052</x:v>
      </x:c>
      <x:c r="F291" s="8" t="n">
        <x:v>1828</x:v>
      </x:c>
      <x:c r="G291" s="8" t="n">
        <x:v>1744</x:v>
      </x:c>
      <x:c r="H291" s="8" t="n">
        <x:v>1355</x:v>
      </x:c>
    </x:row>
    <x:row r="292">
      <x:c r="A292" s="2" t="str">
        <x:v>333514</x:v>
      </x:c>
      <x:c r="B292" s="2" t="str">
        <x:v>Special Die and Tool, Die Set, Jig, and Fixture Manufacturing</x:v>
      </x:c>
      <x:c r="C292" s="8" t="n">
        <x:v>2607</x:v>
      </x:c>
      <x:c r="D292" s="8" t="n">
        <x:v>2651</x:v>
      </x:c>
      <x:c r="E292" s="8" t="n">
        <x:v>2529</x:v>
      </x:c>
      <x:c r="F292" s="8" t="n">
        <x:v>2303</x:v>
      </x:c>
      <x:c r="G292" s="8" t="n">
        <x:v>2034</x:v>
      </x:c>
      <x:c r="H292" s="8" t="n">
        <x:v>1738</x:v>
      </x:c>
    </x:row>
    <x:row r="293">
      <x:c r="A293" s="2" t="str">
        <x:v>333515</x:v>
      </x:c>
      <x:c r="B293" s="2" t="str">
        <x:v>Cutting Tool and Machine Tool Accessory Manufacturing</x:v>
      </x:c>
      <x:c r="C293" s="8" t="n">
        <x:v>1609</x:v>
      </x:c>
      <x:c r="D293" s="8" t="n">
        <x:v>1459</x:v>
      </x:c>
      <x:c r="E293" s="8" t="n">
        <x:v>1660</x:v>
      </x:c>
      <x:c r="F293" s="8" t="n">
        <x:v>1311</x:v>
      </x:c>
      <x:c r="G293" s="8" t="n">
        <x:v>1245</x:v>
      </x:c>
      <x:c r="H293" s="8" t="n">
        <x:v>1074</x:v>
      </x:c>
    </x:row>
    <x:row r="294">
      <x:c r="A294" s="2" t="str">
        <x:v>333517</x:v>
      </x:c>
      <x:c r="B294" s="2" t="str">
        <x:v>Machine Tool Manufacturing</x:v>
      </x:c>
      <x:c r="C294" s="8" t="n">
        <x:v>5181</x:v>
      </x:c>
      <x:c r="D294" s="8" t="n">
        <x:v>5327</x:v>
      </x:c>
      <x:c r="E294" s="8" t="n">
        <x:v>5566</x:v>
      </x:c>
      <x:c r="F294" s="8" t="n">
        <x:v>4990</x:v>
      </x:c>
      <x:c r="G294" s="8" t="n">
        <x:v>4635</x:v>
      </x:c>
      <x:c r="H294" s="8" t="n">
        <x:v>4270</x:v>
      </x:c>
    </x:row>
    <x:row r="295">
      <x:c r="A295" s="2" t="str">
        <x:v>333519</x:v>
      </x:c>
      <x:c r="B295" s="2" t="str">
        <x:v>Rolling Mill and Other Metalworking Machinery Manufacturing</x:v>
      </x:c>
      <x:c r="C295" s="8" t="n">
        <x:v>642</x:v>
      </x:c>
      <x:c r="D295" s="8" t="n">
        <x:v>581</x:v>
      </x:c>
      <x:c r="E295" s="8" t="n">
        <x:v>542</x:v>
      </x:c>
      <x:c r="F295" s="8" t="n">
        <x:v>488</x:v>
      </x:c>
      <x:c r="G295" s="8" t="n">
        <x:v>286</x:v>
      </x:c>
      <x:c r="H295" s="8" t="n">
        <x:v>177</x:v>
      </x:c>
    </x:row>
    <x:row r="296">
      <x:c r="A296" s="2" t="str">
        <x:v>333611</x:v>
      </x:c>
      <x:c r="B296" s="2" t="str">
        <x:v>Turbine and Turbine Generator Set Units Manufacturing</x:v>
      </x:c>
      <x:c r="C296" s="8" t="n">
        <x:v>4149</x:v>
      </x:c>
      <x:c r="D296" s="8" t="n">
        <x:v>4269</x:v>
      </x:c>
      <x:c r="E296" s="8" t="n">
        <x:v>4577</x:v>
      </x:c>
      <x:c r="F296" s="8" t="n">
        <x:v>3015</x:v>
      </x:c>
      <x:c r="G296" s="8" t="n">
        <x:v>2942</x:v>
      </x:c>
      <x:c r="H296" s="8" t="n">
        <x:v>3966</x:v>
      </x:c>
    </x:row>
    <x:row r="297">
      <x:c r="A297" s="2" t="str">
        <x:v>333612</x:v>
      </x:c>
      <x:c r="B297" s="2" t="str">
        <x:v>Speed Changer, Industrial High-Speed Drive, and Gear Manufacturing</x:v>
      </x:c>
      <x:c r="C297" s="8" t="n">
        <x:v>398</x:v>
      </x:c>
      <x:c r="D297" s="8" t="n">
        <x:v>407</x:v>
      </x:c>
      <x:c r="E297" s="8" t="n">
        <x:v>447</x:v>
      </x:c>
      <x:c r="F297" s="8" t="n">
        <x:v>315</x:v>
      </x:c>
      <x:c r="G297" s="8" t="n">
        <x:v>351</x:v>
      </x:c>
      <x:c r="H297" s="8" t="n">
        <x:v>559</x:v>
      </x:c>
    </x:row>
    <x:row r="298">
      <x:c r="A298" s="2" t="str">
        <x:v>333613</x:v>
      </x:c>
      <x:c r="B298" s="2" t="str">
        <x:v>Mechanical Power Transmission Equipment Manufacturing</x:v>
      </x:c>
      <x:c r="C298" s="8" t="n">
        <x:v>427</x:v>
      </x:c>
      <x:c r="D298" s="8" t="n">
        <x:v>504</x:v>
      </x:c>
      <x:c r="E298" s="8" t="n">
        <x:v>578</x:v>
      </x:c>
      <x:c r="F298" s="8" t="n">
        <x:v>818</x:v>
      </x:c>
      <x:c r="G298" s="8" t="n">
        <x:v>642</x:v>
      </x:c>
      <x:c r="H298" s="8" t="n">
        <x:v>525</x:v>
      </x:c>
    </x:row>
    <x:row r="299">
      <x:c r="A299" s="2" t="str">
        <x:v>333618</x:v>
      </x:c>
      <x:c r="B299" s="2" t="str">
        <x:v>Other Engine Equipment Manufacturing</x:v>
      </x:c>
      <x:c r="C299" s="8" t="n">
        <x:v>384</x:v>
      </x:c>
      <x:c r="D299" s="8" t="n">
        <x:v>384</x:v>
      </x:c>
      <x:c r="E299" s="8" t="n">
        <x:v>395</x:v>
      </x:c>
      <x:c r="F299" s="8" t="n">
        <x:v>94</x:v>
      </x:c>
      <x:c r="G299" s="8" t="n">
        <x:v>95</x:v>
      </x:c>
      <x:c r="H299" s="8" t="n">
        <x:v>79</x:v>
      </x:c>
    </x:row>
    <x:row r="300">
      <x:c r="A300" s="2" t="str">
        <x:v>333912</x:v>
      </x:c>
      <x:c r="B300" s="2" t="str">
        <x:v>Air and Gas Compressor Manufacturing</x:v>
      </x:c>
      <x:c r="C300" s="8" t="n">
        <x:v>742</x:v>
      </x:c>
      <x:c r="D300" s="8" t="n">
        <x:v>826</x:v>
      </x:c>
      <x:c r="E300" s="8" t="n">
        <x:v>900</x:v>
      </x:c>
      <x:c r="F300" s="8" t="n">
        <x:v>874</x:v>
      </x:c>
      <x:c r="G300" s="8" t="n">
        <x:v>924</x:v>
      </x:c>
      <x:c r="H300" s="8" t="n">
        <x:v>727</x:v>
      </x:c>
    </x:row>
    <x:row r="301">
      <x:c r="A301" s="2" t="str">
        <x:v>333914</x:v>
      </x:c>
      <x:c r="B301" s="2" t="str">
        <x:v>Measuring, Dispensing, and Other Pumping Equipment Manufacturing</x:v>
      </x:c>
      <x:c r="C301" s="8" t="n">
        <x:v>1921</x:v>
      </x:c>
      <x:c r="D301" s="8" t="n">
        <x:v>1904</x:v>
      </x:c>
      <x:c r="E301" s="8" t="n">
        <x:v>1840</x:v>
      </x:c>
      <x:c r="F301" s="8" t="n">
        <x:v>1976</x:v>
      </x:c>
      <x:c r="G301" s="8" t="n">
        <x:v>2081</x:v>
      </x:c>
      <x:c r="H301" s="8" t="n">
        <x:v>2111</x:v>
      </x:c>
    </x:row>
    <x:row r="302">
      <x:c r="A302" s="2" t="str">
        <x:v>333921</x:v>
      </x:c>
      <x:c r="B302" s="2" t="str">
        <x:v>Elevator and Moving Stairway Manufacturing</x:v>
      </x:c>
      <x:c r="C302" s="8" t="n">
        <x:v>451</x:v>
      </x:c>
      <x:c r="D302" s="8" t="n">
        <x:v>615</x:v>
      </x:c>
      <x:c r="E302" s="8" t="n">
        <x:v>592</x:v>
      </x:c>
      <x:c r="F302" s="8" t="n">
        <x:v>623</x:v>
      </x:c>
      <x:c r="G302" s="8" t="n">
        <x:v>635</x:v>
      </x:c>
      <x:c r="H302" s="8" t="n">
        <x:v>633</x:v>
      </x:c>
    </x:row>
    <x:row r="303">
      <x:c r="A303" s="2" t="str">
        <x:v>333922</x:v>
      </x:c>
      <x:c r="B303" s="2" t="str">
        <x:v>Conveyor and Conveying Equipment Manufacturing</x:v>
      </x:c>
      <x:c r="C303" s="8" t="n">
        <x:v>849</x:v>
      </x:c>
      <x:c r="D303" s="8" t="n">
        <x:v>952</x:v>
      </x:c>
      <x:c r="E303" s="8" t="n">
        <x:v>956</x:v>
      </x:c>
      <x:c r="F303" s="8" t="n">
        <x:v>1004</x:v>
      </x:c>
      <x:c r="G303" s="8" t="n">
        <x:v>970</x:v>
      </x:c>
      <x:c r="H303" s="8" t="n">
        <x:v>757</x:v>
      </x:c>
    </x:row>
    <x:row r="304">
      <x:c r="A304" s="2" t="str">
        <x:v>333923</x:v>
      </x:c>
      <x:c r="B304" s="2" t="str">
        <x:v>Overhead Traveling Crane, Hoist, and Monorail System Manufacturing</x:v>
      </x:c>
      <x:c r="C304" s="8" t="n">
        <x:v>346</x:v>
      </x:c>
      <x:c r="D304" s="8" t="n">
        <x:v>348</x:v>
      </x:c>
      <x:c r="E304" s="8" t="n">
        <x:v>427</x:v>
      </x:c>
      <x:c r="F304" s="8" t="n">
        <x:v>400</x:v>
      </x:c>
      <x:c r="G304" s="8" t="n">
        <x:v>387</x:v>
      </x:c>
      <x:c r="H304" s="8" t="n">
        <x:v>433</x:v>
      </x:c>
    </x:row>
    <x:row r="305">
      <x:c r="A305" s="2" t="str">
        <x:v>333924</x:v>
      </x:c>
      <x:c r="B305" s="2" t="str">
        <x:v>Industrial Truck, Tractor, Trailer, and Stacker Machinery Manufacturing</x:v>
      </x:c>
      <x:c r="C305" s="8" t="n">
        <x:v>398</x:v>
      </x:c>
      <x:c r="D305" s="8" t="n">
        <x:v>428</x:v>
      </x:c>
      <x:c r="E305" s="8" t="n">
        <x:v>450</x:v>
      </x:c>
      <x:c r="F305" s="8" t="n">
        <x:v>917</x:v>
      </x:c>
      <x:c r="G305" s="8" t="n">
        <x:v>958</x:v>
      </x:c>
      <x:c r="H305" s="8" t="n">
        <x:v>944</x:v>
      </x:c>
    </x:row>
    <x:row r="306">
      <x:c r="A306" s="2" t="str">
        <x:v>333991</x:v>
      </x:c>
      <x:c r="B306" s="2" t="str">
        <x:v>Power-Driven Handtool Manufacturing</x:v>
      </x:c>
      <x:c r="C306" s="8" t="n">
        <x:v>250</x:v>
      </x:c>
      <x:c r="D306" s="8" t="n">
        <x:v>243</x:v>
      </x:c>
      <x:c r="E306" s="8" t="n">
        <x:v>257</x:v>
      </x:c>
      <x:c r="F306" s="8" t="n">
        <x:v>288</x:v>
      </x:c>
      <x:c r="G306" s="8" t="n">
        <x:v>308</x:v>
      </x:c>
      <x:c r="H306" s="8" t="n">
        <x:v>207</x:v>
      </x:c>
    </x:row>
    <x:row r="307">
      <x:c r="A307" s="2" t="str">
        <x:v>333992</x:v>
      </x:c>
      <x:c r="B307" s="2" t="str">
        <x:v>Welding and Soldering Equipment Manufacturing</x:v>
      </x:c>
      <x:c r="C307" s="8" t="n">
        <x:v>1427</x:v>
      </x:c>
      <x:c r="D307" s="8" t="n">
        <x:v>1459</x:v>
      </x:c>
      <x:c r="E307" s="8" t="n">
        <x:v>1455</x:v>
      </x:c>
      <x:c r="F307" s="8" t="n">
        <x:v>1450</x:v>
      </x:c>
      <x:c r="G307" s="8" t="n">
        <x:v>1534</x:v>
      </x:c>
      <x:c r="H307" s="8" t="n">
        <x:v>1281</x:v>
      </x:c>
    </x:row>
    <x:row r="308">
      <x:c r="A308" s="2" t="str">
        <x:v>333993</x:v>
      </x:c>
      <x:c r="B308" s="2" t="str">
        <x:v>Packaging Machinery Manufacturing</x:v>
      </x:c>
      <x:c r="C308" s="8" t="n">
        <x:v>2229</x:v>
      </x:c>
      <x:c r="D308" s="8" t="n">
        <x:v>1828</x:v>
      </x:c>
      <x:c r="E308" s="8" t="n">
        <x:v>1831</x:v>
      </x:c>
      <x:c r="F308" s="8" t="n">
        <x:v>1967</x:v>
      </x:c>
      <x:c r="G308" s="8" t="n">
        <x:v>2018</x:v>
      </x:c>
      <x:c r="H308" s="8" t="n">
        <x:v>1681</x:v>
      </x:c>
    </x:row>
    <x:row r="309">
      <x:c r="A309" s="2" t="str">
        <x:v>333994</x:v>
      </x:c>
      <x:c r="B309" s="2" t="str">
        <x:v>Industrial Process Furnace and Oven Manufacturing</x:v>
      </x:c>
      <x:c r="C309" s="8" t="n">
        <x:v>675</x:v>
      </x:c>
      <x:c r="D309" s="8" t="n">
        <x:v>743</x:v>
      </x:c>
      <x:c r="E309" s="8" t="n">
        <x:v>652</x:v>
      </x:c>
      <x:c r="F309" s="8" t="n">
        <x:v>510</x:v>
      </x:c>
      <x:c r="G309" s="8" t="n">
        <x:v>479</x:v>
      </x:c>
      <x:c r="H309" s="8" t="n">
        <x:v>437</x:v>
      </x:c>
    </x:row>
    <x:row r="310">
      <x:c r="A310" s="2" t="str">
        <x:v>333995</x:v>
      </x:c>
      <x:c r="B310" s="2" t="str">
        <x:v>Fluid Power Cylinder and Actuator Manufacturing</x:v>
      </x:c>
      <x:c r="C310" s="8" t="n">
        <x:v>480</x:v>
      </x:c>
      <x:c r="D310" s="8" t="n">
        <x:v>489</x:v>
      </x:c>
      <x:c r="E310" s="8" t="n">
        <x:v>458</x:v>
      </x:c>
      <x:c r="F310" s="8" t="n">
        <x:v>271</x:v>
      </x:c>
      <x:c r="G310" s="8" t="n">
        <x:v>339</x:v>
      </x:c>
      <x:c r="H310" s="8" t="n">
        <x:v>286</x:v>
      </x:c>
    </x:row>
    <x:row r="311">
      <x:c r="A311" s="2" t="str">
        <x:v>333996</x:v>
      </x:c>
      <x:c r="B311" s="2" t="str">
        <x:v>Fluid Power Pump and Motor Manufacturing</x:v>
      </x:c>
      <x:c r="C311" s="8" t="n">
        <x:v>2491</x:v>
      </x:c>
      <x:c r="D311" s="8" t="n">
        <x:v>2794</x:v>
      </x:c>
      <x:c r="E311" s="8" t="n">
        <x:v>2600</x:v>
      </x:c>
      <x:c r="F311" s="8" t="n">
        <x:v>2232</x:v>
      </x:c>
      <x:c r="G311" s="8" t="n">
        <x:v>2274</x:v>
      </x:c>
      <x:c r="H311" s="8" t="n">
        <x:v>2140</x:v>
      </x:c>
    </x:row>
    <x:row r="312">
      <x:c r="A312" s="2" t="str">
        <x:v>333998</x:v>
      </x:c>
      <x:c r="B312" s="2" t="str">
        <x:v>All Other Miscellaneous General Purpose Machinery Manufacturing</x:v>
      </x:c>
      <x:c r="C312" s="8" t="n">
        <x:v>3196</x:v>
      </x:c>
      <x:c r="D312" s="8" t="n">
        <x:v>2954</x:v>
      </x:c>
      <x:c r="E312" s="8" t="n">
        <x:v>2799</x:v>
      </x:c>
      <x:c r="F312" s="8" t="n">
        <x:v>3246</x:v>
      </x:c>
      <x:c r="G312" s="8" t="n">
        <x:v>3375</x:v>
      </x:c>
      <x:c r="H312" s="8" t="n">
        <x:v>3301</x:v>
      </x:c>
    </x:row>
    <x:row r="313">
      <x:c r="A313" s="2" t="str">
        <x:v>334111</x:v>
      </x:c>
      <x:c r="B313" s="2" t="str">
        <x:v>Electronic Computer Manufacturing</x:v>
      </x:c>
      <x:c r="C313" s="8" t="n">
        <x:v>55675</x:v>
      </x:c>
      <x:c r="D313" s="8" t="n">
        <x:v>60688</x:v>
      </x:c>
      <x:c r="E313" s="8" t="n">
        <x:v>65713</x:v>
      </x:c>
      <x:c r="F313" s="8" t="n">
        <x:v>71101</x:v>
      </x:c>
      <x:c r="G313" s="8" t="n">
        <x:v>75491</x:v>
      </x:c>
      <x:c r="H313" s="8" t="n">
        <x:v>21319</x:v>
      </x:c>
    </x:row>
    <x:row r="314">
      <x:c r="A314" s="2" t="str">
        <x:v>334112</x:v>
      </x:c>
      <x:c r="B314" s="2" t="str">
        <x:v>Computer Storage Device Manufacturing</x:v>
      </x:c>
      <x:c r="C314" s="8" t="n">
        <x:v>4734</x:v>
      </x:c>
      <x:c r="D314" s="8" t="n">
        <x:v>4177</x:v>
      </x:c>
      <x:c r="E314" s="8" t="n">
        <x:v>5174</x:v>
      </x:c>
      <x:c r="F314" s="8" t="n">
        <x:v>5436</x:v>
      </x:c>
      <x:c r="G314" s="8" t="n">
        <x:v>5188</x:v>
      </x:c>
      <x:c r="H314" s="8" t="n">
        <x:v>4664</x:v>
      </x:c>
    </x:row>
    <x:row r="315">
      <x:c r="A315" s="2" t="str">
        <x:v>334118</x:v>
      </x:c>
      <x:c r="B315" s="2" t="str">
        <x:v>Computer Terminal and Other Computer Peripheral Equipment Manufacturing</x:v>
      </x:c>
      <x:c r="C315" s="8" t="n">
        <x:v>7598</x:v>
      </x:c>
      <x:c r="D315" s="8" t="n">
        <x:v>5938</x:v>
      </x:c>
      <x:c r="E315" s="8" t="n">
        <x:v>6144</x:v>
      </x:c>
      <x:c r="F315" s="8" t="n">
        <x:v>5298</x:v>
      </x:c>
      <x:c r="G315" s="8" t="n">
        <x:v>5362</x:v>
      </x:c>
      <x:c r="H315" s="8" t="n">
        <x:v>4507</x:v>
      </x:c>
    </x:row>
    <x:row r="316">
      <x:c r="A316" s="2" t="str">
        <x:v>334210</x:v>
      </x:c>
      <x:c r="B316" s="2" t="str">
        <x:v>Telephone Apparatus Manufacturing</x:v>
      </x:c>
      <x:c r="C316" s="8" t="n">
        <x:v>2731</x:v>
      </x:c>
      <x:c r="D316" s="8" t="n">
        <x:v>2269</x:v>
      </x:c>
      <x:c r="E316" s="8" t="n">
        <x:v>1799</x:v>
      </x:c>
      <x:c r="F316" s="8" t="n">
        <x:v>1297</x:v>
      </x:c>
      <x:c r="G316" s="8" t="n">
        <x:v>1148</x:v>
      </x:c>
      <x:c r="H316" s="8" t="n">
        <x:v>900</x:v>
      </x:c>
    </x:row>
    <x:row r="317">
      <x:c r="A317" s="2" t="str">
        <x:v>334220</x:v>
      </x:c>
      <x:c r="B317" s="2" t="str">
        <x:v>Radio and Television Broadcasting and Wireless Communications Equipment Manufacturing</x:v>
      </x:c>
      <x:c r="C317" s="8" t="n">
        <x:v>14891</x:v>
      </x:c>
      <x:c r="D317" s="8" t="n">
        <x:v>14577</x:v>
      </x:c>
      <x:c r="E317" s="8" t="n">
        <x:v>13709</x:v>
      </x:c>
      <x:c r="F317" s="8" t="n">
        <x:v>13365</x:v>
      </x:c>
      <x:c r="G317" s="8" t="n">
        <x:v>13012</x:v>
      </x:c>
      <x:c r="H317" s="8" t="n">
        <x:v>11910</x:v>
      </x:c>
    </x:row>
    <x:row r="318">
      <x:c r="A318" s="2" t="str">
        <x:v>334290</x:v>
      </x:c>
      <x:c r="B318" s="2" t="str">
        <x:v>Other Communications Equipment Manufacturing</x:v>
      </x:c>
      <x:c r="C318" s="8" t="n">
        <x:v>2114</x:v>
      </x:c>
      <x:c r="D318" s="8" t="n">
        <x:v>2217</x:v>
      </x:c>
      <x:c r="E318" s="8" t="n">
        <x:v>2085</x:v>
      </x:c>
      <x:c r="F318" s="8" t="n">
        <x:v>2558</x:v>
      </x:c>
      <x:c r="G318" s="8" t="n">
        <x:v>2428</x:v>
      </x:c>
      <x:c r="H318" s="8" t="n">
        <x:v>2267</x:v>
      </x:c>
    </x:row>
    <x:row r="319">
      <x:c r="A319" s="2" t="str">
        <x:v>334310</x:v>
      </x:c>
      <x:c r="B319" s="2" t="str">
        <x:v>Audio and Video Equipment Manufacturing</x:v>
      </x:c>
      <x:c r="C319" s="8" t="n">
        <x:v>5508</x:v>
      </x:c>
      <x:c r="D319" s="8" t="n">
        <x:v>6119</x:v>
      </x:c>
      <x:c r="E319" s="8" t="n">
        <x:v>6329</x:v>
      </x:c>
      <x:c r="F319" s="8" t="n">
        <x:v>6249</x:v>
      </x:c>
      <x:c r="G319" s="8" t="n">
        <x:v>6111</x:v>
      </x:c>
      <x:c r="H319" s="8" t="n">
        <x:v>5280</x:v>
      </x:c>
    </x:row>
    <x:row r="320">
      <x:c r="A320" s="2" t="str">
        <x:v>334412</x:v>
      </x:c>
      <x:c r="B320" s="2" t="str">
        <x:v>Bare Printed Circuit Board Manufacturing</x:v>
      </x:c>
      <x:c r="C320" s="8" t="n">
        <x:v>7794</x:v>
      </x:c>
      <x:c r="D320" s="8" t="n">
        <x:v>7918</x:v>
      </x:c>
      <x:c r="E320" s="8" t="n">
        <x:v>7942</x:v>
      </x:c>
      <x:c r="F320" s="8" t="n">
        <x:v>7410</x:v>
      </x:c>
      <x:c r="G320" s="8" t="n">
        <x:v>7647</x:v>
      </x:c>
      <x:c r="H320" s="8" t="n">
        <x:v>8046</x:v>
      </x:c>
    </x:row>
    <x:row r="321">
      <x:c r="A321" s="2" t="str">
        <x:v>334413</x:v>
      </x:c>
      <x:c r="B321" s="2" t="str">
        <x:v>Semiconductor and Related Device Manufacturing</x:v>
      </x:c>
      <x:c r="C321" s="8" t="n">
        <x:v>46120</x:v>
      </x:c>
      <x:c r="D321" s="8" t="n">
        <x:v>45557</x:v>
      </x:c>
      <x:c r="E321" s="8" t="n">
        <x:v>42765</x:v>
      </x:c>
      <x:c r="F321" s="8" t="n">
        <x:v>44329</x:v>
      </x:c>
      <x:c r="G321" s="8" t="n">
        <x:v>45826</x:v>
      </x:c>
      <x:c r="H321" s="8" t="n">
        <x:v>47468</x:v>
      </x:c>
    </x:row>
    <x:row r="322">
      <x:c r="A322" s="2" t="str">
        <x:v>334416</x:v>
      </x:c>
      <x:c r="B322" s="2" t="str">
        <x:v>Capacitor, Resistor, Coil, Transformer, and Other Inductor Manufacturing</x:v>
      </x:c>
      <x:c r="C322" s="8" t="n">
        <x:v>2615</x:v>
      </x:c>
      <x:c r="D322" s="8" t="n">
        <x:v>2614</x:v>
      </x:c>
      <x:c r="E322" s="8" t="n">
        <x:v>2588</x:v>
      </x:c>
      <x:c r="F322" s="8" t="n">
        <x:v>2493</x:v>
      </x:c>
      <x:c r="G322" s="8" t="n">
        <x:v>2449</x:v>
      </x:c>
      <x:c r="H322" s="8" t="n">
        <x:v>2099</x:v>
      </x:c>
    </x:row>
    <x:row r="323">
      <x:c r="A323" s="2" t="str">
        <x:v>334417</x:v>
      </x:c>
      <x:c r="B323" s="2" t="str">
        <x:v>Electronic Connector Manufacturing</x:v>
      </x:c>
      <x:c r="C323" s="8" t="n">
        <x:v>5112</x:v>
      </x:c>
      <x:c r="D323" s="8" t="n">
        <x:v>5338</x:v>
      </x:c>
      <x:c r="E323" s="8" t="n">
        <x:v>5878</x:v>
      </x:c>
      <x:c r="F323" s="8" t="n">
        <x:v>5791</x:v>
      </x:c>
      <x:c r="G323" s="8" t="n">
        <x:v>5840</x:v>
      </x:c>
      <x:c r="H323" s="8" t="n">
        <x:v>6338</x:v>
      </x:c>
    </x:row>
    <x:row r="324">
      <x:c r="A324" s="2" t="str">
        <x:v>334418</x:v>
      </x:c>
      <x:c r="B324" s="2" t="str">
        <x:v>Printed Circuit Assembly (Electronic Assembly) Manufacturing</x:v>
      </x:c>
      <x:c r="C324" s="8" t="n">
        <x:v>9630</x:v>
      </x:c>
      <x:c r="D324" s="8" t="n">
        <x:v>10903</x:v>
      </x:c>
      <x:c r="E324" s="8" t="n">
        <x:v>10675</x:v>
      </x:c>
      <x:c r="F324" s="8" t="n">
        <x:v>10253</x:v>
      </x:c>
      <x:c r="G324" s="8" t="n">
        <x:v>10119</x:v>
      </x:c>
      <x:c r="H324" s="8" t="n">
        <x:v>8982</x:v>
      </x:c>
    </x:row>
    <x:row r="325">
      <x:c r="A325" s="2" t="str">
        <x:v>334419</x:v>
      </x:c>
      <x:c r="B325" s="2" t="str">
        <x:v>Other Electronic Component Manufacturing</x:v>
      </x:c>
      <x:c r="C325" s="8" t="n">
        <x:v>14293</x:v>
      </x:c>
      <x:c r="D325" s="8" t="n">
        <x:v>14479</x:v>
      </x:c>
      <x:c r="E325" s="8" t="n">
        <x:v>14196</x:v>
      </x:c>
      <x:c r="F325" s="8" t="n">
        <x:v>13604</x:v>
      </x:c>
      <x:c r="G325" s="8" t="n">
        <x:v>14014</x:v>
      </x:c>
      <x:c r="H325" s="8" t="n">
        <x:v>12433</x:v>
      </x:c>
    </x:row>
    <x:row r="326">
      <x:c r="A326" s="2" t="str">
        <x:v>334510</x:v>
      </x:c>
      <x:c r="B326" s="2" t="str">
        <x:v>Electromedical and Electrotherapeutic Apparatus Manufacturing</x:v>
      </x:c>
      <x:c r="C326" s="8" t="n">
        <x:v>17384</x:v>
      </x:c>
      <x:c r="D326" s="8" t="n">
        <x:v>18052</x:v>
      </x:c>
      <x:c r="E326" s="8" t="n">
        <x:v>19294</x:v>
      </x:c>
      <x:c r="F326" s="8" t="n">
        <x:v>22150</x:v>
      </x:c>
      <x:c r="G326" s="8" t="n">
        <x:v>22085</x:v>
      </x:c>
      <x:c r="H326" s="8" t="n">
        <x:v>20596</x:v>
      </x:c>
    </x:row>
    <x:row r="327">
      <x:c r="A327" s="2" t="str">
        <x:v>334511</x:v>
      </x:c>
      <x:c r="B327" s="2" t="str">
        <x:v>Search, Detection, Navigation, Guidance, Aeronautical, and Nautical System and Instrument Manufacturing</x:v>
      </x:c>
      <x:c r="C327" s="8" t="n">
        <x:v>27252</x:v>
      </x:c>
      <x:c r="D327" s="8" t="n">
        <x:v>27346</x:v>
      </x:c>
      <x:c r="E327" s="8" t="n">
        <x:v>29181</x:v>
      </x:c>
      <x:c r="F327" s="8" t="n">
        <x:v>26897</x:v>
      </x:c>
      <x:c r="G327" s="8" t="n">
        <x:v>26999</x:v>
      </x:c>
      <x:c r="H327" s="8" t="n">
        <x:v>13256</x:v>
      </x:c>
    </x:row>
    <x:row r="328">
      <x:c r="A328" s="2" t="str">
        <x:v>334512</x:v>
      </x:c>
      <x:c r="B328" s="2" t="str">
        <x:v>Automatic Environmental Control Manufacturing for Residential, Commercial, and Appliance Use</x:v>
      </x:c>
      <x:c r="C328" s="8" t="n">
        <x:v>1174</x:v>
      </x:c>
      <x:c r="D328" s="8" t="n">
        <x:v>1091</x:v>
      </x:c>
      <x:c r="E328" s="8" t="n">
        <x:v>1035</x:v>
      </x:c>
      <x:c r="F328" s="8" t="n">
        <x:v>723</x:v>
      </x:c>
      <x:c r="G328" s="8" t="n">
        <x:v>776</x:v>
      </x:c>
      <x:c r="H328" s="8" t="n">
        <x:v>548</x:v>
      </x:c>
    </x:row>
    <x:row r="329">
      <x:c r="A329" s="2" t="str">
        <x:v>334513</x:v>
      </x:c>
      <x:c r="B329" s="2" t="str">
        <x:v>Instruments and Related Products Manufacturing for Measuring, Displaying, and Controlling Industrial Process Variables</x:v>
      </x:c>
      <x:c r="C329" s="8" t="n">
        <x:v>8854</x:v>
      </x:c>
      <x:c r="D329" s="8" t="n">
        <x:v>8755</x:v>
      </x:c>
      <x:c r="E329" s="8" t="n">
        <x:v>8311</x:v>
      </x:c>
      <x:c r="F329" s="8" t="n">
        <x:v>7566</x:v>
      </x:c>
      <x:c r="G329" s="8" t="n">
        <x:v>7449</x:v>
      </x:c>
      <x:c r="H329" s="8" t="n">
        <x:v>6153</x:v>
      </x:c>
    </x:row>
    <x:row r="330">
      <x:c r="A330" s="2" t="str">
        <x:v>334514</x:v>
      </x:c>
      <x:c r="B330" s="2" t="str">
        <x:v>Totalizing Fluid Meter and Counting Device Manufacturing</x:v>
      </x:c>
      <x:c r="C330" s="8" t="n">
        <x:v>587</x:v>
      </x:c>
      <x:c r="D330" s="8" t="n">
        <x:v>661</x:v>
      </x:c>
      <x:c r="E330" s="8" t="n">
        <x:v>692</x:v>
      </x:c>
      <x:c r="F330" s="8" t="n">
        <x:v>645</x:v>
      </x:c>
      <x:c r="G330" s="8" t="n">
        <x:v>663</x:v>
      </x:c>
      <x:c r="H330" s="8" t="n">
        <x:v>663</x:v>
      </x:c>
    </x:row>
    <x:row r="331">
      <x:c r="A331" s="2" t="str">
        <x:v>334515</x:v>
      </x:c>
      <x:c r="B331" s="2" t="str">
        <x:v>Instrument Manufacturing for Measuring and Testing Electricity and Electrical Signals</x:v>
      </x:c>
      <x:c r="C331" s="8" t="n">
        <x:v>10009</x:v>
      </x:c>
      <x:c r="D331" s="8" t="n">
        <x:v>11318</x:v>
      </x:c>
      <x:c r="E331" s="8" t="n">
        <x:v>11386</x:v>
      </x:c>
      <x:c r="F331" s="8" t="n">
        <x:v>12030</x:v>
      </x:c>
      <x:c r="G331" s="8" t="n">
        <x:v>11638</x:v>
      </x:c>
      <x:c r="H331" s="8" t="n">
        <x:v>9673</x:v>
      </x:c>
    </x:row>
    <x:row r="332">
      <x:c r="A332" s="2" t="str">
        <x:v>334516</x:v>
      </x:c>
      <x:c r="B332" s="2" t="str">
        <x:v>Analytical Laboratory Instrument Manufacturing</x:v>
      </x:c>
      <x:c r="C332" s="8" t="n">
        <x:v>9223</x:v>
      </x:c>
      <x:c r="D332" s="8" t="n">
        <x:v>9113</x:v>
      </x:c>
      <x:c r="E332" s="8" t="n">
        <x:v>9447</x:v>
      </x:c>
      <x:c r="F332" s="8" t="n">
        <x:v>15156</x:v>
      </x:c>
      <x:c r="G332" s="8" t="n">
        <x:v>14508</x:v>
      </x:c>
      <x:c r="H332" s="8" t="n">
        <x:v>9890</x:v>
      </x:c>
    </x:row>
    <x:row r="333">
      <x:c r="A333" s="2" t="str">
        <x:v>334517</x:v>
      </x:c>
      <x:c r="B333" s="2" t="str">
        <x:v>Irradiation Apparatus Manufacturing</x:v>
      </x:c>
      <x:c r="C333" s="8" t="n">
        <x:v>2396</x:v>
      </x:c>
      <x:c r="D333" s="8" t="n">
        <x:v>2373</x:v>
      </x:c>
      <x:c r="E333" s="8" t="n">
        <x:v>2470</x:v>
      </x:c>
      <x:c r="F333" s="8" t="n">
        <x:v>2654</x:v>
      </x:c>
      <x:c r="G333" s="8" t="n">
        <x:v>2804</x:v>
      </x:c>
      <x:c r="H333" s="8" t="n">
        <x:v>2455</x:v>
      </x:c>
    </x:row>
    <x:row r="334">
      <x:c r="A334" s="2" t="str">
        <x:v>334519</x:v>
      </x:c>
      <x:c r="B334" s="2" t="str">
        <x:v>Other Measuring and Controlling Device Manufacturing</x:v>
      </x:c>
      <x:c r="C334" s="8" t="n">
        <x:v>7831</x:v>
      </x:c>
      <x:c r="D334" s="8" t="n">
        <x:v>8300</x:v>
      </x:c>
      <x:c r="E334" s="8" t="n">
        <x:v>8257</x:v>
      </x:c>
      <x:c r="F334" s="8" t="n">
        <x:v>10938</x:v>
      </x:c>
      <x:c r="G334" s="8" t="n">
        <x:v>14502</x:v>
      </x:c>
      <x:c r="H334" s="8" t="n">
        <x:v>13833</x:v>
      </x:c>
    </x:row>
    <x:row r="335">
      <x:c r="A335" s="2" t="str">
        <x:v>334610</x:v>
      </x:c>
      <x:c r="B335" s="2" t="str">
        <x:v>Manufacturing and Reproducing Magnetic and Optical Media</x:v>
      </x:c>
      <x:c r="C335" s="8" t="n">
        <x:v>4873</x:v>
      </x:c>
      <x:c r="D335" s="8" t="n">
        <x:v>4729</x:v>
      </x:c>
      <x:c r="E335" s="8" t="n">
        <x:v>4622</x:v>
      </x:c>
      <x:c r="F335" s="8" t="n">
        <x:v>4373</x:v>
      </x:c>
      <x:c r="G335" s="8" t="n">
        <x:v>4022</x:v>
      </x:c>
      <x:c r="H335" s="8" t="n">
        <x:v>3538</x:v>
      </x:c>
    </x:row>
    <x:row r="336">
      <x:c r="A336" s="2" t="str">
        <x:v>335131</x:v>
      </x:c>
      <x:c r="B336" s="2" t="str">
        <x:v>Residential Electric Lighting Fixture Manufacturing</x:v>
      </x:c>
      <x:c r="C336" s="8" t="n">
        <x:v>1458</x:v>
      </x:c>
      <x:c r="D336" s="8" t="n">
        <x:v>1464</x:v>
      </x:c>
      <x:c r="E336" s="8" t="n">
        <x:v>1382</x:v>
      </x:c>
      <x:c r="F336" s="8" t="n">
        <x:v>1127</x:v>
      </x:c>
      <x:c r="G336" s="8" t="n">
        <x:v>1070</x:v>
      </x:c>
      <x:c r="H336" s="8" t="n">
        <x:v>993</x:v>
      </x:c>
    </x:row>
    <x:row r="337">
      <x:c r="A337" s="2" t="str">
        <x:v>335132</x:v>
      </x:c>
      <x:c r="B337" s="2" t="str">
        <x:v>Commercial, Industrial, and Institutional Electric Lighting Fixture Manufacturing</x:v>
      </x:c>
      <x:c r="C337" s="8" t="n">
        <x:v>4197</x:v>
      </x:c>
      <x:c r="D337" s="8" t="n">
        <x:v>4173</x:v>
      </x:c>
      <x:c r="E337" s="8" t="n">
        <x:v>4019</x:v>
      </x:c>
      <x:c r="F337" s="8" t="n">
        <x:v>3046</x:v>
      </x:c>
      <x:c r="G337" s="8" t="n">
        <x:v>3238</x:v>
      </x:c>
      <x:c r="H337" s="8" t="n">
        <x:v>2708</x:v>
      </x:c>
    </x:row>
    <x:row r="338">
      <x:c r="A338" s="2" t="str">
        <x:v>335139</x:v>
      </x:c>
      <x:c r="B338" s="2" t="str">
        <x:v>Electric Lamp Bulb and Other Lighting Equipment Manufacturing</x:v>
      </x:c>
      <x:c r="C338" s="8" t="n">
        <x:v>2392</x:v>
      </x:c>
      <x:c r="D338" s="8" t="n">
        <x:v>2178</x:v>
      </x:c>
      <x:c r="E338" s="8" t="n">
        <x:v>2107</x:v>
      </x:c>
      <x:c r="F338" s="8" t="n">
        <x:v>2047</x:v>
      </x:c>
      <x:c r="G338" s="8" t="n">
        <x:v>1623</x:v>
      </x:c>
      <x:c r="H338" s="8" t="n">
        <x:v>1526</x:v>
      </x:c>
    </x:row>
    <x:row r="339">
      <x:c r="A339" s="2" t="str">
        <x:v>335210</x:v>
      </x:c>
      <x:c r="B339" s="2" t="str">
        <x:v>Small Electrical Appliance Manufacturing</x:v>
      </x:c>
      <x:c r="C339" s="8" t="n">
        <x:v>371</x:v>
      </x:c>
      <x:c r="D339" s="8" t="n">
        <x:v>532</x:v>
      </x:c>
      <x:c r="E339" s="8" t="n">
        <x:v>693</x:v>
      </x:c>
      <x:c r="F339" s="8" t="n">
        <x:v>573</x:v>
      </x:c>
      <x:c r="G339" s="8" t="n">
        <x:v>498</x:v>
      </x:c>
      <x:c r="H339" s="8" t="n">
        <x:v>334</x:v>
      </x:c>
    </x:row>
    <x:row r="340">
      <x:c r="A340" s="2" t="str">
        <x:v>335220</x:v>
      </x:c>
      <x:c r="B340" s="2" t="str">
        <x:v>Major Household Appliance Manufacturing</x:v>
      </x:c>
      <x:c r="C340" s="8" t="n">
        <x:v>1239</x:v>
      </x:c>
      <x:c r="D340" s="8" t="n">
        <x:v>1221</x:v>
      </x:c>
      <x:c r="E340" s="8" t="n">
        <x:v>1192</x:v>
      </x:c>
      <x:c r="F340" s="8" t="n">
        <x:v>863</x:v>
      </x:c>
      <x:c r="G340" s="8" t="n">
        <x:v>658</x:v>
      </x:c>
      <x:c r="H340" s="8" t="n">
        <x:v>804</x:v>
      </x:c>
    </x:row>
    <x:row r="341">
      <x:c r="A341" s="2" t="str">
        <x:v>335311</x:v>
      </x:c>
      <x:c r="B341" s="2" t="str">
        <x:v>Power, Distribution, and Specialty Transformer Manufacturing</x:v>
      </x:c>
      <x:c r="C341" s="8" t="n">
        <x:v>1934</x:v>
      </x:c>
      <x:c r="D341" s="8" t="n">
        <x:v>1955</x:v>
      </x:c>
      <x:c r="E341" s="8" t="n">
        <x:v>2129</x:v>
      </x:c>
      <x:c r="F341" s="8" t="n">
        <x:v>2041</x:v>
      </x:c>
      <x:c r="G341" s="8" t="n">
        <x:v>2246</x:v>
      </x:c>
      <x:c r="H341" s="8" t="n">
        <x:v>2336</x:v>
      </x:c>
    </x:row>
    <x:row r="342">
      <x:c r="A342" s="2" t="str">
        <x:v>335312</x:v>
      </x:c>
      <x:c r="B342" s="2" t="str">
        <x:v>Motor and Generator Manufacturing</x:v>
      </x:c>
      <x:c r="C342" s="8" t="n">
        <x:v>1469</x:v>
      </x:c>
      <x:c r="D342" s="8" t="n">
        <x:v>1451</x:v>
      </x:c>
      <x:c r="E342" s="8" t="n">
        <x:v>1529</x:v>
      </x:c>
      <x:c r="F342" s="8" t="n">
        <x:v>2030</x:v>
      </x:c>
      <x:c r="G342" s="8" t="n">
        <x:v>2175</x:v>
      </x:c>
      <x:c r="H342" s="8" t="n">
        <x:v>2126</x:v>
      </x:c>
    </x:row>
    <x:row r="343">
      <x:c r="A343" s="2" t="str">
        <x:v>335313</x:v>
      </x:c>
      <x:c r="B343" s="2" t="str">
        <x:v>Switchgear and Switchboard Apparatus Manufacturing</x:v>
      </x:c>
      <x:c r="C343" s="8" t="n">
        <x:v>1440</x:v>
      </x:c>
      <x:c r="D343" s="8" t="n">
        <x:v>1681</x:v>
      </x:c>
      <x:c r="E343" s="8" t="n">
        <x:v>1677</x:v>
      </x:c>
      <x:c r="F343" s="8" t="n">
        <x:v>2019</x:v>
      </x:c>
      <x:c r="G343" s="8" t="n">
        <x:v>2112</x:v>
      </x:c>
      <x:c r="H343" s="8" t="n">
        <x:v>2438</x:v>
      </x:c>
    </x:row>
    <x:row r="344">
      <x:c r="A344" s="2" t="str">
        <x:v>335314</x:v>
      </x:c>
      <x:c r="B344" s="2" t="str">
        <x:v>Relay and Industrial Control Manufacturing</x:v>
      </x:c>
      <x:c r="C344" s="8" t="n">
        <x:v>2648</x:v>
      </x:c>
      <x:c r="D344" s="8" t="n">
        <x:v>2703</x:v>
      </x:c>
      <x:c r="E344" s="8" t="n">
        <x:v>2955</x:v>
      </x:c>
      <x:c r="F344" s="8" t="n">
        <x:v>2328</x:v>
      </x:c>
      <x:c r="G344" s="8" t="n">
        <x:v>2235</x:v>
      </x:c>
      <x:c r="H344" s="8" t="n">
        <x:v>2087</x:v>
      </x:c>
    </x:row>
    <x:row r="345">
      <x:c r="A345" s="2" t="str">
        <x:v>335910</x:v>
      </x:c>
      <x:c r="B345" s="2" t="str">
        <x:v>Battery Manufacturing</x:v>
      </x:c>
      <x:c r="C345" s="8" t="n">
        <x:v>1852</x:v>
      </x:c>
      <x:c r="D345" s="8" t="n">
        <x:v>2017</x:v>
      </x:c>
      <x:c r="E345" s="8" t="n">
        <x:v>2075</x:v>
      </x:c>
      <x:c r="F345" s="8" t="n">
        <x:v>2385</x:v>
      </x:c>
      <x:c r="G345" s="8" t="n">
        <x:v>4375</x:v>
      </x:c>
      <x:c r="H345" s="8" t="n">
        <x:v>4020</x:v>
      </x:c>
    </x:row>
    <x:row r="346">
      <x:c r="A346" s="2" t="str">
        <x:v>335921</x:v>
      </x:c>
      <x:c r="B346" s="2" t="str">
        <x:v>Fiber Optic Cable Manufacturing</x:v>
      </x:c>
      <x:c r="C346" s="8" t="n">
        <x:v>1527</x:v>
      </x:c>
      <x:c r="D346" s="8" t="n">
        <x:v>1435</x:v>
      </x:c>
      <x:c r="E346" s="8" t="n">
        <x:v>1316</x:v>
      </x:c>
      <x:c r="F346" s="8" t="n">
        <x:v>716</x:v>
      </x:c>
      <x:c r="G346" s="8" t="n">
        <x:v>770</x:v>
      </x:c>
      <x:c r="H346" s="8" t="n">
        <x:v>780</x:v>
      </x:c>
    </x:row>
    <x:row r="347">
      <x:c r="A347" s="2" t="str">
        <x:v>335929</x:v>
      </x:c>
      <x:c r="B347" s="2" t="str">
        <x:v>Other Communication and Energy Wire Manufacturing</x:v>
      </x:c>
      <x:c r="C347" s="8" t="n">
        <x:v>727</x:v>
      </x:c>
      <x:c r="D347" s="8" t="n">
        <x:v>775</x:v>
      </x:c>
      <x:c r="E347" s="8" t="n">
        <x:v>779</x:v>
      </x:c>
      <x:c r="F347" s="8" t="n">
        <x:v>771</x:v>
      </x:c>
      <x:c r="G347" s="8" t="n">
        <x:v>1223</x:v>
      </x:c>
      <x:c r="H347" s="8" t="n">
        <x:v>982</x:v>
      </x:c>
    </x:row>
    <x:row r="348">
      <x:c r="A348" s="2" t="str">
        <x:v>335931</x:v>
      </x:c>
      <x:c r="B348" s="2" t="str">
        <x:v>Current-Carrying Wiring Device Manufacturing</x:v>
      </x:c>
      <x:c r="C348" s="8" t="n">
        <x:v>3704</x:v>
      </x:c>
      <x:c r="D348" s="8" t="n">
        <x:v>3750</x:v>
      </x:c>
      <x:c r="E348" s="8" t="n">
        <x:v>3114</x:v>
      </x:c>
      <x:c r="F348" s="8" t="n">
        <x:v>2358</x:v>
      </x:c>
      <x:c r="G348" s="8" t="n">
        <x:v>2623</x:v>
      </x:c>
      <x:c r="H348" s="8" t="n">
        <x:v>2044</x:v>
      </x:c>
    </x:row>
    <x:row r="349">
      <x:c r="A349" s="2" t="str">
        <x:v>335932</x:v>
      </x:c>
      <x:c r="B349" s="2" t="str">
        <x:v>Noncurrent-Carrying Wiring Device Manufacturing</x:v>
      </x:c>
      <x:c r="C349" s="8" t="n">
        <x:v>955</x:v>
      </x:c>
      <x:c r="D349" s="8" t="n">
        <x:v>927</x:v>
      </x:c>
      <x:c r="E349" s="8" t="n">
        <x:v>857</x:v>
      </x:c>
      <x:c r="F349" s="8" t="n">
        <x:v>946</x:v>
      </x:c>
      <x:c r="G349" s="8" t="n">
        <x:v>914</x:v>
      </x:c>
      <x:c r="H349" s="8" t="n">
        <x:v>924</x:v>
      </x:c>
    </x:row>
    <x:row r="350">
      <x:c r="A350" s="2" t="str">
        <x:v>335991</x:v>
      </x:c>
      <x:c r="B350" s="2" t="str">
        <x:v>Carbon and Graphite Product Manufacturing</x:v>
      </x:c>
      <x:c r="C350" s="8" t="n">
        <x:v>703</x:v>
      </x:c>
      <x:c r="D350" s="8" t="n">
        <x:v>773</x:v>
      </x:c>
      <x:c r="E350" s="8" t="n">
        <x:v>663</x:v>
      </x:c>
      <x:c r="F350" s="8" t="n">
        <x:v>859</x:v>
      </x:c>
      <x:c r="G350" s="8" t="n">
        <x:v>938</x:v>
      </x:c>
      <x:c r="H350" s="8" t="n">
        <x:v>1008</x:v>
      </x:c>
    </x:row>
    <x:row r="351">
      <x:c r="A351" s="2" t="str">
        <x:v>335999</x:v>
      </x:c>
      <x:c r="B351" s="2" t="str">
        <x:v>All Other Miscellaneous Electrical Equipment and Component Manufacturing</x:v>
      </x:c>
      <x:c r="C351" s="8" t="n">
        <x:v>4782</x:v>
      </x:c>
      <x:c r="D351" s="8" t="n">
        <x:v>6043</x:v>
      </x:c>
      <x:c r="E351" s="8" t="n">
        <x:v>6122</x:v>
      </x:c>
      <x:c r="F351" s="8" t="n">
        <x:v>6229</x:v>
      </x:c>
      <x:c r="G351" s="8" t="n">
        <x:v>6537</x:v>
      </x:c>
      <x:c r="H351" s="8" t="n">
        <x:v>5634</x:v>
      </x:c>
    </x:row>
    <x:row r="352">
      <x:c r="A352" s="2" t="str">
        <x:v>336211</x:v>
      </x:c>
      <x:c r="B352" s="2" t="str">
        <x:v>Motor Vehicle Body Manufacturing</x:v>
      </x:c>
      <x:c r="C352" s="8" t="n">
        <x:v>2928</x:v>
      </x:c>
      <x:c r="D352" s="8" t="n">
        <x:v>3303</x:v>
      </x:c>
      <x:c r="E352" s="8" t="n">
        <x:v>3364</x:v>
      </x:c>
      <x:c r="F352" s="8" t="n">
        <x:v>3099</x:v>
      </x:c>
      <x:c r="G352" s="8" t="n">
        <x:v>3640</x:v>
      </x:c>
      <x:c r="H352" s="8" t="n">
        <x:v>3658</x:v>
      </x:c>
    </x:row>
    <x:row r="353">
      <x:c r="A353" s="2" t="str">
        <x:v>336212</x:v>
      </x:c>
      <x:c r="B353" s="2" t="str">
        <x:v>Truck Trailer Manufacturing</x:v>
      </x:c>
      <x:c r="C353" s="8" t="n">
        <x:v>1166</x:v>
      </x:c>
      <x:c r="D353" s="8" t="n">
        <x:v>1198</x:v>
      </x:c>
      <x:c r="E353" s="8" t="n">
        <x:v>1197</x:v>
      </x:c>
      <x:c r="F353" s="8" t="n">
        <x:v>1426</x:v>
      </x:c>
      <x:c r="G353" s="8" t="n">
        <x:v>1181</x:v>
      </x:c>
      <x:c r="H353" s="8" t="n">
        <x:v>1003</x:v>
      </x:c>
    </x:row>
    <x:row r="354">
      <x:c r="A354" s="2" t="str">
        <x:v>336213</x:v>
      </x:c>
      <x:c r="B354" s="2" t="str">
        <x:v>Motor Home Manufacturing</x:v>
      </x:c>
      <x:c r="C354" s="8" t="n">
        <x:v>108</x:v>
      </x:c>
      <x:c r="D354" s="8" t="n">
        <x:v>85</x:v>
      </x:c>
      <x:c r="E354" s="8" t="n">
        <x:v>90</x:v>
      </x:c>
      <x:c r="F354" s="8" t="n">
        <x:v>108</x:v>
      </x:c>
      <x:c r="G354" s="8" t="n">
        <x:v>219</x:v>
      </x:c>
      <x:c r="H354" s="8" t="n">
        <x:v>110</x:v>
      </x:c>
    </x:row>
    <x:row r="355">
      <x:c r="A355" s="2" t="str">
        <x:v>336214</x:v>
      </x:c>
      <x:c r="B355" s="2" t="str">
        <x:v>Travel Trailer and Camper Manufacturing</x:v>
      </x:c>
      <x:c r="C355" s="8" t="n">
        <x:v>2411</x:v>
      </x:c>
      <x:c r="D355" s="8" t="n">
        <x:v>2524</x:v>
      </x:c>
      <x:c r="E355" s="8" t="n">
        <x:v>2469</x:v>
      </x:c>
      <x:c r="F355" s="8" t="n">
        <x:v>2040</x:v>
      </x:c>
      <x:c r="G355" s="8" t="n">
        <x:v>1836</x:v>
      </x:c>
      <x:c r="H355" s="8" t="n">
        <x:v>931</x:v>
      </x:c>
    </x:row>
    <x:row r="356">
      <x:c r="A356" s="2" t="str">
        <x:v>336310</x:v>
      </x:c>
      <x:c r="B356" s="2" t="str">
        <x:v>Motor Vehicle Gasoline Engine and Engine Parts Manufacturing</x:v>
      </x:c>
      <x:c r="C356" s="8" t="n">
        <x:v>2390</x:v>
      </x:c>
      <x:c r="D356" s="8" t="n">
        <x:v>2393</x:v>
      </x:c>
      <x:c r="E356" s="8" t="n">
        <x:v>2363</x:v>
      </x:c>
      <x:c r="F356" s="8" t="n">
        <x:v>2208</x:v>
      </x:c>
      <x:c r="G356" s="8" t="n">
        <x:v>2246</x:v>
      </x:c>
      <x:c r="H356" s="8" t="n">
        <x:v>1968</x:v>
      </x:c>
    </x:row>
    <x:row r="357">
      <x:c r="A357" s="2" t="str">
        <x:v>336320</x:v>
      </x:c>
      <x:c r="B357" s="2" t="str">
        <x:v>Motor Vehicle Electrical and Electronic Equipment Manufacturing</x:v>
      </x:c>
      <x:c r="C357" s="8" t="n">
        <x:v>1169</x:v>
      </x:c>
      <x:c r="D357" s="8" t="n">
        <x:v>1379</x:v>
      </x:c>
      <x:c r="E357" s="8" t="n">
        <x:v>2042</x:v>
      </x:c>
      <x:c r="F357" s="8" t="n">
        <x:v>2024</x:v>
      </x:c>
      <x:c r="G357" s="8" t="n">
        <x:v>2616</x:v>
      </x:c>
      <x:c r="H357" s="8" t="n">
        <x:v>1910</x:v>
      </x:c>
    </x:row>
    <x:row r="358">
      <x:c r="A358" s="2" t="str">
        <x:v>336330</x:v>
      </x:c>
      <x:c r="B358" s="2" t="str">
        <x:v>Motor Vehicle Steering and Suspension Components (except Spring) Manufacturing</x:v>
      </x:c>
      <x:c r="C358" s="8" t="n">
        <x:v>1052</x:v>
      </x:c>
      <x:c r="D358" s="8" t="n">
        <x:v>1039</x:v>
      </x:c>
      <x:c r="E358" s="8" t="n">
        <x:v>548</x:v>
      </x:c>
      <x:c r="F358" s="8" t="n">
        <x:v>723</x:v>
      </x:c>
      <x:c r="G358" s="8" t="n">
        <x:v>596</x:v>
      </x:c>
      <x:c r="H358" s="8" t="n">
        <x:v>958</x:v>
      </x:c>
    </x:row>
    <x:row r="359">
      <x:c r="A359" s="2" t="str">
        <x:v>336340</x:v>
      </x:c>
      <x:c r="B359" s="2" t="str">
        <x:v>Motor Vehicle Brake System Manufacturing</x:v>
      </x:c>
      <x:c r="C359" s="8" t="n">
        <x:v>636</x:v>
      </x:c>
      <x:c r="D359" s="8" t="n">
        <x:v>600</x:v>
      </x:c>
      <x:c r="E359" s="8" t="n">
        <x:v>587</x:v>
      </x:c>
      <x:c r="F359" s="8" t="n">
        <x:v>489</x:v>
      </x:c>
      <x:c r="G359" s="8" t="n">
        <x:v>472</x:v>
      </x:c>
      <x:c r="H359" s="8" t="n">
        <x:v>458</x:v>
      </x:c>
    </x:row>
    <x:row r="360">
      <x:c r="A360" s="2" t="str">
        <x:v>336350</x:v>
      </x:c>
      <x:c r="B360" s="2" t="str">
        <x:v>Motor Vehicle Transmission and Power Train Parts Manufacturing</x:v>
      </x:c>
      <x:c r="C360" s="8" t="n">
        <x:v>886</x:v>
      </x:c>
      <x:c r="D360" s="8" t="n">
        <x:v>890</x:v>
      </x:c>
      <x:c r="E360" s="8" t="n">
        <x:v>963</x:v>
      </x:c>
      <x:c r="F360" s="8" t="n">
        <x:v>1037</x:v>
      </x:c>
      <x:c r="G360" s="8" t="n">
        <x:v>990</x:v>
      </x:c>
      <x:c r="H360" s="8" t="n">
        <x:v>939</x:v>
      </x:c>
    </x:row>
    <x:row r="361">
      <x:c r="A361" s="2" t="str">
        <x:v>336360</x:v>
      </x:c>
      <x:c r="B361" s="2" t="str">
        <x:v>Motor Vehicle Seating and Interior Trim Manufacturing</x:v>
      </x:c>
      <x:c r="C361" s="8" t="n">
        <x:v>1283</x:v>
      </x:c>
      <x:c r="D361" s="8" t="n">
        <x:v>1083</x:v>
      </x:c>
      <x:c r="E361" s="8" t="n">
        <x:v>928</x:v>
      </x:c>
      <x:c r="F361" s="8" t="n">
        <x:v>1205</x:v>
      </x:c>
      <x:c r="G361" s="8" t="n">
        <x:v>1190</x:v>
      </x:c>
      <x:c r="H361" s="8" t="n">
        <x:v>1445</x:v>
      </x:c>
    </x:row>
    <x:row r="362">
      <x:c r="A362" s="2" t="str">
        <x:v>336370</x:v>
      </x:c>
      <x:c r="B362" s="2" t="str">
        <x:v>Motor Vehicle Metal Stamping</x:v>
      </x:c>
      <x:c r="C362" s="8" t="n">
        <x:v>364</x:v>
      </x:c>
      <x:c r="D362" s="8" t="n">
        <x:v>366</x:v>
      </x:c>
      <x:c r="E362" s="8" t="n">
        <x:v>390</x:v>
      </x:c>
      <x:c r="F362" s="8" t="n">
        <x:v>461</x:v>
      </x:c>
      <x:c r="G362" s="8" t="n">
        <x:v>457</x:v>
      </x:c>
      <x:c r="H362" s="8" t="n">
        <x:v>449</x:v>
      </x:c>
    </x:row>
    <x:row r="363">
      <x:c r="A363" s="2" t="str">
        <x:v>336390</x:v>
      </x:c>
      <x:c r="B363" s="2" t="str">
        <x:v>Other Motor Vehicle Parts Manufacturing</x:v>
      </x:c>
      <x:c r="C363" s="8" t="n">
        <x:v>5123</x:v>
      </x:c>
      <x:c r="D363" s="8" t="n">
        <x:v>4952</x:v>
      </x:c>
      <x:c r="E363" s="8" t="n">
        <x:v>4671</x:v>
      </x:c>
      <x:c r="F363" s="8" t="n">
        <x:v>4178</x:v>
      </x:c>
      <x:c r="G363" s="8" t="n">
        <x:v>3892</x:v>
      </x:c>
      <x:c r="H363" s="8" t="n">
        <x:v>3033</x:v>
      </x:c>
    </x:row>
    <x:row r="364">
      <x:c r="A364" s="2" t="str">
        <x:v>336411</x:v>
      </x:c>
      <x:c r="B364" s="2" t="str">
        <x:v>Aircraft Manufacturing</x:v>
      </x:c>
      <x:c r="C364" s="8" t="n">
        <x:v>20011</x:v>
      </x:c>
      <x:c r="D364" s="8" t="n">
        <x:v>21278</x:v>
      </x:c>
      <x:c r="E364" s="8" t="n">
        <x:v>22703</x:v>
      </x:c>
      <x:c r="F364" s="8" t="n">
        <x:v>25906</x:v>
      </x:c>
      <x:c r="G364" s="8" t="n">
        <x:v>26964</x:v>
      </x:c>
      <x:c r="H364" s="8" t="n">
        <x:v>36554</x:v>
      </x:c>
    </x:row>
    <x:row r="365">
      <x:c r="A365" s="2" t="str">
        <x:v>336412</x:v>
      </x:c>
      <x:c r="B365" s="2" t="str">
        <x:v>Aircraft Engine and Engine Parts Manufacturing</x:v>
      </x:c>
      <x:c r="C365" s="8" t="n">
        <x:v>1709</x:v>
      </x:c>
      <x:c r="D365" s="8" t="n">
        <x:v>1782</x:v>
      </x:c>
      <x:c r="E365" s="8" t="n">
        <x:v>1833</x:v>
      </x:c>
      <x:c r="F365" s="8" t="n">
        <x:v>3245</x:v>
      </x:c>
      <x:c r="G365" s="8" t="n">
        <x:v>3786</x:v>
      </x:c>
      <x:c r="H365" s="8" t="n">
        <x:v>5630</x:v>
      </x:c>
    </x:row>
    <x:row r="366">
      <x:c r="A366" s="2" t="str">
        <x:v>336413</x:v>
      </x:c>
      <x:c r="B366" s="2" t="str">
        <x:v>Other Aircraft Parts and Auxiliary Equipment Manufacturing</x:v>
      </x:c>
      <x:c r="C366" s="8" t="n">
        <x:v>29492</x:v>
      </x:c>
      <x:c r="D366" s="8" t="n">
        <x:v>28619</x:v>
      </x:c>
      <x:c r="E366" s="8" t="n">
        <x:v>29017</x:v>
      </x:c>
      <x:c r="F366" s="8" t="n">
        <x:v>22897</x:v>
      </x:c>
      <x:c r="G366" s="8" t="n">
        <x:v>24027</x:v>
      </x:c>
      <x:c r="H366" s="8" t="n">
        <x:v>24790</x:v>
      </x:c>
    </x:row>
    <x:row r="367">
      <x:c r="A367" s="2" t="str">
        <x:v>336414</x:v>
      </x:c>
      <x:c r="B367" s="2" t="str">
        <x:v>Guided Missile and Space Vehicle Manufacturing</x:v>
      </x:c>
      <x:c r="C367" s="8" t="n">
        <x:v>20333</x:v>
      </x:c>
      <x:c r="D367" s="8" t="n">
        <x:v>20161</x:v>
      </x:c>
      <x:c r="E367" s="8" t="n">
        <x:v>19856</x:v>
      </x:c>
      <x:c r="F367" s="8" t="n">
        <x:v>21637</x:v>
      </x:c>
      <x:c r="G367" s="8" t="n">
        <x:v>23500</x:v>
      </x:c>
      <x:c r="H367" s="8" t="n">
        <x:v>25746</x:v>
      </x:c>
    </x:row>
    <x:row r="368">
      <x:c r="A368" s="2" t="str">
        <x:v>336510</x:v>
      </x:c>
      <x:c r="B368" s="2" t="str">
        <x:v>Railroad Rolling Stock Manufacturing</x:v>
      </x:c>
      <x:c r="C368" s="8" t="n">
        <x:v>1089</x:v>
      </x:c>
      <x:c r="D368" s="8" t="n">
        <x:v>1201</x:v>
      </x:c>
      <x:c r="E368" s="8" t="n">
        <x:v>1718</x:v>
      </x:c>
      <x:c r="F368" s="8" t="n">
        <x:v>2205</x:v>
      </x:c>
      <x:c r="G368" s="8" t="n">
        <x:v>2828</x:v>
      </x:c>
      <x:c r="H368" s="8" t="n">
        <x:v>2765</x:v>
      </x:c>
    </x:row>
    <x:row r="369">
      <x:c r="A369" s="2" t="str">
        <x:v>336611</x:v>
      </x:c>
      <x:c r="B369" s="2" t="str">
        <x:v>Ship Building and Repairing</x:v>
      </x:c>
      <x:c r="C369" s="8" t="n">
        <x:v>7884</x:v>
      </x:c>
      <x:c r="D369" s="8" t="n">
        <x:v>7307</x:v>
      </x:c>
      <x:c r="E369" s="8" t="n">
        <x:v>7774</x:v>
      </x:c>
      <x:c r="F369" s="8" t="n">
        <x:v>7986</x:v>
      </x:c>
      <x:c r="G369" s="8" t="n">
        <x:v>8157</x:v>
      </x:c>
      <x:c r="H369" s="8" t="n">
        <x:v>7991</x:v>
      </x:c>
    </x:row>
    <x:row r="370">
      <x:c r="A370" s="2" t="str">
        <x:v>336612</x:v>
      </x:c>
      <x:c r="B370" s="2" t="str">
        <x:v>Boat Building</x:v>
      </x:c>
      <x:c r="C370" s="8" t="n">
        <x:v>1203</x:v>
      </x:c>
      <x:c r="D370" s="8" t="n">
        <x:v>1124</x:v>
      </x:c>
      <x:c r="E370" s="8" t="n">
        <x:v>1125</x:v>
      </x:c>
      <x:c r="F370" s="8" t="n">
        <x:v>1434</x:v>
      </x:c>
      <x:c r="G370" s="8" t="n">
        <x:v>1240</x:v>
      </x:c>
      <x:c r="H370" s="8" t="n">
        <x:v>1248</x:v>
      </x:c>
    </x:row>
    <x:row r="371">
      <x:c r="A371" s="2" t="str">
        <x:v>336991</x:v>
      </x:c>
      <x:c r="B371" s="2" t="str">
        <x:v>Motorcycle, Bicycle, and Parts Manufacturing</x:v>
      </x:c>
      <x:c r="C371" s="8" t="n">
        <x:v>2044</x:v>
      </x:c>
      <x:c r="D371" s="8" t="n">
        <x:v>1958</x:v>
      </x:c>
      <x:c r="E371" s="8" t="n">
        <x:v>1889</x:v>
      </x:c>
      <x:c r="F371" s="8" t="n">
        <x:v>2137</x:v>
      </x:c>
      <x:c r="G371" s="8" t="n">
        <x:v>1972</x:v>
      </x:c>
      <x:c r="H371" s="8" t="n">
        <x:v>1665</x:v>
      </x:c>
    </x:row>
    <x:row r="372">
      <x:c r="A372" s="2" t="str">
        <x:v>336992</x:v>
      </x:c>
      <x:c r="B372" s="2" t="str">
        <x:v>Military Armored Vehicle, Tank, and Tank Component Manufacturing</x:v>
      </x:c>
      <x:c r="C372" s="8" t="n">
        <x:v>600</x:v>
      </x:c>
      <x:c r="D372" s="8" t="n">
        <x:v>614</x:v>
      </x:c>
      <x:c r="E372" s="8" t="n">
        <x:v>934</x:v>
      </x:c>
      <x:c r="F372" s="8" t="n">
        <x:v>974</x:v>
      </x:c>
      <x:c r="G372" s="8" t="n">
        <x:v>916</x:v>
      </x:c>
      <x:c r="H372" s="8" t="n">
        <x:v>840</x:v>
      </x:c>
    </x:row>
    <x:row r="373">
      <x:c r="A373" s="2" t="str">
        <x:v>336999</x:v>
      </x:c>
      <x:c r="B373" s="2" t="str">
        <x:v>All Other Transportation Equipment Manufacturing</x:v>
      </x:c>
      <x:c r="C373" s="8" t="n">
        <x:v>673</x:v>
      </x:c>
      <x:c r="D373" s="8" t="n">
        <x:v>425</x:v>
      </x:c>
      <x:c r="E373" s="8" t="n">
        <x:v>437</x:v>
      </x:c>
      <x:c r="F373" s="8" t="n">
        <x:v>537</x:v>
      </x:c>
      <x:c r="G373" s="8" t="n">
        <x:v>518</x:v>
      </x:c>
      <x:c r="H373" s="8" t="n">
        <x:v>508</x:v>
      </x:c>
    </x:row>
    <x:row r="374">
      <x:c r="A374" s="2" t="str">
        <x:v>337110</x:v>
      </x:c>
      <x:c r="B374" s="2" t="str">
        <x:v>Wood Kitchen Cabinet and Countertop Manufacturing</x:v>
      </x:c>
      <x:c r="C374" s="8" t="n">
        <x:v>10051</x:v>
      </x:c>
      <x:c r="D374" s="8" t="n">
        <x:v>10374</x:v>
      </x:c>
      <x:c r="E374" s="8" t="n">
        <x:v>10048</x:v>
      </x:c>
      <x:c r="F374" s="8" t="n">
        <x:v>10188</x:v>
      </x:c>
      <x:c r="G374" s="8" t="n">
        <x:v>10003</x:v>
      </x:c>
      <x:c r="H374" s="8" t="n">
        <x:v>8240</x:v>
      </x:c>
    </x:row>
    <x:row r="375">
      <x:c r="A375" s="2" t="str">
        <x:v>337121</x:v>
      </x:c>
      <x:c r="B375" s="2" t="str">
        <x:v>Upholstered Household Furniture Manufacturing</x:v>
      </x:c>
      <x:c r="C375" s="8" t="n">
        <x:v>5941</x:v>
      </x:c>
      <x:c r="D375" s="8" t="n">
        <x:v>5897</x:v>
      </x:c>
      <x:c r="E375" s="8" t="n">
        <x:v>5380</x:v>
      </x:c>
      <x:c r="F375" s="8" t="n">
        <x:v>3972</x:v>
      </x:c>
      <x:c r="G375" s="8" t="n">
        <x:v>3353</x:v>
      </x:c>
      <x:c r="H375" s="8" t="n">
        <x:v>2779</x:v>
      </x:c>
    </x:row>
    <x:row r="376">
      <x:c r="A376" s="2" t="str">
        <x:v>337122</x:v>
      </x:c>
      <x:c r="B376" s="2" t="str">
        <x:v>Nonupholstered Wood Household Furniture Manufacturing</x:v>
      </x:c>
      <x:c r="C376" s="8" t="n">
        <x:v>3215</x:v>
      </x:c>
      <x:c r="D376" s="8" t="n">
        <x:v>2892</x:v>
      </x:c>
      <x:c r="E376" s="8" t="n">
        <x:v>2371</x:v>
      </x:c>
      <x:c r="F376" s="8" t="n">
        <x:v>2291</x:v>
      </x:c>
      <x:c r="G376" s="8" t="n">
        <x:v>2177</x:v>
      </x:c>
      <x:c r="H376" s="8" t="n">
        <x:v>1558</x:v>
      </x:c>
    </x:row>
    <x:row r="377">
      <x:c r="A377" s="2" t="str">
        <x:v>337126</x:v>
      </x:c>
      <x:c r="B377" s="2" t="str">
        <x:v>Household Furniture (except Wood and Upholstered) Manufacturing</x:v>
      </x:c>
      <x:c r="C377" s="8" t="n">
        <x:v>1652</x:v>
      </x:c>
      <x:c r="D377" s="8" t="n">
        <x:v>1609</x:v>
      </x:c>
      <x:c r="E377" s="8" t="n">
        <x:v>1357</x:v>
      </x:c>
      <x:c r="F377" s="8" t="n">
        <x:v>1207</x:v>
      </x:c>
      <x:c r="G377" s="8" t="n">
        <x:v>1125</x:v>
      </x:c>
      <x:c r="H377" s="8" t="n">
        <x:v>693</x:v>
      </x:c>
    </x:row>
    <x:row r="378">
      <x:c r="A378" s="2" t="str">
        <x:v>337127</x:v>
      </x:c>
      <x:c r="B378" s="2" t="str">
        <x:v>Institutional Furniture Manufacturing</x:v>
      </x:c>
      <x:c r="C378" s="8" t="n">
        <x:v>1384</x:v>
      </x:c>
      <x:c r="D378" s="8" t="n">
        <x:v>1273</x:v>
      </x:c>
      <x:c r="E378" s="8" t="n">
        <x:v>1255</x:v>
      </x:c>
      <x:c r="F378" s="8" t="n">
        <x:v>1075</x:v>
      </x:c>
      <x:c r="G378" s="8" t="n">
        <x:v>1097</x:v>
      </x:c>
      <x:c r="H378" s="8" t="n">
        <x:v>1171</x:v>
      </x:c>
    </x:row>
    <x:row r="379">
      <x:c r="A379" s="2" t="str">
        <x:v>337211</x:v>
      </x:c>
      <x:c r="B379" s="2" t="str">
        <x:v>Wood Office Furniture Manufacturing</x:v>
      </x:c>
      <x:c r="C379" s="8" t="n">
        <x:v>1468</x:v>
      </x:c>
      <x:c r="D379" s="8" t="n">
        <x:v>1298</x:v>
      </x:c>
      <x:c r="E379" s="8" t="n">
        <x:v>1307</x:v>
      </x:c>
      <x:c r="F379" s="8" t="n">
        <x:v>1174</x:v>
      </x:c>
      <x:c r="G379" s="8" t="n">
        <x:v>1089</x:v>
      </x:c>
      <x:c r="H379" s="8" t="n">
        <x:v>753</x:v>
      </x:c>
    </x:row>
    <x:row r="380">
      <x:c r="A380" s="2" t="str">
        <x:v>337212</x:v>
      </x:c>
      <x:c r="B380" s="2" t="str">
        <x:v>Custom Architectural Woodwork and Millwork Manufacturing</x:v>
      </x:c>
      <x:c r="C380" s="8" t="n">
        <x:v>2356</x:v>
      </x:c>
      <x:c r="D380" s="8" t="n">
        <x:v>2542</x:v>
      </x:c>
      <x:c r="E380" s="8" t="n">
        <x:v>2604</x:v>
      </x:c>
      <x:c r="F380" s="8" t="n">
        <x:v>2933</x:v>
      </x:c>
      <x:c r="G380" s="8" t="n">
        <x:v>3079</x:v>
      </x:c>
      <x:c r="H380" s="8" t="n">
        <x:v>3117</x:v>
      </x:c>
    </x:row>
    <x:row r="381">
      <x:c r="A381" s="2" t="str">
        <x:v>337214</x:v>
      </x:c>
      <x:c r="B381" s="2" t="str">
        <x:v>Office Furniture (except Wood) Manufacturing</x:v>
      </x:c>
      <x:c r="C381" s="8" t="n">
        <x:v>1572</x:v>
      </x:c>
      <x:c r="D381" s="8" t="n">
        <x:v>1678</x:v>
      </x:c>
      <x:c r="E381" s="8" t="n">
        <x:v>1582</x:v>
      </x:c>
      <x:c r="F381" s="8" t="n">
        <x:v>1480</x:v>
      </x:c>
      <x:c r="G381" s="8" t="n">
        <x:v>1600</x:v>
      </x:c>
      <x:c r="H381" s="8" t="n">
        <x:v>1266</x:v>
      </x:c>
    </x:row>
    <x:row r="382">
      <x:c r="A382" s="2" t="str">
        <x:v>337215</x:v>
      </x:c>
      <x:c r="B382" s="2" t="str">
        <x:v>Showcase, Partition, Shelving, and Locker Manufacturing</x:v>
      </x:c>
      <x:c r="C382" s="8" t="n">
        <x:v>2819</x:v>
      </x:c>
      <x:c r="D382" s="8" t="n">
        <x:v>2887</x:v>
      </x:c>
      <x:c r="E382" s="8" t="n">
        <x:v>3111</x:v>
      </x:c>
      <x:c r="F382" s="8" t="n">
        <x:v>2716</x:v>
      </x:c>
      <x:c r="G382" s="8" t="n">
        <x:v>2668</x:v>
      </x:c>
      <x:c r="H382" s="8" t="n">
        <x:v>2709</x:v>
      </x:c>
    </x:row>
    <x:row r="383">
      <x:c r="A383" s="2" t="str">
        <x:v>337910</x:v>
      </x:c>
      <x:c r="B383" s="2" t="str">
        <x:v>Mattress Manufacturing</x:v>
      </x:c>
      <x:c r="C383" s="8" t="n">
        <x:v>2317</x:v>
      </x:c>
      <x:c r="D383" s="8" t="n">
        <x:v>2357</x:v>
      </x:c>
      <x:c r="E383" s="8" t="n">
        <x:v>2225</x:v>
      </x:c>
      <x:c r="F383" s="8" t="n">
        <x:v>2460</x:v>
      </x:c>
      <x:c r="G383" s="8" t="n">
        <x:v>2164</x:v>
      </x:c>
      <x:c r="H383" s="8" t="n">
        <x:v>1613</x:v>
      </x:c>
    </x:row>
    <x:row r="384">
      <x:c r="A384" s="2" t="str">
        <x:v>337920</x:v>
      </x:c>
      <x:c r="B384" s="2" t="str">
        <x:v>Blind and Shade Manufacturing</x:v>
      </x:c>
      <x:c r="C384" s="8" t="n">
        <x:v>2312</x:v>
      </x:c>
      <x:c r="D384" s="8" t="n">
        <x:v>2383</x:v>
      </x:c>
      <x:c r="E384" s="8" t="n">
        <x:v>2232</x:v>
      </x:c>
      <x:c r="F384" s="8" t="n">
        <x:v>1515</x:v>
      </x:c>
      <x:c r="G384" s="8" t="n">
        <x:v>1334</x:v>
      </x:c>
      <x:c r="H384" s="8" t="n">
        <x:v>1119</x:v>
      </x:c>
    </x:row>
    <x:row r="385">
      <x:c r="A385" s="2" t="str">
        <x:v>339112</x:v>
      </x:c>
      <x:c r="B385" s="2" t="str">
        <x:v>Surgical and Medical Instrument Manufacturing</x:v>
      </x:c>
      <x:c r="C385" s="8" t="n">
        <x:v>22686</x:v>
      </x:c>
      <x:c r="D385" s="8" t="n">
        <x:v>26403</x:v>
      </x:c>
      <x:c r="E385" s="8" t="n">
        <x:v>27500</x:v>
      </x:c>
      <x:c r="F385" s="8" t="n">
        <x:v>29822</x:v>
      </x:c>
      <x:c r="G385" s="8" t="n">
        <x:v>30101</x:v>
      </x:c>
      <x:c r="H385" s="8" t="n">
        <x:v>30970</x:v>
      </x:c>
    </x:row>
    <x:row r="386">
      <x:c r="A386" s="2" t="str">
        <x:v>339113</x:v>
      </x:c>
      <x:c r="B386" s="2" t="str">
        <x:v>Surgical Appliance and Supplies Manufacturing</x:v>
      </x:c>
      <x:c r="C386" s="8" t="n">
        <x:v>10677</x:v>
      </x:c>
      <x:c r="D386" s="8" t="n">
        <x:v>10490</x:v>
      </x:c>
      <x:c r="E386" s="8" t="n">
        <x:v>10945</x:v>
      </x:c>
      <x:c r="F386" s="8" t="n">
        <x:v>11399</x:v>
      </x:c>
      <x:c r="G386" s="8" t="n">
        <x:v>11741</x:v>
      </x:c>
      <x:c r="H386" s="8" t="n">
        <x:v>8744</x:v>
      </x:c>
    </x:row>
    <x:row r="387">
      <x:c r="A387" s="2" t="str">
        <x:v>339114</x:v>
      </x:c>
      <x:c r="B387" s="2" t="str">
        <x:v>Dental Equipment and Supplies Manufacturing</x:v>
      </x:c>
      <x:c r="C387" s="8" t="n">
        <x:v>3203</x:v>
      </x:c>
      <x:c r="D387" s="8" t="n">
        <x:v>3155</x:v>
      </x:c>
      <x:c r="E387" s="8" t="n">
        <x:v>3131</x:v>
      </x:c>
      <x:c r="F387" s="8" t="n">
        <x:v>3242</x:v>
      </x:c>
      <x:c r="G387" s="8" t="n">
        <x:v>3157</x:v>
      </x:c>
      <x:c r="H387" s="8" t="n">
        <x:v>3412</x:v>
      </x:c>
    </x:row>
    <x:row r="388">
      <x:c r="A388" s="2" t="str">
        <x:v>339115</x:v>
      </x:c>
      <x:c r="B388" s="2" t="str">
        <x:v>Ophthalmic Goods Manufacturing</x:v>
      </x:c>
      <x:c r="C388" s="8" t="n">
        <x:v>5132</x:v>
      </x:c>
      <x:c r="D388" s="8" t="n">
        <x:v>4226</x:v>
      </x:c>
      <x:c r="E388" s="8" t="n">
        <x:v>4166</x:v>
      </x:c>
      <x:c r="F388" s="8" t="n">
        <x:v>4625</x:v>
      </x:c>
      <x:c r="G388" s="8" t="n">
        <x:v>4455</x:v>
      </x:c>
      <x:c r="H388" s="8" t="n">
        <x:v>3740</x:v>
      </x:c>
    </x:row>
    <x:row r="389">
      <x:c r="A389" s="2" t="str">
        <x:v>339116</x:v>
      </x:c>
      <x:c r="B389" s="2" t="str">
        <x:v>Dental Laboratories</x:v>
      </x:c>
      <x:c r="C389" s="8" t="n">
        <x:v>9275</x:v>
      </x:c>
      <x:c r="D389" s="8" t="n">
        <x:v>9445</x:v>
      </x:c>
      <x:c r="E389" s="8" t="n">
        <x:v>9654</x:v>
      </x:c>
      <x:c r="F389" s="8" t="n">
        <x:v>9565</x:v>
      </x:c>
      <x:c r="G389" s="8" t="n">
        <x:v>9715</x:v>
      </x:c>
      <x:c r="H389" s="8" t="n">
        <x:v>7993</x:v>
      </x:c>
    </x:row>
    <x:row r="390">
      <x:c r="A390" s="2" t="str">
        <x:v>339910</x:v>
      </x:c>
      <x:c r="B390" s="2" t="str">
        <x:v>Jewelry and Silverware Manufacturing</x:v>
      </x:c>
      <x:c r="C390" s="8" t="n">
        <x:v>2740</x:v>
      </x:c>
      <x:c r="D390" s="8" t="n">
        <x:v>2801</x:v>
      </x:c>
      <x:c r="E390" s="8" t="n">
        <x:v>2725</x:v>
      </x:c>
      <x:c r="F390" s="8" t="n">
        <x:v>2772</x:v>
      </x:c>
      <x:c r="G390" s="8" t="n">
        <x:v>2580</x:v>
      </x:c>
      <x:c r="H390" s="8" t="n">
        <x:v>2396</x:v>
      </x:c>
    </x:row>
    <x:row r="391">
      <x:c r="A391" s="2" t="str">
        <x:v>339920</x:v>
      </x:c>
      <x:c r="B391" s="2" t="str">
        <x:v>Sporting and Athletic Goods Manufacturing</x:v>
      </x:c>
      <x:c r="C391" s="8" t="n">
        <x:v>4743</x:v>
      </x:c>
      <x:c r="D391" s="8" t="n">
        <x:v>4811</x:v>
      </x:c>
      <x:c r="E391" s="8" t="n">
        <x:v>4593</x:v>
      </x:c>
      <x:c r="F391" s="8" t="n">
        <x:v>5325</x:v>
      </x:c>
      <x:c r="G391" s="8" t="n">
        <x:v>5037</x:v>
      </x:c>
      <x:c r="H391" s="8" t="n">
        <x:v>4594</x:v>
      </x:c>
    </x:row>
    <x:row r="392">
      <x:c r="A392" s="2" t="str">
        <x:v>339930</x:v>
      </x:c>
      <x:c r="B392" s="2" t="str">
        <x:v>Doll, Toy, and Game Manufacturing</x:v>
      </x:c>
      <x:c r="C392" s="8" t="n">
        <x:v>2623</x:v>
      </x:c>
      <x:c r="D392" s="8" t="n">
        <x:v>3069</x:v>
      </x:c>
      <x:c r="E392" s="8" t="n">
        <x:v>2758</x:v>
      </x:c>
      <x:c r="F392" s="8" t="n">
        <x:v>2602</x:v>
      </x:c>
      <x:c r="G392" s="8" t="n">
        <x:v>2613</x:v>
      </x:c>
      <x:c r="H392" s="8" t="n">
        <x:v>2745</x:v>
      </x:c>
    </x:row>
    <x:row r="393">
      <x:c r="A393" s="2" t="str">
        <x:v>339940</x:v>
      </x:c>
      <x:c r="B393" s="2" t="str">
        <x:v>Office Supplies (except Paper) Manufacturing</x:v>
      </x:c>
      <x:c r="C393" s="8" t="n">
        <x:v>833</x:v>
      </x:c>
      <x:c r="D393" s="8" t="n">
        <x:v>881</x:v>
      </x:c>
      <x:c r="E393" s="8" t="n">
        <x:v>911</x:v>
      </x:c>
      <x:c r="F393" s="8" t="n">
        <x:v>922</x:v>
      </x:c>
      <x:c r="G393" s="8" t="n">
        <x:v>1035</x:v>
      </x:c>
      <x:c r="H393" s="8" t="n">
        <x:v>719</x:v>
      </x:c>
    </x:row>
    <x:row r="394">
      <x:c r="A394" s="2" t="str">
        <x:v>339950</x:v>
      </x:c>
      <x:c r="B394" s="2" t="str">
        <x:v>Sign Manufacturing</x:v>
      </x:c>
      <x:c r="C394" s="8" t="n">
        <x:v>7155</x:v>
      </x:c>
      <x:c r="D394" s="8" t="n">
        <x:v>7318</x:v>
      </x:c>
      <x:c r="E394" s="8" t="n">
        <x:v>7166</x:v>
      </x:c>
      <x:c r="F394" s="8" t="n">
        <x:v>6090</x:v>
      </x:c>
      <x:c r="G394" s="8" t="n">
        <x:v>6302</x:v>
      </x:c>
      <x:c r="H394" s="8" t="n">
        <x:v>6150</x:v>
      </x:c>
    </x:row>
    <x:row r="395">
      <x:c r="A395" s="2" t="str">
        <x:v>339991</x:v>
      </x:c>
      <x:c r="B395" s="2" t="str">
        <x:v>Gasket, Packing, and Sealing Device Manufacturing</x:v>
      </x:c>
      <x:c r="C395" s="8" t="n">
        <x:v>1829</x:v>
      </x:c>
      <x:c r="D395" s="8" t="n">
        <x:v>1954</x:v>
      </x:c>
      <x:c r="E395" s="8" t="n">
        <x:v>2083</x:v>
      </x:c>
      <x:c r="F395" s="8" t="n">
        <x:v>1865</x:v>
      </x:c>
      <x:c r="G395" s="8" t="n">
        <x:v>2052</x:v>
      </x:c>
      <x:c r="H395" s="8" t="n">
        <x:v>2235</x:v>
      </x:c>
    </x:row>
    <x:row r="396">
      <x:c r="A396" s="2" t="str">
        <x:v>339992</x:v>
      </x:c>
      <x:c r="B396" s="2" t="str">
        <x:v>Musical Instrument Manufacturing</x:v>
      </x:c>
      <x:c r="C396" s="8" t="n">
        <x:v>3119</x:v>
      </x:c>
      <x:c r="D396" s="8" t="n">
        <x:v>3301</x:v>
      </x:c>
      <x:c r="E396" s="8" t="n">
        <x:v>3341</x:v>
      </x:c>
      <x:c r="F396" s="8" t="n">
        <x:v>3856</x:v>
      </x:c>
      <x:c r="G396" s="8" t="n">
        <x:v>3801</x:v>
      </x:c>
      <x:c r="H396" s="8" t="n">
        <x:v>3088</x:v>
      </x:c>
    </x:row>
    <x:row r="397">
      <x:c r="A397" s="2" t="str">
        <x:v>339993</x:v>
      </x:c>
      <x:c r="B397" s="2" t="str">
        <x:v>Fastener, Button, Needle, and Pin Manufacturing</x:v>
      </x:c>
      <x:c r="C397" s="8" t="n">
        <x:v>454</x:v>
      </x:c>
      <x:c r="D397" s="8" t="n">
        <x:v>394</x:v>
      </x:c>
      <x:c r="E397" s="8" t="n">
        <x:v>361</x:v>
      </x:c>
      <x:c r="F397" s="8" t="n">
        <x:v>262</x:v>
      </x:c>
      <x:c r="G397" s="8" t="n">
        <x:v>231</x:v>
      </x:c>
      <x:c r="H397" s="8" t="n">
        <x:v>201</x:v>
      </x:c>
    </x:row>
    <x:row r="398">
      <x:c r="A398" s="2" t="str">
        <x:v>339994</x:v>
      </x:c>
      <x:c r="B398" s="2" t="str">
        <x:v>Broom, Brush, and Mop Manufacturing</x:v>
      </x:c>
      <x:c r="C398" s="8" t="n">
        <x:v>603</x:v>
      </x:c>
      <x:c r="D398" s="8" t="n">
        <x:v>626</x:v>
      </x:c>
      <x:c r="E398" s="8" t="n">
        <x:v>626</x:v>
      </x:c>
      <x:c r="F398" s="8" t="n">
        <x:v>492</x:v>
      </x:c>
      <x:c r="G398" s="8" t="n">
        <x:v>466</x:v>
      </x:c>
      <x:c r="H398" s="8" t="n">
        <x:v>417</x:v>
      </x:c>
    </x:row>
    <x:row r="399">
      <x:c r="A399" s="2" t="str">
        <x:v>339995</x:v>
      </x:c>
      <x:c r="B399" s="2" t="str">
        <x:v>Burial Casket Manufacturing</x:v>
      </x:c>
      <x:c r="C399" s="8" t="n">
        <x:v>39</x:v>
      </x:c>
      <x:c r="D399" s="8" t="n">
        <x:v>35</x:v>
      </x:c>
      <x:c r="E399" s="8" t="n">
        <x:v>34</x:v>
      </x:c>
      <x:c r="F399" s="8" t="n">
        <x:v>33</x:v>
      </x:c>
      <x:c r="G399" s="8" t="n">
        <x:v>42</x:v>
      </x:c>
      <x:c r="H399" s="8" t="n">
        <x:v>31</x:v>
      </x:c>
    </x:row>
    <x:row r="400">
      <x:c r="A400" s="2" t="str">
        <x:v>339999</x:v>
      </x:c>
      <x:c r="B400" s="2" t="str">
        <x:v>All Other Miscellaneous Manufacturing</x:v>
      </x:c>
      <x:c r="C400" s="8" t="n">
        <x:v>6258</x:v>
      </x:c>
      <x:c r="D400" s="8" t="n">
        <x:v>6720</x:v>
      </x:c>
      <x:c r="E400" s="8" t="n">
        <x:v>6399</x:v>
      </x:c>
      <x:c r="F400" s="8" t="n">
        <x:v>5886</x:v>
      </x:c>
      <x:c r="G400" s="8" t="n">
        <x:v>5482</x:v>
      </x:c>
      <x:c r="H400" s="8" t="n">
        <x:v>4704</x:v>
      </x:c>
    </x:row>
    <x:row r="401">
      <x:c r="A401" s="2" t="str">
        <x:v>423110</x:v>
      </x:c>
      <x:c r="B401" s="2" t="str">
        <x:v>Automobile and Other Motor Vehicle Merchant Wholesalers</x:v>
      </x:c>
      <x:c r="C401" s="8" t="n">
        <x:v>11002</x:v>
      </x:c>
      <x:c r="D401" s="8" t="n">
        <x:v>11933</x:v>
      </x:c>
      <x:c r="E401" s="8" t="n">
        <x:v>12032</x:v>
      </x:c>
      <x:c r="F401" s="8" t="n">
        <x:v>11704</x:v>
      </x:c>
      <x:c r="G401" s="8" t="n">
        <x:v>12322</x:v>
      </x:c>
      <x:c r="H401" s="8" t="n">
        <x:v>11974</x:v>
      </x:c>
    </x:row>
    <x:row r="402">
      <x:c r="A402" s="2" t="str">
        <x:v>423120</x:v>
      </x:c>
      <x:c r="B402" s="2" t="str">
        <x:v>Motor Vehicle Supplies and New Parts Merchant Wholesalers</x:v>
      </x:c>
      <x:c r="C402" s="8" t="n">
        <x:v>22704</x:v>
      </x:c>
      <x:c r="D402" s="8" t="n">
        <x:v>23113</x:v>
      </x:c>
      <x:c r="E402" s="8" t="n">
        <x:v>23236</x:v>
      </x:c>
      <x:c r="F402" s="8" t="n">
        <x:v>21318</x:v>
      </x:c>
      <x:c r="G402" s="8" t="n">
        <x:v>21206</x:v>
      </x:c>
      <x:c r="H402" s="8" t="n">
        <x:v>18855</x:v>
      </x:c>
    </x:row>
    <x:row r="403">
      <x:c r="A403" s="2" t="str">
        <x:v>423130</x:v>
      </x:c>
      <x:c r="B403" s="2" t="str">
        <x:v>Tire and Tube Merchant Wholesalers</x:v>
      </x:c>
      <x:c r="C403" s="8" t="n">
        <x:v>3133</x:v>
      </x:c>
      <x:c r="D403" s="8" t="n">
        <x:v>3401</x:v>
      </x:c>
      <x:c r="E403" s="8" t="n">
        <x:v>3462</x:v>
      </x:c>
      <x:c r="F403" s="8" t="n">
        <x:v>3382</x:v>
      </x:c>
      <x:c r="G403" s="8" t="n">
        <x:v>3985</x:v>
      </x:c>
      <x:c r="H403" s="8" t="n">
        <x:v>3503</x:v>
      </x:c>
    </x:row>
    <x:row r="404">
      <x:c r="A404" s="2" t="str">
        <x:v>423140</x:v>
      </x:c>
      <x:c r="B404" s="2" t="str">
        <x:v>Motor Vehicle Parts (Used) Merchant Wholesalers</x:v>
      </x:c>
      <x:c r="C404" s="8" t="n">
        <x:v>2057</x:v>
      </x:c>
      <x:c r="D404" s="8" t="n">
        <x:v>2119</x:v>
      </x:c>
      <x:c r="E404" s="8" t="n">
        <x:v>2285</x:v>
      </x:c>
      <x:c r="F404" s="8" t="n">
        <x:v>2123</x:v>
      </x:c>
      <x:c r="G404" s="8" t="n">
        <x:v>2090</x:v>
      </x:c>
      <x:c r="H404" s="8" t="n">
        <x:v>1871</x:v>
      </x:c>
    </x:row>
    <x:row r="405">
      <x:c r="A405" s="2" t="str">
        <x:v>423210</x:v>
      </x:c>
      <x:c r="B405" s="2" t="str">
        <x:v>Furniture Merchant Wholesalers</x:v>
      </x:c>
      <x:c r="C405" s="8" t="n">
        <x:v>10035</x:v>
      </x:c>
      <x:c r="D405" s="8" t="n">
        <x:v>10333</x:v>
      </x:c>
      <x:c r="E405" s="8" t="n">
        <x:v>10557</x:v>
      </x:c>
      <x:c r="F405" s="8" t="n">
        <x:v>9403</x:v>
      </x:c>
      <x:c r="G405" s="8" t="n">
        <x:v>8561</x:v>
      </x:c>
      <x:c r="H405" s="8" t="n">
        <x:v>6633</x:v>
      </x:c>
    </x:row>
    <x:row r="406">
      <x:c r="A406" s="2" t="str">
        <x:v>423220</x:v>
      </x:c>
      <x:c r="B406" s="2" t="str">
        <x:v>Home Furnishing Merchant Wholesalers</x:v>
      </x:c>
      <x:c r="C406" s="8" t="n">
        <x:v>10378</x:v>
      </x:c>
      <x:c r="D406" s="8" t="n">
        <x:v>11269</x:v>
      </x:c>
      <x:c r="E406" s="8" t="n">
        <x:v>11084</x:v>
      </x:c>
      <x:c r="F406" s="8" t="n">
        <x:v>11179</x:v>
      </x:c>
      <x:c r="G406" s="8" t="n">
        <x:v>10402</x:v>
      </x:c>
      <x:c r="H406" s="8" t="n">
        <x:v>9746</x:v>
      </x:c>
    </x:row>
    <x:row r="407">
      <x:c r="A407" s="2" t="str">
        <x:v>423310</x:v>
      </x:c>
      <x:c r="B407" s="2" t="str">
        <x:v>Lumber, Plywood, Millwork, and Wood Panel Merchant Wholesalers</x:v>
      </x:c>
      <x:c r="C407" s="8" t="n">
        <x:v>9569</x:v>
      </x:c>
      <x:c r="D407" s="8" t="n">
        <x:v>10648</x:v>
      </x:c>
      <x:c r="E407" s="8" t="n">
        <x:v>10981</x:v>
      </x:c>
      <x:c r="F407" s="8" t="n">
        <x:v>10663</x:v>
      </x:c>
      <x:c r="G407" s="8" t="n">
        <x:v>10469</x:v>
      </x:c>
      <x:c r="H407" s="8" t="n">
        <x:v>8988</x:v>
      </x:c>
    </x:row>
    <x:row r="408">
      <x:c r="A408" s="2" t="str">
        <x:v>423320</x:v>
      </x:c>
      <x:c r="B408" s="2" t="str">
        <x:v>Brick, Stone, and Related Construction Material Merchant Wholesalers</x:v>
      </x:c>
      <x:c r="C408" s="8" t="n">
        <x:v>7126</x:v>
      </x:c>
      <x:c r="D408" s="8" t="n">
        <x:v>8301</x:v>
      </x:c>
      <x:c r="E408" s="8" t="n">
        <x:v>8121</x:v>
      </x:c>
      <x:c r="F408" s="8" t="n">
        <x:v>7172</x:v>
      </x:c>
      <x:c r="G408" s="8" t="n">
        <x:v>7034</x:v>
      </x:c>
      <x:c r="H408" s="8" t="n">
        <x:v>6928</x:v>
      </x:c>
    </x:row>
    <x:row r="409">
      <x:c r="A409" s="2" t="str">
        <x:v>423330</x:v>
      </x:c>
      <x:c r="B409" s="2" t="str">
        <x:v>Roofing, Siding, and Insulation Material Merchant Wholesalers</x:v>
      </x:c>
      <x:c r="C409" s="8" t="n">
        <x:v>2101</x:v>
      </x:c>
      <x:c r="D409" s="8" t="n">
        <x:v>2269</x:v>
      </x:c>
      <x:c r="E409" s="8" t="n">
        <x:v>2305</x:v>
      </x:c>
      <x:c r="F409" s="8" t="n">
        <x:v>2787</x:v>
      </x:c>
      <x:c r="G409" s="8" t="n">
        <x:v>2915</x:v>
      </x:c>
      <x:c r="H409" s="8" t="n">
        <x:v>3418</x:v>
      </x:c>
    </x:row>
    <x:row r="410">
      <x:c r="A410" s="2" t="str">
        <x:v>423390</x:v>
      </x:c>
      <x:c r="B410" s="2" t="str">
        <x:v>Other Construction Material Merchant Wholesalers</x:v>
      </x:c>
      <x:c r="C410" s="8" t="n">
        <x:v>2611</x:v>
      </x:c>
      <x:c r="D410" s="8" t="n">
        <x:v>2691</x:v>
      </x:c>
      <x:c r="E410" s="8" t="n">
        <x:v>2760</x:v>
      </x:c>
      <x:c r="F410" s="8" t="n">
        <x:v>2447</x:v>
      </x:c>
      <x:c r="G410" s="8" t="n">
        <x:v>2584</x:v>
      </x:c>
      <x:c r="H410" s="8" t="n">
        <x:v>2440</x:v>
      </x:c>
    </x:row>
    <x:row r="411">
      <x:c r="A411" s="2" t="str">
        <x:v>423410</x:v>
      </x:c>
      <x:c r="B411" s="2" t="str">
        <x:v>Photographic Equipment and Supplies Merchant Wholesalers</x:v>
      </x:c>
      <x:c r="C411" s="8" t="n">
        <x:v>3344</x:v>
      </x:c>
      <x:c r="D411" s="8" t="n">
        <x:v>2744</x:v>
      </x:c>
      <x:c r="E411" s="8" t="n">
        <x:v>2563</x:v>
      </x:c>
      <x:c r="F411" s="8" t="n">
        <x:v>2262</x:v>
      </x:c>
      <x:c r="G411" s="8" t="n">
        <x:v>2266</x:v>
      </x:c>
      <x:c r="H411" s="8" t="n">
        <x:v>1727</x:v>
      </x:c>
    </x:row>
    <x:row r="412">
      <x:c r="A412" s="2" t="str">
        <x:v>423420</x:v>
      </x:c>
      <x:c r="B412" s="2" t="str">
        <x:v>Office Equipment Merchant Wholesalers</x:v>
      </x:c>
      <x:c r="C412" s="8" t="n">
        <x:v>7136</x:v>
      </x:c>
      <x:c r="D412" s="8" t="n">
        <x:v>6935</x:v>
      </x:c>
      <x:c r="E412" s="8" t="n">
        <x:v>6717</x:v>
      </x:c>
      <x:c r="F412" s="8" t="n">
        <x:v>5692</x:v>
      </x:c>
      <x:c r="G412" s="8" t="n">
        <x:v>5604</x:v>
      </x:c>
      <x:c r="H412" s="8" t="n">
        <x:v>4723</x:v>
      </x:c>
    </x:row>
    <x:row r="413">
      <x:c r="A413" s="2" t="str">
        <x:v>423430</x:v>
      </x:c>
      <x:c r="B413" s="2" t="str">
        <x:v>Computer and Computer Peripheral Equipment and Software Merchant Wholesalers</x:v>
      </x:c>
      <x:c r="C413" s="8" t="n">
        <x:v>32860</x:v>
      </x:c>
      <x:c r="D413" s="8" t="n">
        <x:v>32506</x:v>
      </x:c>
      <x:c r="E413" s="8" t="n">
        <x:v>29392</x:v>
      </x:c>
      <x:c r="F413" s="8" t="n">
        <x:v>27529</x:v>
      </x:c>
      <x:c r="G413" s="8" t="n">
        <x:v>29035</x:v>
      </x:c>
      <x:c r="H413" s="8" t="n">
        <x:v>31384</x:v>
      </x:c>
    </x:row>
    <x:row r="414">
      <x:c r="A414" s="2" t="str">
        <x:v>423440</x:v>
      </x:c>
      <x:c r="B414" s="2" t="str">
        <x:v>Other Commercial Equipment Merchant Wholesalers</x:v>
      </x:c>
      <x:c r="C414" s="8" t="n">
        <x:v>6191</x:v>
      </x:c>
      <x:c r="D414" s="8" t="n">
        <x:v>6186</x:v>
      </x:c>
      <x:c r="E414" s="8" t="n">
        <x:v>6054</x:v>
      </x:c>
      <x:c r="F414" s="8" t="n">
        <x:v>4949</x:v>
      </x:c>
      <x:c r="G414" s="8" t="n">
        <x:v>5119</x:v>
      </x:c>
      <x:c r="H414" s="8" t="n">
        <x:v>4305</x:v>
      </x:c>
    </x:row>
    <x:row r="415">
      <x:c r="A415" s="2" t="str">
        <x:v>423450</x:v>
      </x:c>
      <x:c r="B415" s="2" t="str">
        <x:v>Medical, Dental, and Hospital Equipment and Supplies Merchant Wholesalers</x:v>
      </x:c>
      <x:c r="C415" s="8" t="n">
        <x:v>23685</x:v>
      </x:c>
      <x:c r="D415" s="8" t="n">
        <x:v>27859</x:v>
      </x:c>
      <x:c r="E415" s="8" t="n">
        <x:v>28244</x:v>
      </x:c>
      <x:c r="F415" s="8" t="n">
        <x:v>30736</x:v>
      </x:c>
      <x:c r="G415" s="8" t="n">
        <x:v>31534</x:v>
      </x:c>
      <x:c r="H415" s="8" t="n">
        <x:v>30865</x:v>
      </x:c>
    </x:row>
    <x:row r="416">
      <x:c r="A416" s="2" t="str">
        <x:v>423460</x:v>
      </x:c>
      <x:c r="B416" s="2" t="str">
        <x:v>Ophthalmic Goods Merchant Wholesalers</x:v>
      </x:c>
      <x:c r="C416" s="8" t="n">
        <x:v>3011</x:v>
      </x:c>
      <x:c r="D416" s="8" t="n">
        <x:v>3229</x:v>
      </x:c>
      <x:c r="E416" s="8" t="n">
        <x:v>3431</x:v>
      </x:c>
      <x:c r="F416" s="8" t="n">
        <x:v>3264</x:v>
      </x:c>
      <x:c r="G416" s="8" t="n">
        <x:v>3267</x:v>
      </x:c>
      <x:c r="H416" s="8" t="n">
        <x:v>2958</x:v>
      </x:c>
    </x:row>
    <x:row r="417">
      <x:c r="A417" s="2" t="str">
        <x:v>423490</x:v>
      </x:c>
      <x:c r="B417" s="2" t="str">
        <x:v>Other Professional Equipment and Supplies Merchant Wholesalers</x:v>
      </x:c>
      <x:c r="C417" s="8" t="n">
        <x:v>3210</x:v>
      </x:c>
      <x:c r="D417" s="8" t="n">
        <x:v>4303</x:v>
      </x:c>
      <x:c r="E417" s="8" t="n">
        <x:v>4403</x:v>
      </x:c>
      <x:c r="F417" s="8" t="n">
        <x:v>4548</x:v>
      </x:c>
      <x:c r="G417" s="8" t="n">
        <x:v>4858</x:v>
      </x:c>
      <x:c r="H417" s="8" t="n">
        <x:v>4481</x:v>
      </x:c>
    </x:row>
    <x:row r="418">
      <x:c r="A418" s="2" t="str">
        <x:v>423510</x:v>
      </x:c>
      <x:c r="B418" s="2" t="str">
        <x:v>Metal Service Centers and Other Metal Merchant Wholesalers</x:v>
      </x:c>
      <x:c r="C418" s="8" t="n">
        <x:v>10778</x:v>
      </x:c>
      <x:c r="D418" s="8" t="n">
        <x:v>11615</x:v>
      </x:c>
      <x:c r="E418" s="8" t="n">
        <x:v>11932</x:v>
      </x:c>
      <x:c r="F418" s="8" t="n">
        <x:v>10301</x:v>
      </x:c>
      <x:c r="G418" s="8" t="n">
        <x:v>10696</x:v>
      </x:c>
      <x:c r="H418" s="8" t="n">
        <x:v>9636</x:v>
      </x:c>
    </x:row>
    <x:row r="419">
      <x:c r="A419" s="2" t="str">
        <x:v>423520</x:v>
      </x:c>
      <x:c r="B419" s="2" t="str">
        <x:v>Coal and Other Mineral and Ore Merchant Wholesalers</x:v>
      </x:c>
      <x:c r="C419" s="8" t="n">
        <x:v>81</x:v>
      </x:c>
      <x:c r="D419" s="8" t="n">
        <x:v>98</x:v>
      </x:c>
      <x:c r="E419" s="8" t="n">
        <x:v>95</x:v>
      </x:c>
      <x:c r="F419" s="8" t="n">
        <x:v>100</x:v>
      </x:c>
      <x:c r="G419" s="8" t="n">
        <x:v>107</x:v>
      </x:c>
      <x:c r="H419" s="8" t="n">
        <x:v>43</x:v>
      </x:c>
    </x:row>
    <x:row r="420">
      <x:c r="A420" s="2" t="str">
        <x:v>423610</x:v>
      </x:c>
      <x:c r="B420" s="2" t="str">
        <x:v>Electrical Apparatus and Equipment, Wiring Supplies, and Related Equipment Merchant Wholesalers</x:v>
      </x:c>
      <x:c r="C420" s="8" t="n">
        <x:v>20746</x:v>
      </x:c>
      <x:c r="D420" s="8" t="n">
        <x:v>21575</x:v>
      </x:c>
      <x:c r="E420" s="8" t="n">
        <x:v>20738</x:v>
      </x:c>
      <x:c r="F420" s="8" t="n">
        <x:v>19036</x:v>
      </x:c>
      <x:c r="G420" s="8" t="n">
        <x:v>19526</x:v>
      </x:c>
      <x:c r="H420" s="8" t="n">
        <x:v>20938</x:v>
      </x:c>
    </x:row>
    <x:row r="421">
      <x:c r="A421" s="2" t="str">
        <x:v>423620</x:v>
      </x:c>
      <x:c r="B421" s="2" t="str">
        <x:v>Household Appliances, Electric Housewares, and Consumer Electronics Merchant Wholesalers</x:v>
      </x:c>
      <x:c r="C421" s="8" t="n">
        <x:v>4862</x:v>
      </x:c>
      <x:c r="D421" s="8" t="n">
        <x:v>5381</x:v>
      </x:c>
      <x:c r="E421" s="8" t="n">
        <x:v>5719</x:v>
      </x:c>
      <x:c r="F421" s="8" t="n">
        <x:v>5360</x:v>
      </x:c>
      <x:c r="G421" s="8" t="n">
        <x:v>5309</x:v>
      </x:c>
      <x:c r="H421" s="8" t="n">
        <x:v>4784</x:v>
      </x:c>
    </x:row>
    <x:row r="422">
      <x:c r="A422" s="2" t="str">
        <x:v>423690</x:v>
      </x:c>
      <x:c r="B422" s="2" t="str">
        <x:v>Other Electronic Parts and Equipment Merchant Wholesalers</x:v>
      </x:c>
      <x:c r="C422" s="8" t="n">
        <x:v>23993</x:v>
      </x:c>
      <x:c r="D422" s="8" t="n">
        <x:v>23162</x:v>
      </x:c>
      <x:c r="E422" s="8" t="n">
        <x:v>22856</x:v>
      </x:c>
      <x:c r="F422" s="8" t="n">
        <x:v>19418</x:v>
      </x:c>
      <x:c r="G422" s="8" t="n">
        <x:v>19242</x:v>
      </x:c>
      <x:c r="H422" s="8" t="n">
        <x:v>17594</x:v>
      </x:c>
    </x:row>
    <x:row r="423">
      <x:c r="A423" s="2" t="str">
        <x:v>423710</x:v>
      </x:c>
      <x:c r="B423" s="2" t="str">
        <x:v>Hardware Merchant Wholesalers</x:v>
      </x:c>
      <x:c r="C423" s="8" t="n">
        <x:v>10545</x:v>
      </x:c>
      <x:c r="D423" s="8" t="n">
        <x:v>11502</x:v>
      </x:c>
      <x:c r="E423" s="8" t="n">
        <x:v>11935</x:v>
      </x:c>
      <x:c r="F423" s="8" t="n">
        <x:v>11950</x:v>
      </x:c>
      <x:c r="G423" s="8" t="n">
        <x:v>12096</x:v>
      </x:c>
      <x:c r="H423" s="8" t="n">
        <x:v>12078</x:v>
      </x:c>
    </x:row>
    <x:row r="424">
      <x:c r="A424" s="2" t="str">
        <x:v>423720</x:v>
      </x:c>
      <x:c r="B424" s="2" t="str">
        <x:v>Plumbing and Heating Equipment and Supplies (Hydronics) Merchant Wholesalers</x:v>
      </x:c>
      <x:c r="C424" s="8" t="n">
        <x:v>10718</x:v>
      </x:c>
      <x:c r="D424" s="8" t="n">
        <x:v>10905</x:v>
      </x:c>
      <x:c r="E424" s="8" t="n">
        <x:v>11303</x:v>
      </x:c>
      <x:c r="F424" s="8" t="n">
        <x:v>11612</x:v>
      </x:c>
      <x:c r="G424" s="8" t="n">
        <x:v>11973</x:v>
      </x:c>
      <x:c r="H424" s="8" t="n">
        <x:v>11649</x:v>
      </x:c>
    </x:row>
    <x:row r="425">
      <x:c r="A425" s="2" t="str">
        <x:v>423730</x:v>
      </x:c>
      <x:c r="B425" s="2" t="str">
        <x:v>Warm Air Heating and Air-Conditioning Equipment and Supplies Merchant Wholesalers</x:v>
      </x:c>
      <x:c r="C425" s="8" t="n">
        <x:v>4082</x:v>
      </x:c>
      <x:c r="D425" s="8" t="n">
        <x:v>4543</x:v>
      </x:c>
      <x:c r="E425" s="8" t="n">
        <x:v>5023</x:v>
      </x:c>
      <x:c r="F425" s="8" t="n">
        <x:v>5306</x:v>
      </x:c>
      <x:c r="G425" s="8" t="n">
        <x:v>5556</x:v>
      </x:c>
      <x:c r="H425" s="8" t="n">
        <x:v>6057</x:v>
      </x:c>
    </x:row>
    <x:row r="426">
      <x:c r="A426" s="2" t="str">
        <x:v>423740</x:v>
      </x:c>
      <x:c r="B426" s="2" t="str">
        <x:v>Refrigeration Equipment and Supplies Merchant Wholesalers</x:v>
      </x:c>
      <x:c r="C426" s="8" t="n">
        <x:v>1101</x:v>
      </x:c>
      <x:c r="D426" s="8" t="n">
        <x:v>1130</x:v>
      </x:c>
      <x:c r="E426" s="8" t="n">
        <x:v>1103</x:v>
      </x:c>
      <x:c r="F426" s="8" t="n">
        <x:v>1125</x:v>
      </x:c>
      <x:c r="G426" s="8" t="n">
        <x:v>1175</x:v>
      </x:c>
      <x:c r="H426" s="8" t="n">
        <x:v>1071</x:v>
      </x:c>
    </x:row>
    <x:row r="427">
      <x:c r="A427" s="2" t="str">
        <x:v>423810</x:v>
      </x:c>
      <x:c r="B427" s="2" t="str">
        <x:v>Construction and Mining (except Oil Well) Machinery and Equipment Merchant Wholesalers</x:v>
      </x:c>
      <x:c r="C427" s="8" t="n">
        <x:v>2950</x:v>
      </x:c>
      <x:c r="D427" s="8" t="n">
        <x:v>3371</x:v>
      </x:c>
      <x:c r="E427" s="8" t="n">
        <x:v>3565</x:v>
      </x:c>
      <x:c r="F427" s="8" t="n">
        <x:v>3774</x:v>
      </x:c>
      <x:c r="G427" s="8" t="n">
        <x:v>3959</x:v>
      </x:c>
      <x:c r="H427" s="8" t="n">
        <x:v>4250</x:v>
      </x:c>
    </x:row>
    <x:row r="428">
      <x:c r="A428" s="2" t="str">
        <x:v>423820</x:v>
      </x:c>
      <x:c r="B428" s="2" t="str">
        <x:v>Farm and Garden Machinery and Equipment Merchant Wholesalers</x:v>
      </x:c>
      <x:c r="C428" s="8" t="n">
        <x:v>6116</x:v>
      </x:c>
      <x:c r="D428" s="8" t="n">
        <x:v>6262</x:v>
      </x:c>
      <x:c r="E428" s="8" t="n">
        <x:v>6496</x:v>
      </x:c>
      <x:c r="F428" s="8" t="n">
        <x:v>6796</x:v>
      </x:c>
      <x:c r="G428" s="8" t="n">
        <x:v>6686</x:v>
      </x:c>
      <x:c r="H428" s="8" t="n">
        <x:v>6357</x:v>
      </x:c>
    </x:row>
    <x:row r="429">
      <x:c r="A429" s="2" t="str">
        <x:v>423830</x:v>
      </x:c>
      <x:c r="B429" s="2" t="str">
        <x:v>Industrial Machinery and Equipment Merchant Wholesalers</x:v>
      </x:c>
      <x:c r="C429" s="8" t="n">
        <x:v>23934</x:v>
      </x:c>
      <x:c r="D429" s="8" t="n">
        <x:v>25870</x:v>
      </x:c>
      <x:c r="E429" s="8" t="n">
        <x:v>25701</x:v>
      </x:c>
      <x:c r="F429" s="8" t="n">
        <x:v>24515</x:v>
      </x:c>
      <x:c r="G429" s="8" t="n">
        <x:v>25553</x:v>
      </x:c>
      <x:c r="H429" s="8" t="n">
        <x:v>24838</x:v>
      </x:c>
    </x:row>
    <x:row r="430">
      <x:c r="A430" s="2" t="str">
        <x:v>423840</x:v>
      </x:c>
      <x:c r="B430" s="2" t="str">
        <x:v>Industrial Supplies Merchant Wholesalers</x:v>
      </x:c>
      <x:c r="C430" s="8" t="n">
        <x:v>8669</x:v>
      </x:c>
      <x:c r="D430" s="8" t="n">
        <x:v>9604</x:v>
      </x:c>
      <x:c r="E430" s="8" t="n">
        <x:v>9830</x:v>
      </x:c>
      <x:c r="F430" s="8" t="n">
        <x:v>10764</x:v>
      </x:c>
      <x:c r="G430" s="8" t="n">
        <x:v>10848</x:v>
      </x:c>
      <x:c r="H430" s="8" t="n">
        <x:v>9628</x:v>
      </x:c>
    </x:row>
    <x:row r="431">
      <x:c r="A431" s="2" t="str">
        <x:v>423850</x:v>
      </x:c>
      <x:c r="B431" s="2" t="str">
        <x:v>Service Establishment Equipment and Supplies Merchant Wholesalers</x:v>
      </x:c>
      <x:c r="C431" s="8" t="n">
        <x:v>4549</x:v>
      </x:c>
      <x:c r="D431" s="8" t="n">
        <x:v>4819</x:v>
      </x:c>
      <x:c r="E431" s="8" t="n">
        <x:v>4771</x:v>
      </x:c>
      <x:c r="F431" s="8" t="n">
        <x:v>4112</x:v>
      </x:c>
      <x:c r="G431" s="8" t="n">
        <x:v>4381</x:v>
      </x:c>
      <x:c r="H431" s="8" t="n">
        <x:v>4418</x:v>
      </x:c>
    </x:row>
    <x:row r="432">
      <x:c r="A432" s="2" t="str">
        <x:v>423860</x:v>
      </x:c>
      <x:c r="B432" s="2" t="str">
        <x:v>Transportation Equipment and Supplies (except Motor Vehicle) Merchant Wholesalers</x:v>
      </x:c>
      <x:c r="C432" s="8" t="n">
        <x:v>4469</x:v>
      </x:c>
      <x:c r="D432" s="8" t="n">
        <x:v>4808</x:v>
      </x:c>
      <x:c r="E432" s="8" t="n">
        <x:v>5263</x:v>
      </x:c>
      <x:c r="F432" s="8" t="n">
        <x:v>5049</x:v>
      </x:c>
      <x:c r="G432" s="8" t="n">
        <x:v>6727</x:v>
      </x:c>
      <x:c r="H432" s="8" t="n">
        <x:v>6626</x:v>
      </x:c>
    </x:row>
    <x:row r="433">
      <x:c r="A433" s="2" t="str">
        <x:v>423910</x:v>
      </x:c>
      <x:c r="B433" s="2" t="str">
        <x:v>Sporting and Recreational Goods and Supplies Merchant Wholesalers</x:v>
      </x:c>
      <x:c r="C433" s="8" t="n">
        <x:v>9072</x:v>
      </x:c>
      <x:c r="D433" s="8" t="n">
        <x:v>8980</x:v>
      </x:c>
      <x:c r="E433" s="8" t="n">
        <x:v>8890</x:v>
      </x:c>
      <x:c r="F433" s="8" t="n">
        <x:v>9541</x:v>
      </x:c>
      <x:c r="G433" s="8" t="n">
        <x:v>9804</x:v>
      </x:c>
      <x:c r="H433" s="8" t="n">
        <x:v>9065</x:v>
      </x:c>
    </x:row>
    <x:row r="434">
      <x:c r="A434" s="2" t="str">
        <x:v>423920</x:v>
      </x:c>
      <x:c r="B434" s="2" t="str">
        <x:v>Toy and Hobby Goods and Supplies Merchant Wholesalers</x:v>
      </x:c>
      <x:c r="C434" s="8" t="n">
        <x:v>4721</x:v>
      </x:c>
      <x:c r="D434" s="8" t="n">
        <x:v>4824</x:v>
      </x:c>
      <x:c r="E434" s="8" t="n">
        <x:v>4868</x:v>
      </x:c>
      <x:c r="F434" s="8" t="n">
        <x:v>5769</x:v>
      </x:c>
      <x:c r="G434" s="8" t="n">
        <x:v>5825</x:v>
      </x:c>
      <x:c r="H434" s="8" t="n">
        <x:v>5454</x:v>
      </x:c>
    </x:row>
    <x:row r="435">
      <x:c r="A435" s="2" t="str">
        <x:v>423930</x:v>
      </x:c>
      <x:c r="B435" s="2" t="str">
        <x:v>Recyclable Material Merchant Wholesalers</x:v>
      </x:c>
      <x:c r="C435" s="8" t="n">
        <x:v>10357</x:v>
      </x:c>
      <x:c r="D435" s="8" t="n">
        <x:v>10322</x:v>
      </x:c>
      <x:c r="E435" s="8" t="n">
        <x:v>10006</x:v>
      </x:c>
      <x:c r="F435" s="8" t="n">
        <x:v>9138</x:v>
      </x:c>
      <x:c r="G435" s="8" t="n">
        <x:v>9283</x:v>
      </x:c>
      <x:c r="H435" s="8" t="n">
        <x:v>8991</x:v>
      </x:c>
    </x:row>
    <x:row r="436">
      <x:c r="A436" s="2" t="str">
        <x:v>423940</x:v>
      </x:c>
      <x:c r="B436" s="2" t="str">
        <x:v>Jewelry, Watch, Precious Stone, and Precious Metal Merchant Wholesalers</x:v>
      </x:c>
      <x:c r="C436" s="8" t="n">
        <x:v>6471</x:v>
      </x:c>
      <x:c r="D436" s="8" t="n">
        <x:v>6526</x:v>
      </x:c>
      <x:c r="E436" s="8" t="n">
        <x:v>6646</x:v>
      </x:c>
      <x:c r="F436" s="8" t="n">
        <x:v>6691</x:v>
      </x:c>
      <x:c r="G436" s="8" t="n">
        <x:v>6839</x:v>
      </x:c>
      <x:c r="H436" s="8" t="n">
        <x:v>6173</x:v>
      </x:c>
    </x:row>
    <x:row r="437">
      <x:c r="A437" s="2" t="str">
        <x:v>423990</x:v>
      </x:c>
      <x:c r="B437" s="2" t="str">
        <x:v>Other Miscellaneous Durable Goods Merchant Wholesalers</x:v>
      </x:c>
      <x:c r="C437" s="8" t="n">
        <x:v>11143</x:v>
      </x:c>
      <x:c r="D437" s="8" t="n">
        <x:v>12155</x:v>
      </x:c>
      <x:c r="E437" s="8" t="n">
        <x:v>11923</x:v>
      </x:c>
      <x:c r="F437" s="8" t="n">
        <x:v>10896</x:v>
      </x:c>
      <x:c r="G437" s="8" t="n">
        <x:v>10601</x:v>
      </x:c>
      <x:c r="H437" s="8" t="n">
        <x:v>9786</x:v>
      </x:c>
    </x:row>
    <x:row r="438">
      <x:c r="A438" s="2" t="str">
        <x:v>424110</x:v>
      </x:c>
      <x:c r="B438" s="2" t="str">
        <x:v>Printing and Writing Paper Merchant Wholesalers</x:v>
      </x:c>
      <x:c r="C438" s="8" t="n">
        <x:v>1152</x:v>
      </x:c>
      <x:c r="D438" s="8" t="n">
        <x:v>1341</x:v>
      </x:c>
      <x:c r="E438" s="8" t="n">
        <x:v>1186</x:v>
      </x:c>
      <x:c r="F438" s="8" t="n">
        <x:v>1120</x:v>
      </x:c>
      <x:c r="G438" s="8" t="n">
        <x:v>1192</x:v>
      </x:c>
      <x:c r="H438" s="8" t="n">
        <x:v>1059</x:v>
      </x:c>
    </x:row>
    <x:row r="439">
      <x:c r="A439" s="2" t="str">
        <x:v>424120</x:v>
      </x:c>
      <x:c r="B439" s="2" t="str">
        <x:v>Stationery and Office Supplies Merchant Wholesalers</x:v>
      </x:c>
      <x:c r="C439" s="8" t="n">
        <x:v>5143</x:v>
      </x:c>
      <x:c r="D439" s="8" t="n">
        <x:v>5952</x:v>
      </x:c>
      <x:c r="E439" s="8" t="n">
        <x:v>5562</x:v>
      </x:c>
      <x:c r="F439" s="8" t="n">
        <x:v>4693</x:v>
      </x:c>
      <x:c r="G439" s="8" t="n">
        <x:v>4503</x:v>
      </x:c>
      <x:c r="H439" s="8" t="n">
        <x:v>3637</x:v>
      </x:c>
    </x:row>
    <x:row r="440">
      <x:c r="A440" s="2" t="str">
        <x:v>424130</x:v>
      </x:c>
      <x:c r="B440" s="2" t="str">
        <x:v>Industrial and Personal Service Paper Merchant Wholesalers</x:v>
      </x:c>
      <x:c r="C440" s="8" t="n">
        <x:v>7945</x:v>
      </x:c>
      <x:c r="D440" s="8" t="n">
        <x:v>8012</x:v>
      </x:c>
      <x:c r="E440" s="8" t="n">
        <x:v>7746</x:v>
      </x:c>
      <x:c r="F440" s="8" t="n">
        <x:v>6606</x:v>
      </x:c>
      <x:c r="G440" s="8" t="n">
        <x:v>6619</x:v>
      </x:c>
      <x:c r="H440" s="8" t="n">
        <x:v>7253</x:v>
      </x:c>
    </x:row>
    <x:row r="441">
      <x:c r="A441" s="2" t="str">
        <x:v>424210</x:v>
      </x:c>
      <x:c r="B441" s="2" t="str">
        <x:v>Drugs and Druggists' Sundries Merchant Wholesalers</x:v>
      </x:c>
      <x:c r="C441" s="8" t="n">
        <x:v>28030</x:v>
      </x:c>
      <x:c r="D441" s="8" t="n">
        <x:v>31112</x:v>
      </x:c>
      <x:c r="E441" s="8" t="n">
        <x:v>32679</x:v>
      </x:c>
      <x:c r="F441" s="8" t="n">
        <x:v>31077</x:v>
      </x:c>
      <x:c r="G441" s="8" t="n">
        <x:v>31518</x:v>
      </x:c>
      <x:c r="H441" s="8" t="n">
        <x:v>28872</x:v>
      </x:c>
    </x:row>
    <x:row r="442">
      <x:c r="A442" s="2" t="str">
        <x:v>424310</x:v>
      </x:c>
      <x:c r="B442" s="2" t="str">
        <x:v>Piece Goods, Notions, and Other Dry Goods Merchant Wholesalers</x:v>
      </x:c>
      <x:c r="C442" s="8" t="n">
        <x:v>6742</x:v>
      </x:c>
      <x:c r="D442" s="8" t="n">
        <x:v>7312</x:v>
      </x:c>
      <x:c r="E442" s="8" t="n">
        <x:v>6812</x:v>
      </x:c>
      <x:c r="F442" s="8" t="n">
        <x:v>5424</x:v>
      </x:c>
      <x:c r="G442" s="8" t="n">
        <x:v>5188</x:v>
      </x:c>
      <x:c r="H442" s="8" t="n">
        <x:v>4637</x:v>
      </x:c>
    </x:row>
    <x:row r="443">
      <x:c r="A443" s="2" t="str">
        <x:v>424340</x:v>
      </x:c>
      <x:c r="B443" s="2" t="str">
        <x:v>Footwear Merchant Wholesalers</x:v>
      </x:c>
      <x:c r="C443" s="8" t="n">
        <x:v>5570</x:v>
      </x:c>
      <x:c r="D443" s="8" t="n">
        <x:v>5417</x:v>
      </x:c>
      <x:c r="E443" s="8" t="n">
        <x:v>5212</x:v>
      </x:c>
      <x:c r="F443" s="8" t="n">
        <x:v>4441</x:v>
      </x:c>
      <x:c r="G443" s="8" t="n">
        <x:v>4358</x:v>
      </x:c>
      <x:c r="H443" s="8" t="n">
        <x:v>3319</x:v>
      </x:c>
    </x:row>
    <x:row r="444">
      <x:c r="A444" s="2" t="str">
        <x:v>424350</x:v>
      </x:c>
      <x:c r="B444" s="2" t="str">
        <x:v>Clothing and Clothing Accessories Merchant Wholesalers</x:v>
      </x:c>
      <x:c r="C444" s="8" t="n">
        <x:v>26988</x:v>
      </x:c>
      <x:c r="D444" s="8" t="n">
        <x:v>28067</x:v>
      </x:c>
      <x:c r="E444" s="8" t="n">
        <x:v>27672</x:v>
      </x:c>
      <x:c r="F444" s="8" t="n">
        <x:v>23670</x:v>
      </x:c>
      <x:c r="G444" s="8" t="n">
        <x:v>23696</x:v>
      </x:c>
      <x:c r="H444" s="8" t="n">
        <x:v>21429</x:v>
      </x:c>
    </x:row>
    <x:row r="445">
      <x:c r="A445" s="2" t="str">
        <x:v>424410</x:v>
      </x:c>
      <x:c r="B445" s="2" t="str">
        <x:v>General Line Grocery Merchant Wholesalers</x:v>
      </x:c>
      <x:c r="C445" s="8" t="n">
        <x:v>23147</x:v>
      </x:c>
      <x:c r="D445" s="8" t="n">
        <x:v>24045</x:v>
      </x:c>
      <x:c r="E445" s="8" t="n">
        <x:v>24903</x:v>
      </x:c>
      <x:c r="F445" s="8" t="n">
        <x:v>26472</x:v>
      </x:c>
      <x:c r="G445" s="8" t="n">
        <x:v>26888</x:v>
      </x:c>
      <x:c r="H445" s="8" t="n">
        <x:v>26892</x:v>
      </x:c>
    </x:row>
    <x:row r="446">
      <x:c r="A446" s="2" t="str">
        <x:v>424420</x:v>
      </x:c>
      <x:c r="B446" s="2" t="str">
        <x:v>Packaged Frozen Food Merchant Wholesalers</x:v>
      </x:c>
      <x:c r="C446" s="8" t="n">
        <x:v>4412</x:v>
      </x:c>
      <x:c r="D446" s="8" t="n">
        <x:v>4943</x:v>
      </x:c>
      <x:c r="E446" s="8" t="n">
        <x:v>4218</x:v>
      </x:c>
      <x:c r="F446" s="8" t="n">
        <x:v>4048</x:v>
      </x:c>
      <x:c r="G446" s="8" t="n">
        <x:v>4204</x:v>
      </x:c>
      <x:c r="H446" s="8" t="n">
        <x:v>4130</x:v>
      </x:c>
    </x:row>
    <x:row r="447">
      <x:c r="A447" s="2" t="str">
        <x:v>424430</x:v>
      </x:c>
      <x:c r="B447" s="2" t="str">
        <x:v>Dairy Product (except Dried or Canned) Merchant Wholesalers</x:v>
      </x:c>
      <x:c r="C447" s="8" t="n">
        <x:v>3864</x:v>
      </x:c>
      <x:c r="D447" s="8" t="n">
        <x:v>3989</x:v>
      </x:c>
      <x:c r="E447" s="8" t="n">
        <x:v>3945</x:v>
      </x:c>
      <x:c r="F447" s="8" t="n">
        <x:v>3277</x:v>
      </x:c>
      <x:c r="G447" s="8" t="n">
        <x:v>3314</x:v>
      </x:c>
      <x:c r="H447" s="8" t="n">
        <x:v>3044</x:v>
      </x:c>
    </x:row>
    <x:row r="448">
      <x:c r="A448" s="2" t="str">
        <x:v>424440</x:v>
      </x:c>
      <x:c r="B448" s="2" t="str">
        <x:v>Poultry and Poultry Product Merchant Wholesalers</x:v>
      </x:c>
      <x:c r="C448" s="8" t="n">
        <x:v>1690</x:v>
      </x:c>
      <x:c r="D448" s="8" t="n">
        <x:v>1625</x:v>
      </x:c>
      <x:c r="E448" s="8" t="n">
        <x:v>1658</x:v>
      </x:c>
      <x:c r="F448" s="8" t="n">
        <x:v>1421</x:v>
      </x:c>
      <x:c r="G448" s="8" t="n">
        <x:v>1369</x:v>
      </x:c>
      <x:c r="H448" s="8" t="n">
        <x:v>1575</x:v>
      </x:c>
    </x:row>
    <x:row r="449">
      <x:c r="A449" s="2" t="str">
        <x:v>424450</x:v>
      </x:c>
      <x:c r="B449" s="2" t="str">
        <x:v>Confectionery Merchant Wholesalers</x:v>
      </x:c>
      <x:c r="C449" s="8" t="n">
        <x:v>6301</x:v>
      </x:c>
      <x:c r="D449" s="8" t="n">
        <x:v>6659</x:v>
      </x:c>
      <x:c r="E449" s="8" t="n">
        <x:v>6857</x:v>
      </x:c>
      <x:c r="F449" s="8" t="n">
        <x:v>6873</x:v>
      </x:c>
      <x:c r="G449" s="8" t="n">
        <x:v>7017</x:v>
      </x:c>
      <x:c r="H449" s="8" t="n">
        <x:v>6986</x:v>
      </x:c>
    </x:row>
    <x:row r="450">
      <x:c r="A450" s="2" t="str">
        <x:v>424460</x:v>
      </x:c>
      <x:c r="B450" s="2" t="str">
        <x:v>Fish and Seafood Merchant Wholesalers</x:v>
      </x:c>
      <x:c r="C450" s="8" t="n">
        <x:v>4909</x:v>
      </x:c>
      <x:c r="D450" s="8" t="n">
        <x:v>4995</x:v>
      </x:c>
      <x:c r="E450" s="8" t="n">
        <x:v>4998</x:v>
      </x:c>
      <x:c r="F450" s="8" t="n">
        <x:v>4856</x:v>
      </x:c>
      <x:c r="G450" s="8" t="n">
        <x:v>5022</x:v>
      </x:c>
      <x:c r="H450" s="8" t="n">
        <x:v>5174</x:v>
      </x:c>
    </x:row>
    <x:row r="451">
      <x:c r="A451" s="2" t="str">
        <x:v>424470</x:v>
      </x:c>
      <x:c r="B451" s="2" t="str">
        <x:v>Meat and Meat Product Merchant Wholesalers</x:v>
      </x:c>
      <x:c r="C451" s="8" t="n">
        <x:v>8408</x:v>
      </x:c>
      <x:c r="D451" s="8" t="n">
        <x:v>9297</x:v>
      </x:c>
      <x:c r="E451" s="8" t="n">
        <x:v>9050</x:v>
      </x:c>
      <x:c r="F451" s="8" t="n">
        <x:v>7664</x:v>
      </x:c>
      <x:c r="G451" s="8" t="n">
        <x:v>7664</x:v>
      </x:c>
      <x:c r="H451" s="8" t="n">
        <x:v>7707</x:v>
      </x:c>
    </x:row>
    <x:row r="452">
      <x:c r="A452" s="2" t="str">
        <x:v>424480</x:v>
      </x:c>
      <x:c r="B452" s="2" t="str">
        <x:v>Fresh Fruit and Vegetable Merchant Wholesalers</x:v>
      </x:c>
      <x:c r="C452" s="8" t="n">
        <x:v>23378</x:v>
      </x:c>
      <x:c r="D452" s="8" t="n">
        <x:v>25276</x:v>
      </x:c>
      <x:c r="E452" s="8" t="n">
        <x:v>24658</x:v>
      </x:c>
      <x:c r="F452" s="8" t="n">
        <x:v>21167</x:v>
      </x:c>
      <x:c r="G452" s="8" t="n">
        <x:v>21066</x:v>
      </x:c>
      <x:c r="H452" s="8" t="n">
        <x:v>21161</x:v>
      </x:c>
    </x:row>
    <x:row r="453">
      <x:c r="A453" s="2" t="str">
        <x:v>424490</x:v>
      </x:c>
      <x:c r="B453" s="2" t="str">
        <x:v>Other Grocery and Related Products Merchant Wholesalers</x:v>
      </x:c>
      <x:c r="C453" s="8" t="n">
        <x:v>30480</x:v>
      </x:c>
      <x:c r="D453" s="8" t="n">
        <x:v>31694</x:v>
      </x:c>
      <x:c r="E453" s="8" t="n">
        <x:v>31115</x:v>
      </x:c>
      <x:c r="F453" s="8" t="n">
        <x:v>32017</x:v>
      </x:c>
      <x:c r="G453" s="8" t="n">
        <x:v>31598</x:v>
      </x:c>
      <x:c r="H453" s="8" t="n">
        <x:v>32313</x:v>
      </x:c>
    </x:row>
    <x:row r="454">
      <x:c r="A454" s="2" t="str">
        <x:v>424510</x:v>
      </x:c>
      <x:c r="B454" s="2" t="str">
        <x:v>Grain and Field Bean Merchant Wholesalers</x:v>
      </x:c>
      <x:c r="C454" s="8" t="n">
        <x:v>1079</x:v>
      </x:c>
      <x:c r="D454" s="8" t="n">
        <x:v>1175</x:v>
      </x:c>
      <x:c r="E454" s="8" t="n">
        <x:v>1020</x:v>
      </x:c>
      <x:c r="F454" s="8" t="n">
        <x:v>738</x:v>
      </x:c>
      <x:c r="G454" s="8" t="n">
        <x:v>710</x:v>
      </x:c>
      <x:c r="H454" s="8" t="n">
        <x:v>558</x:v>
      </x:c>
    </x:row>
    <x:row r="455">
      <x:c r="A455" s="2" t="str">
        <x:v>424520</x:v>
      </x:c>
      <x:c r="B455" s="2" t="str">
        <x:v>Livestock Merchant Wholesalers</x:v>
      </x:c>
      <x:c r="C455" s="8" t="n">
        <x:v>451</x:v>
      </x:c>
      <x:c r="D455" s="8" t="n">
        <x:v>498</x:v>
      </x:c>
      <x:c r="E455" s="8" t="n">
        <x:v>513</x:v>
      </x:c>
      <x:c r="F455" s="8" t="n">
        <x:v>435</x:v>
      </x:c>
      <x:c r="G455" s="8" t="n">
        <x:v>430</x:v>
      </x:c>
      <x:c r="H455" s="8" t="n">
        <x:v>446</x:v>
      </x:c>
    </x:row>
    <x:row r="456">
      <x:c r="A456" s="2" t="str">
        <x:v>424590</x:v>
      </x:c>
      <x:c r="B456" s="2" t="str">
        <x:v>Other Farm Product Raw Material Merchant Wholesalers</x:v>
      </x:c>
      <x:c r="C456" s="8" t="n">
        <x:v>577</x:v>
      </x:c>
      <x:c r="D456" s="8" t="n">
        <x:v>916</x:v>
      </x:c>
      <x:c r="E456" s="8" t="n">
        <x:v>1541</x:v>
      </x:c>
      <x:c r="F456" s="8" t="n">
        <x:v>4087</x:v>
      </x:c>
      <x:c r="G456" s="8" t="n">
        <x:v>3481</x:v>
      </x:c>
      <x:c r="H456" s="8" t="n">
        <x:v>3302</x:v>
      </x:c>
    </x:row>
    <x:row r="457">
      <x:c r="A457" s="2" t="str">
        <x:v>424610</x:v>
      </x:c>
      <x:c r="B457" s="2" t="str">
        <x:v>Plastics Materials and Basic Forms and Shapes Merchant Wholesalers</x:v>
      </x:c>
      <x:c r="C457" s="8" t="n">
        <x:v>3315</x:v>
      </x:c>
      <x:c r="D457" s="8" t="n">
        <x:v>4085</x:v>
      </x:c>
      <x:c r="E457" s="8" t="n">
        <x:v>4027</x:v>
      </x:c>
      <x:c r="F457" s="8" t="n">
        <x:v>3767</x:v>
      </x:c>
      <x:c r="G457" s="8" t="n">
        <x:v>3490</x:v>
      </x:c>
      <x:c r="H457" s="8" t="n">
        <x:v>3047</x:v>
      </x:c>
    </x:row>
    <x:row r="458">
      <x:c r="A458" s="2" t="str">
        <x:v>424690</x:v>
      </x:c>
      <x:c r="B458" s="2" t="str">
        <x:v>Other Chemical and Allied Products Merchant Wholesalers</x:v>
      </x:c>
      <x:c r="C458" s="8" t="n">
        <x:v>9684</x:v>
      </x:c>
      <x:c r="D458" s="8" t="n">
        <x:v>10818</x:v>
      </x:c>
      <x:c r="E458" s="8" t="n">
        <x:v>10658</x:v>
      </x:c>
      <x:c r="F458" s="8" t="n">
        <x:v>10201</x:v>
      </x:c>
      <x:c r="G458" s="8" t="n">
        <x:v>10026</x:v>
      </x:c>
      <x:c r="H458" s="8" t="n">
        <x:v>9891</x:v>
      </x:c>
    </x:row>
    <x:row r="459">
      <x:c r="A459" s="2" t="str">
        <x:v>424710</x:v>
      </x:c>
      <x:c r="B459" s="2" t="str">
        <x:v>Petroleum Bulk Stations and Terminals</x:v>
      </x:c>
      <x:c r="C459" s="8" t="n">
        <x:v>3025</x:v>
      </x:c>
      <x:c r="D459" s="8" t="n">
        <x:v>2934</x:v>
      </x:c>
      <x:c r="E459" s="8" t="n">
        <x:v>2937</x:v>
      </x:c>
      <x:c r="F459" s="8" t="n">
        <x:v>3242</x:v>
      </x:c>
      <x:c r="G459" s="8" t="n">
        <x:v>3283</x:v>
      </x:c>
      <x:c r="H459" s="8" t="n">
        <x:v>2466</x:v>
      </x:c>
    </x:row>
    <x:row r="460">
      <x:c r="A460" s="2" t="str">
        <x:v>424720</x:v>
      </x:c>
      <x:c r="B460" s="2" t="str">
        <x:v>Petroleum and Petroleum Products Merchant Wholesalers (except Bulk Stations and Terminals)</x:v>
      </x:c>
      <x:c r="C460" s="8" t="n">
        <x:v>4558</x:v>
      </x:c>
      <x:c r="D460" s="8" t="n">
        <x:v>4911</x:v>
      </x:c>
      <x:c r="E460" s="8" t="n">
        <x:v>5076</x:v>
      </x:c>
      <x:c r="F460" s="8" t="n">
        <x:v>5433</x:v>
      </x:c>
      <x:c r="G460" s="8" t="n">
        <x:v>5566</x:v>
      </x:c>
      <x:c r="H460" s="8" t="n">
        <x:v>4675</x:v>
      </x:c>
    </x:row>
    <x:row r="461">
      <x:c r="A461" s="2" t="str">
        <x:v>424810</x:v>
      </x:c>
      <x:c r="B461" s="2" t="str">
        <x:v>Beer and Ale Merchant Wholesalers</x:v>
      </x:c>
      <x:c r="C461" s="8" t="n">
        <x:v>9679</x:v>
      </x:c>
      <x:c r="D461" s="8" t="n">
        <x:v>10024</x:v>
      </x:c>
      <x:c r="E461" s="8" t="n">
        <x:v>9955</x:v>
      </x:c>
      <x:c r="F461" s="8" t="n">
        <x:v>10059</x:v>
      </x:c>
      <x:c r="G461" s="8" t="n">
        <x:v>10209</x:v>
      </x:c>
      <x:c r="H461" s="8" t="n">
        <x:v>10425</x:v>
      </x:c>
    </x:row>
    <x:row r="462">
      <x:c r="A462" s="2" t="str">
        <x:v>424820</x:v>
      </x:c>
      <x:c r="B462" s="2" t="str">
        <x:v>Wine and Distilled Alcoholic Beverage Merchant Wholesalers</x:v>
      </x:c>
      <x:c r="C462" s="8" t="n">
        <x:v>11761</x:v>
      </x:c>
      <x:c r="D462" s="8" t="n">
        <x:v>11725</x:v>
      </x:c>
      <x:c r="E462" s="8" t="n">
        <x:v>11735</x:v>
      </x:c>
      <x:c r="F462" s="8" t="n">
        <x:v>10189</x:v>
      </x:c>
      <x:c r="G462" s="8" t="n">
        <x:v>10398</x:v>
      </x:c>
      <x:c r="H462" s="8" t="n">
        <x:v>8801</x:v>
      </x:c>
    </x:row>
    <x:row r="463">
      <x:c r="A463" s="2" t="str">
        <x:v>424910</x:v>
      </x:c>
      <x:c r="B463" s="2" t="str">
        <x:v>Farm Supplies Merchant Wholesalers</x:v>
      </x:c>
      <x:c r="C463" s="8" t="n">
        <x:v>9864</x:v>
      </x:c>
      <x:c r="D463" s="8" t="n">
        <x:v>10304</x:v>
      </x:c>
      <x:c r="E463" s="8" t="n">
        <x:v>10250</x:v>
      </x:c>
      <x:c r="F463" s="8" t="n">
        <x:v>10078</x:v>
      </x:c>
      <x:c r="G463" s="8" t="n">
        <x:v>9725</x:v>
      </x:c>
      <x:c r="H463" s="8" t="n">
        <x:v>8706</x:v>
      </x:c>
    </x:row>
    <x:row r="464">
      <x:c r="A464" s="2" t="str">
        <x:v>424920</x:v>
      </x:c>
      <x:c r="B464" s="2" t="str">
        <x:v>Book, Periodical, and Newspaper Merchant Wholesalers</x:v>
      </x:c>
      <x:c r="C464" s="8" t="n">
        <x:v>3029</x:v>
      </x:c>
      <x:c r="D464" s="8" t="n">
        <x:v>2799</x:v>
      </x:c>
      <x:c r="E464" s="8" t="n">
        <x:v>2576</x:v>
      </x:c>
      <x:c r="F464" s="8" t="n">
        <x:v>1203</x:v>
      </x:c>
      <x:c r="G464" s="8" t="n">
        <x:v>1245</x:v>
      </x:c>
      <x:c r="H464" s="8" t="n">
        <x:v>932</x:v>
      </x:c>
    </x:row>
    <x:row r="465">
      <x:c r="A465" s="2" t="str">
        <x:v>424930</x:v>
      </x:c>
      <x:c r="B465" s="2" t="str">
        <x:v>Flower, Nursery Stock, and Florists' Supplies Merchant Wholesalers</x:v>
      </x:c>
      <x:c r="C465" s="8" t="n">
        <x:v>7778</x:v>
      </x:c>
      <x:c r="D465" s="8" t="n">
        <x:v>8534</x:v>
      </x:c>
      <x:c r="E465" s="8" t="n">
        <x:v>8453</x:v>
      </x:c>
      <x:c r="F465" s="8" t="n">
        <x:v>9039</x:v>
      </x:c>
      <x:c r="G465" s="8" t="n">
        <x:v>8426</x:v>
      </x:c>
      <x:c r="H465" s="8" t="n">
        <x:v>8006</x:v>
      </x:c>
    </x:row>
    <x:row r="466">
      <x:c r="A466" s="2" t="str">
        <x:v>424940</x:v>
      </x:c>
      <x:c r="B466" s="2" t="str">
        <x:v>Tobacco Product and Electronic Cigarette Merchant Wholesalers</x:v>
      </x:c>
      <x:c r="C466" s="8" t="n">
        <x:v>1066</x:v>
      </x:c>
      <x:c r="D466" s="8" t="n">
        <x:v>1330</x:v>
      </x:c>
      <x:c r="E466" s="8" t="n">
        <x:v>1625</x:v>
      </x:c>
      <x:c r="F466" s="8" t="n">
        <x:v>1560</x:v>
      </x:c>
      <x:c r="G466" s="8" t="n">
        <x:v>1555</x:v>
      </x:c>
      <x:c r="H466" s="8" t="n">
        <x:v>1500</x:v>
      </x:c>
    </x:row>
    <x:row r="467">
      <x:c r="A467" s="2" t="str">
        <x:v>424950</x:v>
      </x:c>
      <x:c r="B467" s="2" t="str">
        <x:v>Paint, Varnish, and Supplies Merchant Wholesalers</x:v>
      </x:c>
      <x:c r="C467" s="8" t="n">
        <x:v>3035</x:v>
      </x:c>
      <x:c r="D467" s="8" t="n">
        <x:v>3202</x:v>
      </x:c>
      <x:c r="E467" s="8" t="n">
        <x:v>3117</x:v>
      </x:c>
      <x:c r="F467" s="8" t="n">
        <x:v>2783</x:v>
      </x:c>
      <x:c r="G467" s="8" t="n">
        <x:v>2697</x:v>
      </x:c>
      <x:c r="H467" s="8" t="n">
        <x:v>2710</x:v>
      </x:c>
    </x:row>
    <x:row r="468">
      <x:c r="A468" s="2" t="str">
        <x:v>424990</x:v>
      </x:c>
      <x:c r="B468" s="2" t="str">
        <x:v>Other Miscellaneous Nondurable Goods Merchant Wholesalers</x:v>
      </x:c>
      <x:c r="C468" s="8" t="n">
        <x:v>23057</x:v>
      </x:c>
      <x:c r="D468" s="8" t="n">
        <x:v>23037</x:v>
      </x:c>
      <x:c r="E468" s="8" t="n">
        <x:v>22190</x:v>
      </x:c>
      <x:c r="F468" s="8" t="n">
        <x:v>20146</x:v>
      </x:c>
      <x:c r="G468" s="8" t="n">
        <x:v>19117</x:v>
      </x:c>
      <x:c r="H468" s="8" t="n">
        <x:v>16686</x:v>
      </x:c>
    </x:row>
    <x:row r="469">
      <x:c r="A469" s="2" t="str">
        <x:v>425120</x:v>
      </x:c>
      <x:c r="B469" s="2" t="str">
        <x:v>Wholesale Trade Agents and Brokers</x:v>
      </x:c>
      <x:c r="C469" s="8" t="n">
        <x:v>89953</x:v>
      </x:c>
      <x:c r="D469" s="8" t="n">
        <x:v>44667</x:v>
      </x:c>
      <x:c r="E469" s="8" t="n">
        <x:v>43798</x:v>
      </x:c>
      <x:c r="F469" s="8" t="n">
        <x:v>41708</x:v>
      </x:c>
      <x:c r="G469" s="8" t="n">
        <x:v>40108</x:v>
      </x:c>
      <x:c r="H469" s="8" t="n">
        <x:v>29962</x:v>
      </x:c>
    </x:row>
    <x:row r="470">
      <x:c r="A470" s="2" t="str">
        <x:v>441110</x:v>
      </x:c>
      <x:c r="B470" s="2" t="str">
        <x:v>New Car Dealers</x:v>
      </x:c>
      <x:c r="C470" s="8" t="n">
        <x:v>118384</x:v>
      </x:c>
      <x:c r="D470" s="8" t="n">
        <x:v>121074</x:v>
      </x:c>
      <x:c r="E470" s="8" t="n">
        <x:v>118452</x:v>
      </x:c>
      <x:c r="F470" s="8" t="n">
        <x:v>108185</x:v>
      </x:c>
      <x:c r="G470" s="8" t="n">
        <x:v>110324</x:v>
      </x:c>
      <x:c r="H470" s="8" t="n">
        <x:v>109519</x:v>
      </x:c>
    </x:row>
    <x:row r="471">
      <x:c r="A471" s="2" t="str">
        <x:v>441120</x:v>
      </x:c>
      <x:c r="B471" s="2" t="str">
        <x:v>Used Car Dealers</x:v>
      </x:c>
      <x:c r="C471" s="8" t="n">
        <x:v>12062</x:v>
      </x:c>
      <x:c r="D471" s="8" t="n">
        <x:v>12701</x:v>
      </x:c>
      <x:c r="E471" s="8" t="n">
        <x:v>12772</x:v>
      </x:c>
      <x:c r="F471" s="8" t="n">
        <x:v>14419</x:v>
      </x:c>
      <x:c r="G471" s="8" t="n">
        <x:v>13040</x:v>
      </x:c>
      <x:c r="H471" s="8" t="n">
        <x:v>12405</x:v>
      </x:c>
    </x:row>
    <x:row r="472">
      <x:c r="A472" s="2" t="str">
        <x:v>441210</x:v>
      </x:c>
      <x:c r="B472" s="2" t="str">
        <x:v>Recreational Vehicle Dealers</x:v>
      </x:c>
      <x:c r="C472" s="8" t="n">
        <x:v>4063</x:v>
      </x:c>
      <x:c r="D472" s="8" t="n">
        <x:v>4346</x:v>
      </x:c>
      <x:c r="E472" s="8" t="n">
        <x:v>4524</x:v>
      </x:c>
      <x:c r="F472" s="8" t="n">
        <x:v>4607</x:v>
      </x:c>
      <x:c r="G472" s="8" t="n">
        <x:v>4466</x:v>
      </x:c>
      <x:c r="H472" s="8" t="n">
        <x:v>3448</x:v>
      </x:c>
    </x:row>
    <x:row r="473">
      <x:c r="A473" s="2" t="str">
        <x:v>441222</x:v>
      </x:c>
      <x:c r="B473" s="2" t="str">
        <x:v>Boat Dealers</x:v>
      </x:c>
      <x:c r="C473" s="8" t="n">
        <x:v>1456</x:v>
      </x:c>
      <x:c r="D473" s="8" t="n">
        <x:v>1472</x:v>
      </x:c>
      <x:c r="E473" s="8" t="n">
        <x:v>1525</x:v>
      </x:c>
      <x:c r="F473" s="8" t="n">
        <x:v>1651</x:v>
      </x:c>
      <x:c r="G473" s="8" t="n">
        <x:v>1630</x:v>
      </x:c>
      <x:c r="H473" s="8" t="n">
        <x:v>1539</x:v>
      </x:c>
    </x:row>
    <x:row r="474">
      <x:c r="A474" s="2" t="str">
        <x:v>444110</x:v>
      </x:c>
      <x:c r="B474" s="2" t="str">
        <x:v>Home Centers</x:v>
      </x:c>
      <x:c r="C474" s="8" t="n">
        <x:v>68205</x:v>
      </x:c>
      <x:c r="D474" s="8" t="n">
        <x:v>71346</x:v>
      </x:c>
      <x:c r="E474" s="8" t="n">
        <x:v>64923</x:v>
      </x:c>
      <x:c r="F474" s="8" t="n">
        <x:v>74946</x:v>
      </x:c>
      <x:c r="G474" s="8" t="n">
        <x:v>69456</x:v>
      </x:c>
      <x:c r="H474" s="8" t="n">
        <x:v>65878</x:v>
      </x:c>
    </x:row>
    <x:row r="475">
      <x:c r="A475" s="2" t="str">
        <x:v>444120</x:v>
      </x:c>
      <x:c r="B475" s="2" t="str">
        <x:v>Paint and Wallpaper Retailers</x:v>
      </x:c>
      <x:c r="C475" s="8" t="n">
        <x:v>4426</x:v>
      </x:c>
      <x:c r="D475" s="8" t="n">
        <x:v>4526</x:v>
      </x:c>
      <x:c r="E475" s="8" t="n">
        <x:v>4588</x:v>
      </x:c>
      <x:c r="F475" s="8" t="n">
        <x:v>4359</x:v>
      </x:c>
      <x:c r="G475" s="8" t="n">
        <x:v>4520</x:v>
      </x:c>
      <x:c r="H475" s="8" t="n">
        <x:v>4317</x:v>
      </x:c>
    </x:row>
    <x:row r="476">
      <x:c r="A476" s="2" t="str">
        <x:v>445110</x:v>
      </x:c>
      <x:c r="B476" s="2" t="str">
        <x:v>Supermarkets and Other Grocery Retailers (except Convenience Retailers)</x:v>
      </x:c>
      <x:c r="C476" s="8" t="n">
        <x:v>294292</x:v>
      </x:c>
      <x:c r="D476" s="8" t="n">
        <x:v>294401</x:v>
      </x:c>
      <x:c r="E476" s="8" t="n">
        <x:v>295283</x:v>
      </x:c>
      <x:c r="F476" s="8" t="n">
        <x:v>303314</x:v>
      </x:c>
      <x:c r="G476" s="8" t="n">
        <x:v>313904</x:v>
      </x:c>
      <x:c r="H476" s="8" t="n">
        <x:v>316476</x:v>
      </x:c>
    </x:row>
    <x:row r="477">
      <x:c r="A477" s="2" t="str">
        <x:v>445132</x:v>
      </x:c>
      <x:c r="B477" s="2" t="str">
        <x:v>Vending Machine Operators</x:v>
      </x:c>
      <x:c r="C477" s="8" t="n">
        <x:v>1500</x:v>
      </x:c>
      <x:c r="D477" s="8" t="n">
        <x:v>1795</x:v>
      </x:c>
      <x:c r="E477" s="8" t="n">
        <x:v>2107</x:v>
      </x:c>
      <x:c r="F477" s="8" t="n">
        <x:v>1595</x:v>
      </x:c>
      <x:c r="G477" s="8" t="n">
        <x:v>1625</x:v>
      </x:c>
      <x:c r="H477" s="8" t="n">
        <x:v>1818</x:v>
      </x:c>
    </x:row>
    <x:row r="478">
      <x:c r="A478" s="2" t="str">
        <x:v>445230</x:v>
      </x:c>
      <x:c r="B478" s="2" t="str">
        <x:v>Fruit and Vegetable Retailers</x:v>
      </x:c>
      <x:c r="C478" s="8" t="n">
        <x:v>3711</x:v>
      </x:c>
      <x:c r="D478" s="8" t="n">
        <x:v>3691</x:v>
      </x:c>
      <x:c r="E478" s="8" t="n">
        <x:v>3619</x:v>
      </x:c>
      <x:c r="F478" s="8" t="n">
        <x:v>3705</x:v>
      </x:c>
      <x:c r="G478" s="8" t="n">
        <x:v>3681</x:v>
      </x:c>
      <x:c r="H478" s="8" t="n">
        <x:v>3405</x:v>
      </x:c>
    </x:row>
    <x:row r="479">
      <x:c r="A479" s="2" t="str">
        <x:v>445291</x:v>
      </x:c>
      <x:c r="B479" s="2" t="str">
        <x:v>Baked Goods Retailers</x:v>
      </x:c>
      <x:c r="C479" s="8" t="n">
        <x:v>3014</x:v>
      </x:c>
      <x:c r="D479" s="8" t="n">
        <x:v>2597</x:v>
      </x:c>
      <x:c r="E479" s="8" t="n">
        <x:v>2383</x:v>
      </x:c>
      <x:c r="F479" s="8" t="n">
        <x:v>2012</x:v>
      </x:c>
      <x:c r="G479" s="8" t="n">
        <x:v>2204</x:v>
      </x:c>
      <x:c r="H479" s="8" t="n">
        <x:v>1702</x:v>
      </x:c>
    </x:row>
    <x:row r="480">
      <x:c r="A480" s="2" t="str">
        <x:v>445292</x:v>
      </x:c>
      <x:c r="B480" s="2" t="str">
        <x:v>Confectionery and Nut Retailers</x:v>
      </x:c>
      <x:c r="C480" s="8" t="n">
        <x:v>4485</x:v>
      </x:c>
      <x:c r="D480" s="8" t="n">
        <x:v>4633</x:v>
      </x:c>
      <x:c r="E480" s="8" t="n">
        <x:v>4564</x:v>
      </x:c>
      <x:c r="F480" s="8" t="n">
        <x:v>4095</x:v>
      </x:c>
      <x:c r="G480" s="8" t="n">
        <x:v>4498</x:v>
      </x:c>
      <x:c r="H480" s="8" t="n">
        <x:v>3397</x:v>
      </x:c>
    </x:row>
    <x:row r="481">
      <x:c r="A481" s="2" t="str">
        <x:v>457110</x:v>
      </x:c>
      <x:c r="B481" s="2" t="str">
        <x:v>Gasoline Stations with Convenience Stores</x:v>
      </x:c>
      <x:c r="C481" s="8" t="n">
        <x:v>51058</x:v>
      </x:c>
      <x:c r="D481" s="8" t="n">
        <x:v>52691</x:v>
      </x:c>
      <x:c r="E481" s="8" t="n">
        <x:v>54198</x:v>
      </x:c>
      <x:c r="F481" s="8" t="n">
        <x:v>53350</x:v>
      </x:c>
      <x:c r="G481" s="8" t="n">
        <x:v>55528</x:v>
      </x:c>
      <x:c r="H481" s="8" t="n">
        <x:v>55014</x:v>
      </x:c>
    </x:row>
    <x:row r="482">
      <x:c r="A482" s="2" t="str">
        <x:v>457120</x:v>
      </x:c>
      <x:c r="B482" s="2" t="str">
        <x:v>Other Gasoline Stations</x:v>
      </x:c>
      <x:c r="C482" s="8" t="n">
        <x:v>8864</x:v>
      </x:c>
      <x:c r="D482" s="8" t="n">
        <x:v>8741</x:v>
      </x:c>
      <x:c r="E482" s="8" t="n">
        <x:v>8860</x:v>
      </x:c>
      <x:c r="F482" s="8" t="n">
        <x:v>9144</x:v>
      </x:c>
      <x:c r="G482" s="8" t="n">
        <x:v>9001</x:v>
      </x:c>
      <x:c r="H482" s="8" t="n">
        <x:v>8439</x:v>
      </x:c>
    </x:row>
    <x:row r="483">
      <x:c r="A483" s="2" t="str">
        <x:v>457210</x:v>
      </x:c>
      <x:c r="B483" s="2" t="str">
        <x:v>Fuel Dealers</x:v>
      </x:c>
      <x:c r="C483" s="8" t="n">
        <x:v>2805</x:v>
      </x:c>
      <x:c r="D483" s="8" t="n">
        <x:v>2768</x:v>
      </x:c>
      <x:c r="E483" s="8" t="n">
        <x:v>2680</x:v>
      </x:c>
      <x:c r="F483" s="8" t="n">
        <x:v>2519</x:v>
      </x:c>
      <x:c r="G483" s="8" t="n">
        <x:v>2509</x:v>
      </x:c>
      <x:c r="H483" s="8" t="n">
        <x:v>2432</x:v>
      </x:c>
    </x:row>
    <x:row r="484">
      <x:c r="A484" s="2" t="str">
        <x:v>459930</x:v>
      </x:c>
      <x:c r="B484" s="2" t="str">
        <x:v>Manufactured (Mobile) Home Dealers</x:v>
      </x:c>
      <x:c r="C484" s="8" t="n">
        <x:v>948</x:v>
      </x:c>
      <x:c r="D484" s="8" t="n">
        <x:v>1072</x:v>
      </x:c>
      <x:c r="E484" s="8" t="n">
        <x:v>987</x:v>
      </x:c>
      <x:c r="F484" s="8" t="n">
        <x:v>488</x:v>
      </x:c>
      <x:c r="G484" s="8" t="n">
        <x:v>497</x:v>
      </x:c>
      <x:c r="H484" s="8" t="n">
        <x:v>446</x:v>
      </x:c>
    </x:row>
    <x:row r="485">
      <x:c r="A485" s="2" t="str">
        <x:v>481111</x:v>
      </x:c>
      <x:c r="B485" s="2" t="str">
        <x:v>Scheduled Passenger Air Transportation</x:v>
      </x:c>
      <x:c r="C485" s="8" t="n">
        <x:v>48244</x:v>
      </x:c>
      <x:c r="D485" s="8" t="n">
        <x:v>50164</x:v>
      </x:c>
      <x:c r="E485" s="8" t="n">
        <x:v>50869</x:v>
      </x:c>
      <x:c r="F485" s="8" t="n">
        <x:v>44369</x:v>
      </x:c>
      <x:c r="G485" s="8" t="n">
        <x:v>46969</x:v>
      </x:c>
      <x:c r="H485" s="8" t="n">
        <x:v>50556</x:v>
      </x:c>
    </x:row>
    <x:row r="486">
      <x:c r="A486" s="2" t="str">
        <x:v>481112</x:v>
      </x:c>
      <x:c r="B486" s="2" t="str">
        <x:v>Scheduled Freight Air Transportation</x:v>
      </x:c>
      <x:c r="C486" s="8" t="n">
        <x:v>830</x:v>
      </x:c>
      <x:c r="D486" s="8" t="n">
        <x:v>853</x:v>
      </x:c>
      <x:c r="E486" s="8" t="n">
        <x:v>1098</x:v>
      </x:c>
      <x:c r="F486" s="8" t="n">
        <x:v>996</x:v>
      </x:c>
      <x:c r="G486" s="8" t="n">
        <x:v>1113</x:v>
      </x:c>
      <x:c r="H486" s="8" t="n">
        <x:v>1053</x:v>
      </x:c>
    </x:row>
    <x:row r="487">
      <x:c r="A487" s="2" t="str">
        <x:v>481211</x:v>
      </x:c>
      <x:c r="B487" s="2" t="str">
        <x:v>Nonscheduled Chartered Passenger Air Transportation</x:v>
      </x:c>
      <x:c r="C487" s="8" t="n">
        <x:v>2663</x:v>
      </x:c>
      <x:c r="D487" s="8" t="n">
        <x:v>2814</x:v>
      </x:c>
      <x:c r="E487" s="8" t="n">
        <x:v>3022</x:v>
      </x:c>
      <x:c r="F487" s="8" t="n">
        <x:v>3430</x:v>
      </x:c>
      <x:c r="G487" s="8" t="n">
        <x:v>3778</x:v>
      </x:c>
      <x:c r="H487" s="8" t="n">
        <x:v>3647</x:v>
      </x:c>
    </x:row>
    <x:row r="488">
      <x:c r="A488" s="2" t="str">
        <x:v>481212</x:v>
      </x:c>
      <x:c r="B488" s="2" t="str">
        <x:v>Nonscheduled Chartered Freight Air Transportation</x:v>
      </x:c>
      <x:c r="C488" s="8" t="n">
        <x:v>1220</x:v>
      </x:c>
      <x:c r="D488" s="8" t="n">
        <x:v>1296</x:v>
      </x:c>
      <x:c r="E488" s="8" t="n">
        <x:v>1592</x:v>
      </x:c>
      <x:c r="F488" s="8" t="n">
        <x:v>1593</x:v>
      </x:c>
      <x:c r="G488" s="8" t="n">
        <x:v>1754</x:v>
      </x:c>
      <x:c r="H488" s="8" t="n">
        <x:v>1673</x:v>
      </x:c>
    </x:row>
    <x:row r="489">
      <x:c r="A489" s="2" t="str">
        <x:v>481219</x:v>
      </x:c>
      <x:c r="B489" s="2" t="str">
        <x:v>Other Nonscheduled Air Transportation</x:v>
      </x:c>
      <x:c r="C489" s="8" t="n">
        <x:v>522</x:v>
      </x:c>
      <x:c r="D489" s="8" t="n">
        <x:v>563</x:v>
      </x:c>
      <x:c r="E489" s="8" t="n">
        <x:v>631</x:v>
      </x:c>
      <x:c r="F489" s="8" t="n">
        <x:v>981</x:v>
      </x:c>
      <x:c r="G489" s="8" t="n">
        <x:v>1070</x:v>
      </x:c>
      <x:c r="H489" s="8" t="n">
        <x:v>897</x:v>
      </x:c>
    </x:row>
    <x:row r="490">
      <x:c r="A490" s="2" t="str">
        <x:v>483111</x:v>
      </x:c>
      <x:c r="B490" s="2" t="str">
        <x:v>Deep Sea Freight Transportation</x:v>
      </x:c>
      <x:c r="C490" s="8" t="n">
        <x:v>2457</x:v>
      </x:c>
      <x:c r="D490" s="8" t="n">
        <x:v>2687</x:v>
      </x:c>
      <x:c r="E490" s="8" t="n">
        <x:v>2602</x:v>
      </x:c>
      <x:c r="F490" s="8" t="n">
        <x:v>1954</x:v>
      </x:c>
      <x:c r="G490" s="8" t="n">
        <x:v>1995</x:v>
      </x:c>
      <x:c r="H490" s="8" t="n">
        <x:v>1294</x:v>
      </x:c>
    </x:row>
    <x:row r="491">
      <x:c r="A491" s="2" t="str">
        <x:v>483211</x:v>
      </x:c>
      <x:c r="B491" s="2" t="str">
        <x:v>Inland Water Freight Transportation</x:v>
      </x:c>
      <x:c r="C491" s="8" t="n">
        <x:v>123</x:v>
      </x:c>
      <x:c r="D491" s="8" t="n">
        <x:v>134</x:v>
      </x:c>
      <x:c r="E491" s="8" t="n">
        <x:v>145</x:v>
      </x:c>
      <x:c r="F491" s="8" t="n">
        <x:v>155</x:v>
      </x:c>
      <x:c r="G491" s="8" t="n">
        <x:v>177</x:v>
      </x:c>
      <x:c r="H491" s="8" t="n">
        <x:v>174</x:v>
      </x:c>
    </x:row>
    <x:row r="492">
      <x:c r="A492" s="2" t="str">
        <x:v>483212</x:v>
      </x:c>
      <x:c r="B492" s="2" t="str">
        <x:v>Inland Water Passenger Transportation</x:v>
      </x:c>
      <x:c r="C492" s="8" t="n">
        <x:v>215</x:v>
      </x:c>
      <x:c r="D492" s="8" t="n">
        <x:v>227</x:v>
      </x:c>
      <x:c r="E492" s="8" t="n">
        <x:v>241</x:v>
      </x:c>
      <x:c r="F492" s="8" t="n">
        <x:v>265</x:v>
      </x:c>
      <x:c r="G492" s="8" t="n">
        <x:v>270</x:v>
      </x:c>
      <x:c r="H492" s="8" t="n">
        <x:v>325</x:v>
      </x:c>
    </x:row>
    <x:row r="493">
      <x:c r="A493" s="2" t="str">
        <x:v>484110</x:v>
      </x:c>
      <x:c r="B493" s="2" t="str">
        <x:v>General Freight Trucking, Local</x:v>
      </x:c>
      <x:c r="C493" s="8" t="n">
        <x:v>35554</x:v>
      </x:c>
      <x:c r="D493" s="8" t="n">
        <x:v>37325</x:v>
      </x:c>
      <x:c r="E493" s="8" t="n">
        <x:v>41154</x:v>
      </x:c>
      <x:c r="F493" s="8" t="n">
        <x:v>47022</x:v>
      </x:c>
      <x:c r="G493" s="8" t="n">
        <x:v>47470</x:v>
      </x:c>
      <x:c r="H493" s="8" t="n">
        <x:v>42532</x:v>
      </x:c>
    </x:row>
    <x:row r="494">
      <x:c r="A494" s="2" t="str">
        <x:v>484121</x:v>
      </x:c>
      <x:c r="B494" s="2" t="str">
        <x:v>General Freight Trucking, Long-Distance, Truckload</x:v>
      </x:c>
      <x:c r="C494" s="8" t="n">
        <x:v>23870</x:v>
      </x:c>
      <x:c r="D494" s="8" t="n">
        <x:v>26187</x:v>
      </x:c>
      <x:c r="E494" s="8" t="n">
        <x:v>28137</x:v>
      </x:c>
      <x:c r="F494" s="8" t="n">
        <x:v>33938</x:v>
      </x:c>
      <x:c r="G494" s="8" t="n">
        <x:v>37012</x:v>
      </x:c>
      <x:c r="H494" s="8" t="n">
        <x:v>34551</x:v>
      </x:c>
    </x:row>
    <x:row r="495">
      <x:c r="A495" s="2" t="str">
        <x:v>484122</x:v>
      </x:c>
      <x:c r="B495" s="2" t="str">
        <x:v>General Freight Trucking, Long-Distance, Less Than Truckload</x:v>
      </x:c>
      <x:c r="C495" s="8" t="n">
        <x:v>20896</x:v>
      </x:c>
      <x:c r="D495" s="8" t="n">
        <x:v>22256</x:v>
      </x:c>
      <x:c r="E495" s="8" t="n">
        <x:v>22789</x:v>
      </x:c>
      <x:c r="F495" s="8" t="n">
        <x:v>24163</x:v>
      </x:c>
      <x:c r="G495" s="8" t="n">
        <x:v>22166</x:v>
      </x:c>
      <x:c r="H495" s="8" t="n">
        <x:v>20389</x:v>
      </x:c>
    </x:row>
    <x:row r="496">
      <x:c r="A496" s="2" t="str">
        <x:v>484210</x:v>
      </x:c>
      <x:c r="B496" s="2" t="str">
        <x:v>Used Household and Office Goods Moving</x:v>
      </x:c>
      <x:c r="C496" s="8" t="n">
        <x:v>9940</x:v>
      </x:c>
      <x:c r="D496" s="8" t="n">
        <x:v>9797</x:v>
      </x:c>
      <x:c r="E496" s="8" t="n">
        <x:v>10061</x:v>
      </x:c>
      <x:c r="F496" s="8" t="n">
        <x:v>11162</x:v>
      </x:c>
      <x:c r="G496" s="8" t="n">
        <x:v>10222</x:v>
      </x:c>
      <x:c r="H496" s="8" t="n">
        <x:v>8383</x:v>
      </x:c>
    </x:row>
    <x:row r="497">
      <x:c r="A497" s="2" t="str">
        <x:v>484220</x:v>
      </x:c>
      <x:c r="B497" s="2" t="str">
        <x:v>Specialized Freight (except Used Goods) Trucking, Local</x:v>
      </x:c>
      <x:c r="C497" s="8" t="n">
        <x:v>22856</x:v>
      </x:c>
      <x:c r="D497" s="8" t="n">
        <x:v>23114</x:v>
      </x:c>
      <x:c r="E497" s="8" t="n">
        <x:v>23783</x:v>
      </x:c>
      <x:c r="F497" s="8" t="n">
        <x:v>23858</x:v>
      </x:c>
      <x:c r="G497" s="8" t="n">
        <x:v>24170</x:v>
      </x:c>
      <x:c r="H497" s="8" t="n">
        <x:v>24392</x:v>
      </x:c>
    </x:row>
    <x:row r="498">
      <x:c r="A498" s="2" t="str">
        <x:v>484230</x:v>
      </x:c>
      <x:c r="B498" s="2" t="str">
        <x:v>Specialized Freight (except Used Goods) Trucking, Long-Distance</x:v>
      </x:c>
      <x:c r="C498" s="8" t="n">
        <x:v>5357</x:v>
      </x:c>
      <x:c r="D498" s="8" t="n">
        <x:v>5277</x:v>
      </x:c>
      <x:c r="E498" s="8" t="n">
        <x:v>5201</x:v>
      </x:c>
      <x:c r="F498" s="8" t="n">
        <x:v>6197</x:v>
      </x:c>
      <x:c r="G498" s="8" t="n">
        <x:v>6461</x:v>
      </x:c>
      <x:c r="H498" s="8" t="n">
        <x:v>6855</x:v>
      </x:c>
    </x:row>
    <x:row r="499">
      <x:c r="A499" s="2" t="str">
        <x:v>485111</x:v>
      </x:c>
      <x:c r="B499" s="2" t="str">
        <x:v>Mixed Mode Transit Systems</x:v>
      </x:c>
      <x:c r="C499" s="8" t="n">
        <x:v>1903</x:v>
      </x:c>
      <x:c r="D499" s="8" t="n">
        <x:v>1643</x:v>
      </x:c>
      <x:c r="E499" s="8" t="n">
        <x:v>1627</x:v>
      </x:c>
      <x:c r="F499" s="8" t="n">
        <x:v>760</x:v>
      </x:c>
      <x:c r="G499" s="8" t="n">
        <x:v>496</x:v>
      </x:c>
      <x:c r="H499" s="8" t="n">
        <x:v>570</x:v>
      </x:c>
    </x:row>
    <x:row r="500">
      <x:c r="A500" s="2" t="str">
        <x:v>485113</x:v>
      </x:c>
      <x:c r="B500" s="2" t="str">
        <x:v>Bus and Other Motor Vehicle Transit Systems</x:v>
      </x:c>
      <x:c r="C500" s="8" t="n">
        <x:v>4226</x:v>
      </x:c>
      <x:c r="D500" s="8" t="n">
        <x:v>4149</x:v>
      </x:c>
      <x:c r="E500" s="8" t="n">
        <x:v>4125</x:v>
      </x:c>
      <x:c r="F500" s="8" t="n">
        <x:v>5582</x:v>
      </x:c>
      <x:c r="G500" s="8" t="n">
        <x:v>4706</x:v>
      </x:c>
      <x:c r="H500" s="8" t="n">
        <x:v>6061</x:v>
      </x:c>
    </x:row>
    <x:row r="501">
      <x:c r="A501" s="2" t="str">
        <x:v>485210</x:v>
      </x:c>
      <x:c r="B501" s="2" t="str">
        <x:v>Interurban and Rural Bus Transportation</x:v>
      </x:c>
      <x:c r="C501" s="8" t="n">
        <x:v>1047</x:v>
      </x:c>
      <x:c r="D501" s="8" t="n">
        <x:v>1030</x:v>
      </x:c>
      <x:c r="E501" s="8" t="n">
        <x:v>1106</x:v>
      </x:c>
      <x:c r="F501" s="8" t="n">
        <x:v>536</x:v>
      </x:c>
      <x:c r="G501" s="8" t="n">
        <x:v>627</x:v>
      </x:c>
      <x:c r="H501" s="8" t="n">
        <x:v>502</x:v>
      </x:c>
    </x:row>
    <x:row r="502">
      <x:c r="A502" s="2" t="str">
        <x:v>485410</x:v>
      </x:c>
      <x:c r="B502" s="2" t="str">
        <x:v>School and Employee Bus Transportation</x:v>
      </x:c>
      <x:c r="C502" s="8" t="n">
        <x:v>10463</x:v>
      </x:c>
      <x:c r="D502" s="8" t="n">
        <x:v>10631</x:v>
      </x:c>
      <x:c r="E502" s="8" t="n">
        <x:v>11713</x:v>
      </x:c>
      <x:c r="F502" s="8" t="n">
        <x:v>9671</x:v>
      </x:c>
      <x:c r="G502" s="8" t="n">
        <x:v>9428</x:v>
      </x:c>
      <x:c r="H502" s="8" t="n">
        <x:v>10645</x:v>
      </x:c>
    </x:row>
    <x:row r="503">
      <x:c r="A503" s="2" t="str">
        <x:v>485510</x:v>
      </x:c>
      <x:c r="B503" s="2" t="str">
        <x:v>Charter Bus Industry</x:v>
      </x:c>
      <x:c r="C503" s="8" t="n">
        <x:v>3926</x:v>
      </x:c>
      <x:c r="D503" s="8" t="n">
        <x:v>3867</x:v>
      </x:c>
      <x:c r="E503" s="8" t="n">
        <x:v>3200</x:v>
      </x:c>
      <x:c r="F503" s="8" t="n">
        <x:v>1812</x:v>
      </x:c>
      <x:c r="G503" s="8" t="n">
        <x:v>2043</x:v>
      </x:c>
      <x:c r="H503" s="8" t="n">
        <x:v>2310</x:v>
      </x:c>
    </x:row>
    <x:row r="504">
      <x:c r="A504" s="2" t="str">
        <x:v>485991</x:v>
      </x:c>
      <x:c r="B504" s="2" t="str">
        <x:v>Special Needs Transportation</x:v>
      </x:c>
      <x:c r="C504" s="8" t="n">
        <x:v>9907</x:v>
      </x:c>
      <x:c r="D504" s="8" t="n">
        <x:v>9847</x:v>
      </x:c>
      <x:c r="E504" s="8" t="n">
        <x:v>10218</x:v>
      </x:c>
      <x:c r="F504" s="8" t="n">
        <x:v>9616</x:v>
      </x:c>
      <x:c r="G504" s="8" t="n">
        <x:v>10282</x:v>
      </x:c>
      <x:c r="H504" s="8" t="n">
        <x:v>12856</x:v>
      </x:c>
    </x:row>
    <x:row r="505">
      <x:c r="A505" s="2" t="str">
        <x:v>485999</x:v>
      </x:c>
      <x:c r="B505" s="2" t="str">
        <x:v>All Other Transit and Ground Passenger Transportation</x:v>
      </x:c>
      <x:c r="C505" s="8" t="n">
        <x:v>3151</x:v>
      </x:c>
      <x:c r="D505" s="8" t="n">
        <x:v>3472</x:v>
      </x:c>
      <x:c r="E505" s="8" t="n">
        <x:v>4795</x:v>
      </x:c>
      <x:c r="F505" s="8" t="n">
        <x:v>5633</x:v>
      </x:c>
      <x:c r="G505" s="8" t="n">
        <x:v>5188</x:v>
      </x:c>
      <x:c r="H505" s="8" t="n">
        <x:v>6190</x:v>
      </x:c>
    </x:row>
    <x:row r="506">
      <x:c r="A506" s="2" t="str">
        <x:v>486110</x:v>
      </x:c>
      <x:c r="B506" s="2" t="str">
        <x:v>Pipeline Transportation of Crude Oil</x:v>
      </x:c>
      <x:c r="C506" s="8" t="n">
        <x:v>702</x:v>
      </x:c>
      <x:c r="D506" s="8" t="n">
        <x:v>577</x:v>
      </x:c>
      <x:c r="E506" s="8" t="n">
        <x:v>491</x:v>
      </x:c>
      <x:c r="F506" s="8" t="n">
        <x:v>217</x:v>
      </x:c>
      <x:c r="G506" s="8" t="n">
        <x:v>320</x:v>
      </x:c>
      <x:c r="H506" s="8" t="n">
        <x:v>298</x:v>
      </x:c>
    </x:row>
    <x:row r="507">
      <x:c r="A507" s="2" t="str">
        <x:v>486210</x:v>
      </x:c>
      <x:c r="B507" s="2" t="str">
        <x:v>Pipeline Transportation of Natural Gas</x:v>
      </x:c>
      <x:c r="C507" s="8" t="n">
        <x:v>404</x:v>
      </x:c>
      <x:c r="D507" s="8" t="n">
        <x:v>429</x:v>
      </x:c>
      <x:c r="E507" s="8" t="n">
        <x:v>396</x:v>
      </x:c>
      <x:c r="F507" s="8" t="n">
        <x:v>553</x:v>
      </x:c>
      <x:c r="G507" s="8" t="n">
        <x:v>558</x:v>
      </x:c>
      <x:c r="H507" s="8" t="n">
        <x:v>509</x:v>
      </x:c>
    </x:row>
    <x:row r="508">
      <x:c r="A508" s="2" t="str">
        <x:v>487110</x:v>
      </x:c>
      <x:c r="B508" s="2" t="str">
        <x:v>Scenic and Sightseeing Transportation, Land</x:v>
      </x:c>
      <x:c r="C508" s="8" t="n">
        <x:v>1950</x:v>
      </x:c>
      <x:c r="D508" s="8" t="n">
        <x:v>1971</x:v>
      </x:c>
      <x:c r="E508" s="8" t="n">
        <x:v>2006</x:v>
      </x:c>
      <x:c r="F508" s="8" t="n">
        <x:v>1285</x:v>
      </x:c>
      <x:c r="G508" s="8" t="n">
        <x:v>1349</x:v>
      </x:c>
      <x:c r="H508" s="8" t="n">
        <x:v>1093</x:v>
      </x:c>
    </x:row>
    <x:row r="509">
      <x:c r="A509" s="2" t="str">
        <x:v>487210</x:v>
      </x:c>
      <x:c r="B509" s="2" t="str">
        <x:v>Scenic and Sightseeing Transportation, Water</x:v>
      </x:c>
      <x:c r="C509" s="8" t="n">
        <x:v>2062</x:v>
      </x:c>
      <x:c r="D509" s="8" t="n">
        <x:v>2247</x:v>
      </x:c>
      <x:c r="E509" s="8" t="n">
        <x:v>2144</x:v>
      </x:c>
      <x:c r="F509" s="8" t="n">
        <x:v>1913</x:v>
      </x:c>
      <x:c r="G509" s="8" t="n">
        <x:v>2026</x:v>
      </x:c>
      <x:c r="H509" s="8" t="n">
        <x:v>2198</x:v>
      </x:c>
    </x:row>
    <x:row r="510">
      <x:c r="A510" s="2" t="str">
        <x:v>487990</x:v>
      </x:c>
      <x:c r="B510" s="2" t="str">
        <x:v>Scenic and Sightseeing Transportation, Other</x:v>
      </x:c>
      <x:c r="C510" s="8" t="n">
        <x:v>254</x:v>
      </x:c>
      <x:c r="D510" s="8" t="n">
        <x:v>231</x:v>
      </x:c>
      <x:c r="E510" s="8" t="n">
        <x:v>229</x:v>
      </x:c>
      <x:c r="F510" s="8" t="n">
        <x:v>312</x:v>
      </x:c>
      <x:c r="G510" s="8" t="n">
        <x:v>218</x:v>
      </x:c>
      <x:c r="H510" s="8" t="n">
        <x:v>216</x:v>
      </x:c>
    </x:row>
    <x:row r="511">
      <x:c r="A511" s="2" t="str">
        <x:v>488190</x:v>
      </x:c>
      <x:c r="B511" s="2" t="str">
        <x:v>Other Support Activities for Air Transportation</x:v>
      </x:c>
      <x:c r="C511" s="8" t="n">
        <x:v>11143</x:v>
      </x:c>
      <x:c r="D511" s="8" t="n">
        <x:v>12561</x:v>
      </x:c>
      <x:c r="E511" s="8" t="n">
        <x:v>13100</x:v>
      </x:c>
      <x:c r="F511" s="8" t="n">
        <x:v>12469</x:v>
      </x:c>
      <x:c r="G511" s="8" t="n">
        <x:v>13101</x:v>
      </x:c>
      <x:c r="H511" s="8" t="n">
        <x:v>11565</x:v>
      </x:c>
    </x:row>
    <x:row r="512">
      <x:c r="A512" s="2" t="str">
        <x:v>488210</x:v>
      </x:c>
      <x:c r="B512" s="2" t="str">
        <x:v>Support Activities for Rail Transportation</x:v>
      </x:c>
      <x:c r="C512" s="8" t="n">
        <x:v>2866</x:v>
      </x:c>
      <x:c r="D512" s="8" t="n">
        <x:v>2841</x:v>
      </x:c>
      <x:c r="E512" s="8" t="n">
        <x:v>2855</x:v>
      </x:c>
      <x:c r="F512" s="8" t="n">
        <x:v>2827</x:v>
      </x:c>
      <x:c r="G512" s="8" t="n">
        <x:v>3141</x:v>
      </x:c>
      <x:c r="H512" s="8" t="n">
        <x:v>3212</x:v>
      </x:c>
    </x:row>
    <x:row r="513">
      <x:c r="A513" s="2" t="str">
        <x:v>488310</x:v>
      </x:c>
      <x:c r="B513" s="2" t="str">
        <x:v>Port and Harbor Operations</x:v>
      </x:c>
      <x:c r="C513" s="8" t="n">
        <x:v>502</x:v>
      </x:c>
      <x:c r="D513" s="8" t="n">
        <x:v>379</x:v>
      </x:c>
      <x:c r="E513" s="8" t="n">
        <x:v>329</x:v>
      </x:c>
      <x:c r="F513" s="8" t="n">
        <x:v>268</x:v>
      </x:c>
      <x:c r="G513" s="8" t="n">
        <x:v>256</x:v>
      </x:c>
      <x:c r="H513" s="8" t="n">
        <x:v>166</x:v>
      </x:c>
    </x:row>
    <x:row r="514">
      <x:c r="A514" s="2" t="str">
        <x:v>488320</x:v>
      </x:c>
      <x:c r="B514" s="2" t="str">
        <x:v>Marine Cargo Handling</x:v>
      </x:c>
      <x:c r="C514" s="8" t="n">
        <x:v>16051</x:v>
      </x:c>
      <x:c r="D514" s="8" t="n">
        <x:v>16258</x:v>
      </x:c>
      <x:c r="E514" s="8" t="n">
        <x:v>16674</x:v>
      </x:c>
      <x:c r="F514" s="8" t="n">
        <x:v>17534</x:v>
      </x:c>
      <x:c r="G514" s="8" t="n">
        <x:v>15207</x:v>
      </x:c>
      <x:c r="H514" s="8" t="n">
        <x:v>16348</x:v>
      </x:c>
    </x:row>
    <x:row r="515">
      <x:c r="A515" s="2" t="str">
        <x:v>488330</x:v>
      </x:c>
      <x:c r="B515" s="2" t="str">
        <x:v>Navigational Services to Shipping</x:v>
      </x:c>
      <x:c r="C515" s="8" t="n">
        <x:v>696</x:v>
      </x:c>
      <x:c r="D515" s="8" t="n">
        <x:v>743</x:v>
      </x:c>
      <x:c r="E515" s="8" t="n">
        <x:v>677</x:v>
      </x:c>
      <x:c r="F515" s="8" t="n">
        <x:v>679</x:v>
      </x:c>
      <x:c r="G515" s="8" t="n">
        <x:v>681</x:v>
      </x:c>
      <x:c r="H515" s="8" t="n">
        <x:v>742</x:v>
      </x:c>
    </x:row>
    <x:row r="516">
      <x:c r="A516" s="2" t="str">
        <x:v>488390</x:v>
      </x:c>
      <x:c r="B516" s="2" t="str">
        <x:v>Other Support Activities for Water Transportation</x:v>
      </x:c>
      <x:c r="C516" s="8" t="n">
        <x:v>445</x:v>
      </x:c>
      <x:c r="D516" s="8" t="n">
        <x:v>533</x:v>
      </x:c>
      <x:c r="E516" s="8" t="n">
        <x:v>459</x:v>
      </x:c>
      <x:c r="F516" s="8" t="n">
        <x:v>419</x:v>
      </x:c>
      <x:c r="G516" s="8" t="n">
        <x:v>457</x:v>
      </x:c>
      <x:c r="H516" s="8" t="n">
        <x:v>442</x:v>
      </x:c>
    </x:row>
    <x:row r="517">
      <x:c r="A517" s="2" t="str">
        <x:v>488410</x:v>
      </x:c>
      <x:c r="B517" s="2" t="str">
        <x:v>Motor Vehicle Towing</x:v>
      </x:c>
      <x:c r="C517" s="8" t="n">
        <x:v>11473</x:v>
      </x:c>
      <x:c r="D517" s="8" t="n">
        <x:v>11807</x:v>
      </x:c>
      <x:c r="E517" s="8" t="n">
        <x:v>12233</x:v>
      </x:c>
      <x:c r="F517" s="8" t="n">
        <x:v>12413</x:v>
      </x:c>
      <x:c r="G517" s="8" t="n">
        <x:v>12270</x:v>
      </x:c>
      <x:c r="H517" s="8" t="n">
        <x:v>11451</x:v>
      </x:c>
    </x:row>
    <x:row r="518">
      <x:c r="A518" s="2" t="str">
        <x:v>488490</x:v>
      </x:c>
      <x:c r="B518" s="2" t="str">
        <x:v>Other Support Activities for Road Transportation</x:v>
      </x:c>
      <x:c r="C518" s="8" t="n">
        <x:v>3724</x:v>
      </x:c>
      <x:c r="D518" s="8" t="n">
        <x:v>3482</x:v>
      </x:c>
      <x:c r="E518" s="8" t="n">
        <x:v>3521</x:v>
      </x:c>
      <x:c r="F518" s="8" t="n">
        <x:v>5516</x:v>
      </x:c>
      <x:c r="G518" s="8" t="n">
        <x:v>5266</x:v>
      </x:c>
      <x:c r="H518" s="8" t="n">
        <x:v>4731</x:v>
      </x:c>
    </x:row>
    <x:row r="519">
      <x:c r="A519" s="2" t="str">
        <x:v>488510</x:v>
      </x:c>
      <x:c r="B519" s="2" t="str">
        <x:v>Freight Transportation Arrangement</x:v>
      </x:c>
      <x:c r="C519" s="8" t="n">
        <x:v>32470</x:v>
      </x:c>
      <x:c r="D519" s="8" t="n">
        <x:v>31971</x:v>
      </x:c>
      <x:c r="E519" s="8" t="n">
        <x:v>33767</x:v>
      </x:c>
      <x:c r="F519" s="8" t="n">
        <x:v>37230</x:v>
      </x:c>
      <x:c r="G519" s="8" t="n">
        <x:v>36981</x:v>
      </x:c>
      <x:c r="H519" s="8" t="n">
        <x:v>31659</x:v>
      </x:c>
    </x:row>
    <x:row r="520">
      <x:c r="A520" s="2" t="str">
        <x:v>488991</x:v>
      </x:c>
      <x:c r="B520" s="2" t="str">
        <x:v>Packing and Crating</x:v>
      </x:c>
      <x:c r="C520" s="8" t="n">
        <x:v>3090</x:v>
      </x:c>
      <x:c r="D520" s="8" t="n">
        <x:v>3472</x:v>
      </x:c>
      <x:c r="E520" s="8" t="n">
        <x:v>2994</x:v>
      </x:c>
      <x:c r="F520" s="8" t="n">
        <x:v>3228</x:v>
      </x:c>
      <x:c r="G520" s="8" t="n">
        <x:v>3191</x:v>
      </x:c>
      <x:c r="H520" s="8" t="n">
        <x:v>2801</x:v>
      </x:c>
    </x:row>
    <x:row r="521">
      <x:c r="A521" s="2" t="str">
        <x:v>488999</x:v>
      </x:c>
      <x:c r="B521" s="2" t="str">
        <x:v>All Other Support Activities for Transportation</x:v>
      </x:c>
      <x:c r="C521" s="8" t="n">
        <x:v>2245</x:v>
      </x:c>
      <x:c r="D521" s="8" t="n">
        <x:v>2699</x:v>
      </x:c>
      <x:c r="E521" s="8" t="n">
        <x:v>2624</x:v>
      </x:c>
      <x:c r="F521" s="8" t="n">
        <x:v>2091</x:v>
      </x:c>
      <x:c r="G521" s="8" t="n">
        <x:v>2005</x:v>
      </x:c>
      <x:c r="H521" s="8" t="n">
        <x:v>1843</x:v>
      </x:c>
    </x:row>
    <x:row r="522">
      <x:c r="A522" s="2" t="str">
        <x:v>492110</x:v>
      </x:c>
      <x:c r="B522" s="2" t="str">
        <x:v>Couriers and Express Delivery Services</x:v>
      </x:c>
      <x:c r="C522" s="8" t="n">
        <x:v>68117</x:v>
      </x:c>
      <x:c r="D522" s="8" t="n">
        <x:v>72808</x:v>
      </x:c>
      <x:c r="E522" s="8" t="n">
        <x:v>78715</x:v>
      </x:c>
      <x:c r="F522" s="8" t="n">
        <x:v>115554</x:v>
      </x:c>
      <x:c r="G522" s="8" t="n">
        <x:v>103084</x:v>
      </x:c>
      <x:c r="H522" s="8" t="n">
        <x:v>118221</x:v>
      </x:c>
    </x:row>
    <x:row r="523">
      <x:c r="A523" s="2" t="str">
        <x:v>492210</x:v>
      </x:c>
      <x:c r="B523" s="2" t="str">
        <x:v>Local Messengers and Local Delivery</x:v>
      </x:c>
      <x:c r="C523" s="8" t="n">
        <x:v>12843</x:v>
      </x:c>
      <x:c r="D523" s="8" t="n">
        <x:v>14318</x:v>
      </x:c>
      <x:c r="E523" s="8" t="n">
        <x:v>14974</x:v>
      </x:c>
      <x:c r="F523" s="8" t="n">
        <x:v>30836</x:v>
      </x:c>
      <x:c r="G523" s="8" t="n">
        <x:v>28633</x:v>
      </x:c>
      <x:c r="H523" s="8" t="n">
        <x:v>23709</x:v>
      </x:c>
    </x:row>
    <x:row r="524">
      <x:c r="A524" s="2" t="str">
        <x:v>493110</x:v>
      </x:c>
      <x:c r="B524" s="2" t="str">
        <x:v>General Warehousing and Storage</x:v>
      </x:c>
      <x:c r="C524" s="8" t="n">
        <x:v>104981</x:v>
      </x:c>
      <x:c r="D524" s="8" t="n">
        <x:v>125984</x:v>
      </x:c>
      <x:c r="E524" s="8" t="n">
        <x:v>135087</x:v>
      </x:c>
      <x:c r="F524" s="8" t="n">
        <x:v>247170</x:v>
      </x:c>
      <x:c r="G524" s="8" t="n">
        <x:v>228725</x:v>
      </x:c>
      <x:c r="H524" s="8" t="n">
        <x:v>200449</x:v>
      </x:c>
    </x:row>
    <x:row r="525">
      <x:c r="A525" s="2" t="str">
        <x:v>493120</x:v>
      </x:c>
      <x:c r="B525" s="2" t="str">
        <x:v>Refrigerated Warehousing and Storage</x:v>
      </x:c>
      <x:c r="C525" s="8" t="n">
        <x:v>8190</x:v>
      </x:c>
      <x:c r="D525" s="8" t="n">
        <x:v>8886</x:v>
      </x:c>
      <x:c r="E525" s="8" t="n">
        <x:v>9460</x:v>
      </x:c>
      <x:c r="F525" s="8" t="n">
        <x:v>9860</x:v>
      </x:c>
      <x:c r="G525" s="8" t="n">
        <x:v>10301</x:v>
      </x:c>
      <x:c r="H525" s="8" t="n">
        <x:v>8754</x:v>
      </x:c>
    </x:row>
    <x:row r="526">
      <x:c r="A526" s="2" t="str">
        <x:v>493130</x:v>
      </x:c>
      <x:c r="B526" s="2" t="str">
        <x:v>Farm Product Warehousing and Storage</x:v>
      </x:c>
      <x:c r="C526" s="8" t="n">
        <x:v>394</x:v>
      </x:c>
      <x:c r="D526" s="8" t="n">
        <x:v>386</x:v>
      </x:c>
      <x:c r="E526" s="8" t="n">
        <x:v>278</x:v>
      </x:c>
      <x:c r="F526" s="8" t="n">
        <x:v>257</x:v>
      </x:c>
      <x:c r="G526" s="8" t="n">
        <x:v>238</x:v>
      </x:c>
      <x:c r="H526" s="8" t="n">
        <x:v>277</x:v>
      </x:c>
    </x:row>
    <x:row r="527">
      <x:c r="A527" s="2" t="str">
        <x:v>493190</x:v>
      </x:c>
      <x:c r="B527" s="2" t="str">
        <x:v>Other Warehousing and Storage</x:v>
      </x:c>
      <x:c r="C527" s="8" t="n">
        <x:v>4090</x:v>
      </x:c>
      <x:c r="D527" s="8" t="n">
        <x:v>4306</x:v>
      </x:c>
      <x:c r="E527" s="8" t="n">
        <x:v>4310</x:v>
      </x:c>
      <x:c r="F527" s="8" t="n">
        <x:v>4791</x:v>
      </x:c>
      <x:c r="G527" s="8" t="n">
        <x:v>4764</x:v>
      </x:c>
      <x:c r="H527" s="8" t="n">
        <x:v>4171</x:v>
      </x:c>
    </x:row>
    <x:row r="528">
      <x:c r="A528" s="2" t="str">
        <x:v>512110</x:v>
      </x:c>
      <x:c r="B528" s="2" t="str">
        <x:v>Motion Picture and Video Production</x:v>
      </x:c>
      <x:c r="C528" s="8" t="n">
        <x:v>105976</x:v>
      </x:c>
      <x:c r="D528" s="8" t="n">
        <x:v>113791</x:v>
      </x:c>
      <x:c r="E528" s="8" t="n">
        <x:v>113648</x:v>
      </x:c>
      <x:c r="F528" s="8" t="n">
        <x:v>140936</x:v>
      </x:c>
      <x:c r="G528" s="8" t="n">
        <x:v>115185</x:v>
      </x:c>
      <x:c r="H528" s="8" t="n">
        <x:v>103185</x:v>
      </x:c>
    </x:row>
    <x:row r="529">
      <x:c r="A529" s="2" t="str">
        <x:v>512120</x:v>
      </x:c>
      <x:c r="B529" s="2" t="str">
        <x:v>Motion Picture and Video Distribution</x:v>
      </x:c>
      <x:c r="C529" s="8" t="n">
        <x:v>2679</x:v>
      </x:c>
      <x:c r="D529" s="8" t="n">
        <x:v>2677</x:v>
      </x:c>
      <x:c r="E529" s="8" t="n">
        <x:v>2854</x:v>
      </x:c>
      <x:c r="F529" s="8" t="n">
        <x:v>2976</x:v>
      </x:c>
      <x:c r="G529" s="8" t="n">
        <x:v>3188</x:v>
      </x:c>
      <x:c r="H529" s="8" t="n">
        <x:v>2408</x:v>
      </x:c>
    </x:row>
    <x:row r="530">
      <x:c r="A530" s="2" t="str">
        <x:v>512131</x:v>
      </x:c>
      <x:c r="B530" s="2" t="str">
        <x:v>Motion Picture Theaters (except Drive-Ins)</x:v>
      </x:c>
      <x:c r="C530" s="8" t="n">
        <x:v>18949</x:v>
      </x:c>
      <x:c r="D530" s="8" t="n">
        <x:v>19359</x:v>
      </x:c>
      <x:c r="E530" s="8" t="n">
        <x:v>20658</x:v>
      </x:c>
      <x:c r="F530" s="8" t="n">
        <x:v>15351</x:v>
      </x:c>
      <x:c r="G530" s="8" t="n">
        <x:v>16342</x:v>
      </x:c>
      <x:c r="H530" s="8" t="n">
        <x:v>15375</x:v>
      </x:c>
    </x:row>
    <x:row r="531">
      <x:c r="A531" s="2" t="str">
        <x:v>512132</x:v>
      </x:c>
      <x:c r="B531" s="2" t="str">
        <x:v>Drive-In Motion Picture Theaters</x:v>
      </x:c>
      <x:c r="C531" s="8" t="n">
        <x:v>394</x:v>
      </x:c>
      <x:c r="D531" s="8" t="n">
        <x:v>429</x:v>
      </x:c>
      <x:c r="E531" s="8" t="n">
        <x:v>414</x:v>
      </x:c>
      <x:c r="F531" s="8" t="n">
        <x:v>300</x:v>
      </x:c>
      <x:c r="G531" s="8" t="n">
        <x:v>302</x:v>
      </x:c>
      <x:c r="H531" s="8" t="n">
        <x:v>311</x:v>
      </x:c>
    </x:row>
    <x:row r="532">
      <x:c r="A532" s="2" t="str">
        <x:v>512191</x:v>
      </x:c>
      <x:c r="B532" s="2" t="str">
        <x:v>Teleproduction and Other Postproduction Services</x:v>
      </x:c>
      <x:c r="C532" s="8" t="n">
        <x:v>9152</x:v>
      </x:c>
      <x:c r="D532" s="8" t="n">
        <x:v>9526</x:v>
      </x:c>
      <x:c r="E532" s="8" t="n">
        <x:v>9388</x:v>
      </x:c>
      <x:c r="F532" s="8" t="n">
        <x:v>10701</x:v>
      </x:c>
      <x:c r="G532" s="8" t="n">
        <x:v>10192</x:v>
      </x:c>
      <x:c r="H532" s="8" t="n">
        <x:v>7801</x:v>
      </x:c>
    </x:row>
    <x:row r="533">
      <x:c r="A533" s="2" t="str">
        <x:v>512199</x:v>
      </x:c>
      <x:c r="B533" s="2" t="str">
        <x:v>Other Motion Picture and Video Industries</x:v>
      </x:c>
      <x:c r="C533" s="8" t="n">
        <x:v>879</x:v>
      </x:c>
      <x:c r="D533" s="8" t="n">
        <x:v>880</x:v>
      </x:c>
      <x:c r="E533" s="8" t="n">
        <x:v>915</x:v>
      </x:c>
      <x:c r="F533" s="8" t="n">
        <x:v>759</x:v>
      </x:c>
      <x:c r="G533" s="8" t="n">
        <x:v>714</x:v>
      </x:c>
      <x:c r="H533" s="8" t="n">
        <x:v>744</x:v>
      </x:c>
    </x:row>
    <x:row r="534">
      <x:c r="A534" s="2" t="str">
        <x:v>512230</x:v>
      </x:c>
      <x:c r="B534" s="2" t="str">
        <x:v>Music Publishers</x:v>
      </x:c>
      <x:c r="C534" s="8" t="n">
        <x:v>703</x:v>
      </x:c>
      <x:c r="D534" s="8" t="n">
        <x:v>1039</x:v>
      </x:c>
      <x:c r="E534" s="8" t="n">
        <x:v>1210</x:v>
      </x:c>
      <x:c r="F534" s="8" t="n">
        <x:v>1582</x:v>
      </x:c>
      <x:c r="G534" s="8" t="n">
        <x:v>1645</x:v>
      </x:c>
      <x:c r="H534" s="8" t="n">
        <x:v>1612</x:v>
      </x:c>
    </x:row>
    <x:row r="535">
      <x:c r="A535" s="2" t="str">
        <x:v>512240</x:v>
      </x:c>
      <x:c r="B535" s="2" t="str">
        <x:v>Sound Recording Studios</x:v>
      </x:c>
      <x:c r="C535" s="8" t="n">
        <x:v>1112</x:v>
      </x:c>
      <x:c r="D535" s="8" t="n">
        <x:v>1167</x:v>
      </x:c>
      <x:c r="E535" s="8" t="n">
        <x:v>1245</x:v>
      </x:c>
      <x:c r="F535" s="8" t="n">
        <x:v>1464</x:v>
      </x:c>
      <x:c r="G535" s="8" t="n">
        <x:v>1514</x:v>
      </x:c>
      <x:c r="H535" s="8" t="n">
        <x:v>1303</x:v>
      </x:c>
    </x:row>
    <x:row r="536">
      <x:c r="A536" s="2" t="str">
        <x:v>512250</x:v>
      </x:c>
      <x:c r="B536" s="2" t="str">
        <x:v>Record Production and Distribution</x:v>
      </x:c>
      <x:c r="C536" s="8" t="n">
        <x:v>1304</x:v>
      </x:c>
      <x:c r="D536" s="8" t="n">
        <x:v>1407</x:v>
      </x:c>
      <x:c r="E536" s="8" t="n">
        <x:v>1500</x:v>
      </x:c>
      <x:c r="F536" s="8" t="n">
        <x:v>1822</x:v>
      </x:c>
      <x:c r="G536" s="8" t="n">
        <x:v>1863</x:v>
      </x:c>
      <x:c r="H536" s="8" t="n">
        <x:v>1875</x:v>
      </x:c>
    </x:row>
    <x:row r="537">
      <x:c r="A537" s="2" t="str">
        <x:v>512290</x:v>
      </x:c>
      <x:c r="B537" s="2" t="str">
        <x:v>Other Sound Recording Industries</x:v>
      </x:c>
      <x:c r="C537" s="8" t="n">
        <x:v>443</x:v>
      </x:c>
      <x:c r="D537" s="8" t="n">
        <x:v>486</x:v>
      </x:c>
      <x:c r="E537" s="8" t="n">
        <x:v>338</x:v>
      </x:c>
      <x:c r="F537" s="8" t="n">
        <x:v>430</x:v>
      </x:c>
      <x:c r="G537" s="8" t="n">
        <x:v>487</x:v>
      </x:c>
      <x:c r="H537" s="8" t="n">
        <x:v>399</x:v>
      </x:c>
    </x:row>
    <x:row r="538">
      <x:c r="A538" s="2" t="str">
        <x:v>513210</x:v>
      </x:c>
      <x:c r="B538" s="2" t="str">
        <x:v>Software Publishers</x:v>
      </x:c>
      <x:c r="C538" s="8" t="n">
        <x:v>70792</x:v>
      </x:c>
      <x:c r="D538" s="8" t="n">
        <x:v>79788</x:v>
      </x:c>
      <x:c r="E538" s="8" t="n">
        <x:v>94526</x:v>
      </x:c>
      <x:c r="F538" s="8" t="n">
        <x:v>114569</x:v>
      </x:c>
      <x:c r="G538" s="8" t="n">
        <x:v>117017</x:v>
      </x:c>
      <x:c r="H538" s="8" t="n">
        <x:v>113017</x:v>
      </x:c>
    </x:row>
    <x:row r="539">
      <x:c r="A539" s="2" t="str">
        <x:v>516110</x:v>
      </x:c>
      <x:c r="B539" s="2" t="str">
        <x:v>Radio Broadcasting Stations</x:v>
      </x:c>
      <x:c r="C539" s="8" t="n">
        <x:v>6011</x:v>
      </x:c>
      <x:c r="D539" s="8" t="n">
        <x:v>5973</x:v>
      </x:c>
      <x:c r="E539" s="8" t="n">
        <x:v>5821</x:v>
      </x:c>
      <x:c r="F539" s="8" t="n">
        <x:v>5028</x:v>
      </x:c>
      <x:c r="G539" s="8" t="n">
        <x:v>5059</x:v>
      </x:c>
      <x:c r="H539" s="8" t="n">
        <x:v>3707</x:v>
      </x:c>
    </x:row>
    <x:row r="540">
      <x:c r="A540" s="2" t="str">
        <x:v>517111</x:v>
      </x:c>
      <x:c r="B540" s="2" t="str">
        <x:v>Wired Telecommunications Carriers</x:v>
      </x:c>
      <x:c r="C540" s="8" t="n">
        <x:v>54532</x:v>
      </x:c>
      <x:c r="D540" s="8" t="n">
        <x:v>50486</x:v>
      </x:c>
      <x:c r="E540" s="8" t="n">
        <x:v>47598</x:v>
      </x:c>
      <x:c r="F540" s="8" t="n">
        <x:v>38646</x:v>
      </x:c>
      <x:c r="G540" s="8" t="n">
        <x:v>37707</x:v>
      </x:c>
      <x:c r="H540" s="8" t="n">
        <x:v>29358</x:v>
      </x:c>
    </x:row>
    <x:row r="541">
      <x:c r="A541" s="2" t="str">
        <x:v>517410</x:v>
      </x:c>
      <x:c r="B541" s="2" t="str">
        <x:v>Satellite Telecommunications</x:v>
      </x:c>
      <x:c r="C541" s="8" t="n">
        <x:v>1084</x:v>
      </x:c>
      <x:c r="D541" s="8" t="n">
        <x:v>1048</x:v>
      </x:c>
      <x:c r="E541" s="8" t="n">
        <x:v>1005</x:v>
      </x:c>
      <x:c r="F541" s="8" t="n">
        <x:v>1217</x:v>
      </x:c>
      <x:c r="G541" s="8" t="n">
        <x:v>1515</x:v>
      </x:c>
      <x:c r="H541" s="8" t="n">
        <x:v>1683</x:v>
      </x:c>
    </x:row>
    <x:row r="542">
      <x:c r="A542" s="2" t="str">
        <x:v>517810</x:v>
      </x:c>
      <x:c r="B542" s="2" t="str">
        <x:v>All Other Telecommunications</x:v>
      </x:c>
      <x:c r="C542" s="8" t="n">
        <x:v>4369</x:v>
      </x:c>
      <x:c r="D542" s="8" t="n">
        <x:v>4439</x:v>
      </x:c>
      <x:c r="E542" s="8" t="n">
        <x:v>5210</x:v>
      </x:c>
      <x:c r="F542" s="8" t="n">
        <x:v>5779</x:v>
      </x:c>
      <x:c r="G542" s="8" t="n">
        <x:v>5228</x:v>
      </x:c>
      <x:c r="H542" s="8" t="n">
        <x:v>6234</x:v>
      </x:c>
    </x:row>
    <x:row r="543">
      <x:c r="A543" s="2" t="str">
        <x:v>518210</x:v>
      </x:c>
      <x:c r="B543" s="2" t="str">
        <x:v>Computing Infrastructure Providers, Data Processing, Web Hosting, and Related Services</x:v>
      </x:c>
      <x:c r="C543" s="8" t="n">
        <x:v>42038</x:v>
      </x:c>
      <x:c r="D543" s="8" t="n">
        <x:v>47288</x:v>
      </x:c>
      <x:c r="E543" s="8" t="n">
        <x:v>49949</x:v>
      </x:c>
      <x:c r="F543" s="8" t="n">
        <x:v>66805</x:v>
      </x:c>
      <x:c r="G543" s="8" t="n">
        <x:v>84409</x:v>
      </x:c>
      <x:c r="H543" s="8" t="n">
        <x:v>84174</x:v>
      </x:c>
    </x:row>
    <x:row r="544">
      <x:c r="A544" s="2" t="str">
        <x:v>519210</x:v>
      </x:c>
      <x:c r="B544" s="2" t="str">
        <x:v>Libraries and Archives</x:v>
      </x:c>
      <x:c r="C544" s="8" t="n">
        <x:v>2288</x:v>
      </x:c>
      <x:c r="D544" s="8" t="n">
        <x:v>2436</x:v>
      </x:c>
      <x:c r="E544" s="8" t="n">
        <x:v>2367</x:v>
      </x:c>
      <x:c r="F544" s="8" t="n">
        <x:v>2617</x:v>
      </x:c>
      <x:c r="G544" s="8" t="n">
        <x:v>2286</x:v>
      </x:c>
      <x:c r="H544" s="8" t="n">
        <x:v>1270</x:v>
      </x:c>
    </x:row>
    <x:row r="545">
      <x:c r="A545" s="2" t="str">
        <x:v>522110</x:v>
      </x:c>
      <x:c r="B545" s="2" t="str">
        <x:v>Commercial Banking</x:v>
      </x:c>
      <x:c r="C545" s="8" t="n">
        <x:v>103508</x:v>
      </x:c>
      <x:c r="D545" s="8" t="n">
        <x:v>100319</x:v>
      </x:c>
      <x:c r="E545" s="8" t="n">
        <x:v>115793</x:v>
      </x:c>
      <x:c r="F545" s="8" t="n">
        <x:v>106899</x:v>
      </x:c>
      <x:c r="G545" s="8" t="n">
        <x:v>105125</x:v>
      </x:c>
      <x:c r="H545" s="8" t="n">
        <x:v>94644</x:v>
      </x:c>
    </x:row>
    <x:row r="546">
      <x:c r="A546" s="2" t="str">
        <x:v>522130</x:v>
      </x:c>
      <x:c r="B546" s="2" t="str">
        <x:v>Credit Unions</x:v>
      </x:c>
      <x:c r="C546" s="8" t="n">
        <x:v>20976</x:v>
      </x:c>
      <x:c r="D546" s="8" t="n">
        <x:v>21421</x:v>
      </x:c>
      <x:c r="E546" s="8" t="n">
        <x:v>21908</x:v>
      </x:c>
      <x:c r="F546" s="8" t="n">
        <x:v>22265</x:v>
      </x:c>
      <x:c r="G546" s="8" t="n">
        <x:v>22601</x:v>
      </x:c>
      <x:c r="H546" s="8" t="n">
        <x:v>23301</x:v>
      </x:c>
    </x:row>
    <x:row r="547">
      <x:c r="A547" s="2" t="str">
        <x:v>522180</x:v>
      </x:c>
      <x:c r="B547" s="2" t="str">
        <x:v>Savings Institutions and Other Depository Credit Intermediation</x:v>
      </x:c>
      <x:c r="C547" s="8" t="n">
        <x:v>12741</x:v>
      </x:c>
      <x:c r="D547" s="8" t="n">
        <x:v>11778</x:v>
      </x:c>
      <x:c r="E547" s="8" t="n">
        <x:v>2662</x:v>
      </x:c>
      <x:c r="F547" s="8" t="n">
        <x:v>2240</x:v>
      </x:c>
      <x:c r="G547" s="8" t="n">
        <x:v>2733</x:v>
      </x:c>
      <x:c r="H547" s="8" t="n">
        <x:v>1724</x:v>
      </x:c>
    </x:row>
    <x:row r="548">
      <x:c r="A548" s="2" t="str">
        <x:v>522210</x:v>
      </x:c>
      <x:c r="B548" s="2" t="str">
        <x:v>Credit Card Issuing</x:v>
      </x:c>
      <x:c r="C548" s="8" t="n">
        <x:v>2897</x:v>
      </x:c>
      <x:c r="D548" s="8" t="n">
        <x:v>3459</x:v>
      </x:c>
      <x:c r="E548" s="8" t="n">
        <x:v>3538</x:v>
      </x:c>
      <x:c r="F548" s="8" t="n">
        <x:v>3430</x:v>
      </x:c>
      <x:c r="G548" s="8" t="n">
        <x:v>3634</x:v>
      </x:c>
      <x:c r="H548" s="8" t="n">
        <x:v>2717</x:v>
      </x:c>
    </x:row>
    <x:row r="549">
      <x:c r="A549" s="2" t="str">
        <x:v>522220</x:v>
      </x:c>
      <x:c r="B549" s="2" t="str">
        <x:v>Sales Financing</x:v>
      </x:c>
      <x:c r="C549" s="8" t="n">
        <x:v>10131</x:v>
      </x:c>
      <x:c r="D549" s="8" t="n">
        <x:v>10054</x:v>
      </x:c>
      <x:c r="E549" s="8" t="n">
        <x:v>9459</x:v>
      </x:c>
      <x:c r="F549" s="8" t="n">
        <x:v>8519</x:v>
      </x:c>
      <x:c r="G549" s="8" t="n">
        <x:v>8533</x:v>
      </x:c>
      <x:c r="H549" s="8" t="n">
        <x:v>7744</x:v>
      </x:c>
    </x:row>
    <x:row r="550">
      <x:c r="A550" s="2" t="str">
        <x:v>522291</x:v>
      </x:c>
      <x:c r="B550" s="2" t="str">
        <x:v>Consumer Lending</x:v>
      </x:c>
      <x:c r="C550" s="8" t="n">
        <x:v>11311</x:v>
      </x:c>
      <x:c r="D550" s="8" t="n">
        <x:v>11432</x:v>
      </x:c>
      <x:c r="E550" s="8" t="n">
        <x:v>10376</x:v>
      </x:c>
      <x:c r="F550" s="8" t="n">
        <x:v>8372</x:v>
      </x:c>
      <x:c r="G550" s="8" t="n">
        <x:v>7622</x:v>
      </x:c>
      <x:c r="H550" s="8" t="n">
        <x:v>8580</x:v>
      </x:c>
    </x:row>
    <x:row r="551">
      <x:c r="A551" s="2" t="str">
        <x:v>522292</x:v>
      </x:c>
      <x:c r="B551" s="2" t="str">
        <x:v>Real Estate Credit</x:v>
      </x:c>
      <x:c r="C551" s="8" t="n">
        <x:v>36539</x:v>
      </x:c>
      <x:c r="D551" s="8" t="n">
        <x:v>35620</x:v>
      </x:c>
      <x:c r="E551" s="8" t="n">
        <x:v>28319</x:v>
      </x:c>
      <x:c r="F551" s="8" t="n">
        <x:v>35633</x:v>
      </x:c>
      <x:c r="G551" s="8" t="n">
        <x:v>21887</x:v>
      </x:c>
      <x:c r="H551" s="8" t="n">
        <x:v>21299</x:v>
      </x:c>
    </x:row>
    <x:row r="552">
      <x:c r="A552" s="2" t="str">
        <x:v>522299</x:v>
      </x:c>
      <x:c r="B552" s="2" t="str">
        <x:v>International, Secondary Market, and All Other Nondepository Credit Intermediation</x:v>
      </x:c>
      <x:c r="C552" s="8" t="n">
        <x:v>4803</x:v>
      </x:c>
      <x:c r="D552" s="8" t="n">
        <x:v>5152</x:v>
      </x:c>
      <x:c r="E552" s="8" t="n">
        <x:v>4961</x:v>
      </x:c>
      <x:c r="F552" s="8" t="n">
        <x:v>4074</x:v>
      </x:c>
      <x:c r="G552" s="8" t="n">
        <x:v>4127</x:v>
      </x:c>
      <x:c r="H552" s="8" t="n">
        <x:v>4008</x:v>
      </x:c>
    </x:row>
    <x:row r="553">
      <x:c r="A553" s="2" t="str">
        <x:v>522310</x:v>
      </x:c>
      <x:c r="B553" s="2" t="str">
        <x:v>Mortgage and Nonmortgage Loan Brokers</x:v>
      </x:c>
      <x:c r="C553" s="8" t="n">
        <x:v>14322</x:v>
      </x:c>
      <x:c r="D553" s="8" t="n">
        <x:v>14791</x:v>
      </x:c>
      <x:c r="E553" s="8" t="n">
        <x:v>13412</x:v>
      </x:c>
      <x:c r="F553" s="8" t="n">
        <x:v>19927</x:v>
      </x:c>
      <x:c r="G553" s="8" t="n">
        <x:v>11729</x:v>
      </x:c>
      <x:c r="H553" s="8" t="n">
        <x:v>11853</x:v>
      </x:c>
    </x:row>
    <x:row r="554">
      <x:c r="A554" s="2" t="str">
        <x:v>522320</x:v>
      </x:c>
      <x:c r="B554" s="2" t="str">
        <x:v>Financial Transactions Processing, Reserve, and Clearinghouse Activities</x:v>
      </x:c>
      <x:c r="C554" s="8" t="n">
        <x:v>14374</x:v>
      </x:c>
      <x:c r="D554" s="8" t="n">
        <x:v>15446</x:v>
      </x:c>
      <x:c r="E554" s="8" t="n">
        <x:v>15116</x:v>
      </x:c>
      <x:c r="F554" s="8" t="n">
        <x:v>18403</x:v>
      </x:c>
      <x:c r="G554" s="8" t="n">
        <x:v>14036</x:v>
      </x:c>
      <x:c r="H554" s="8" t="n">
        <x:v>14274</x:v>
      </x:c>
    </x:row>
    <x:row r="555">
      <x:c r="A555" s="2" t="str">
        <x:v>522390</x:v>
      </x:c>
      <x:c r="B555" s="2" t="str">
        <x:v>Other Activities Related to Credit Intermediation</x:v>
      </x:c>
      <x:c r="C555" s="8" t="n">
        <x:v>12430</x:v>
      </x:c>
      <x:c r="D555" s="8" t="n">
        <x:v>12051</x:v>
      </x:c>
      <x:c r="E555" s="8" t="n">
        <x:v>10414</x:v>
      </x:c>
      <x:c r="F555" s="8" t="n">
        <x:v>8277</x:v>
      </x:c>
      <x:c r="G555" s="8" t="n">
        <x:v>6816</x:v>
      </x:c>
      <x:c r="H555" s="8" t="n">
        <x:v>6575</x:v>
      </x:c>
    </x:row>
    <x:row r="556">
      <x:c r="A556" s="2" t="str">
        <x:v>523150</x:v>
      </x:c>
      <x:c r="B556" s="2" t="str">
        <x:v>Investment Banking and Securities Intermediation</x:v>
      </x:c>
      <x:c r="C556" s="8" t="n">
        <x:v>31410</x:v>
      </x:c>
      <x:c r="D556" s="8" t="n">
        <x:v>31534</x:v>
      </x:c>
      <x:c r="E556" s="8" t="n">
        <x:v>30885</x:v>
      </x:c>
      <x:c r="F556" s="8" t="n">
        <x:v>28264</x:v>
      </x:c>
      <x:c r="G556" s="8" t="n">
        <x:v>31403</x:v>
      </x:c>
      <x:c r="H556" s="8" t="n">
        <x:v>30821</x:v>
      </x:c>
    </x:row>
    <x:row r="557">
      <x:c r="A557" s="2" t="str">
        <x:v>523160</x:v>
      </x:c>
      <x:c r="B557" s="2" t="str">
        <x:v>Commodity Contracts Intermediation</x:v>
      </x:c>
      <x:c r="C557" s="8" t="n">
        <x:v>1724</x:v>
      </x:c>
      <x:c r="D557" s="8" t="n">
        <x:v>1844</x:v>
      </x:c>
      <x:c r="E557" s="8" t="n">
        <x:v>1927</x:v>
      </x:c>
      <x:c r="F557" s="8" t="n">
        <x:v>1707</x:v>
      </x:c>
      <x:c r="G557" s="8" t="n">
        <x:v>2770</x:v>
      </x:c>
      <x:c r="H557" s="8" t="n">
        <x:v>2380</x:v>
      </x:c>
    </x:row>
    <x:row r="558">
      <x:c r="A558" s="2" t="str">
        <x:v>523210</x:v>
      </x:c>
      <x:c r="B558" s="2" t="str">
        <x:v>Securities and Commodity Exchanges</x:v>
      </x:c>
      <x:c r="C558" s="8" t="n">
        <x:v>138</x:v>
      </x:c>
      <x:c r="D558" s="8" t="n">
        <x:v>224</x:v>
      </x:c>
      <x:c r="E558" s="8" t="n">
        <x:v>246</x:v>
      </x:c>
      <x:c r="F558" s="8" t="n">
        <x:v>391</x:v>
      </x:c>
      <x:c r="G558" s="8" t="n">
        <x:v>332</x:v>
      </x:c>
      <x:c r="H558" s="8" t="n">
        <x:v>160</x:v>
      </x:c>
    </x:row>
    <x:row r="559">
      <x:c r="A559" s="2" t="str">
        <x:v>523910</x:v>
      </x:c>
      <x:c r="B559" s="2" t="str">
        <x:v>Miscellaneous Intermediation</x:v>
      </x:c>
      <x:c r="C559" s="8" t="n">
        <x:v>5028</x:v>
      </x:c>
      <x:c r="D559" s="8" t="n">
        <x:v>5312</x:v>
      </x:c>
      <x:c r="E559" s="8" t="n">
        <x:v>5611</x:v>
      </x:c>
      <x:c r="F559" s="8" t="n">
        <x:v>6288</x:v>
      </x:c>
      <x:c r="G559" s="8" t="n">
        <x:v>6881</x:v>
      </x:c>
      <x:c r="H559" s="8" t="n">
        <x:v>7281</x:v>
      </x:c>
    </x:row>
    <x:row r="560">
      <x:c r="A560" s="2" t="str">
        <x:v>523940</x:v>
      </x:c>
      <x:c r="B560" s="2" t="str">
        <x:v>Portfolio Management and Investment Advice</x:v>
      </x:c>
      <x:c r="C560" s="8" t="n">
        <x:v>47461</x:v>
      </x:c>
      <x:c r="D560" s="8" t="n">
        <x:v>49072</x:v>
      </x:c>
      <x:c r="E560" s="8" t="n">
        <x:v>50023</x:v>
      </x:c>
      <x:c r="F560" s="8" t="n">
        <x:v>53752</x:v>
      </x:c>
      <x:c r="G560" s="8" t="n">
        <x:v>54679</x:v>
      </x:c>
      <x:c r="H560" s="8" t="n">
        <x:v>56587</x:v>
      </x:c>
    </x:row>
    <x:row r="561">
      <x:c r="A561" s="2" t="str">
        <x:v>523991</x:v>
      </x:c>
      <x:c r="B561" s="2" t="str">
        <x:v>Trust, Fiduciary, and Custody Activities</x:v>
      </x:c>
      <x:c r="C561" s="8" t="n">
        <x:v>3029</x:v>
      </x:c>
      <x:c r="D561" s="8" t="n">
        <x:v>3003</x:v>
      </x:c>
      <x:c r="E561" s="8" t="n">
        <x:v>2950</x:v>
      </x:c>
      <x:c r="F561" s="8" t="n">
        <x:v>3259</x:v>
      </x:c>
      <x:c r="G561" s="8" t="n">
        <x:v>2846</x:v>
      </x:c>
      <x:c r="H561" s="8" t="n">
        <x:v>2558</x:v>
      </x:c>
    </x:row>
    <x:row r="562">
      <x:c r="A562" s="2" t="str">
        <x:v>523999</x:v>
      </x:c>
      <x:c r="B562" s="2" t="str">
        <x:v>Miscellaneous Financial Investment Activities</x:v>
      </x:c>
      <x:c r="C562" s="8" t="n">
        <x:v>1444</x:v>
      </x:c>
      <x:c r="D562" s="8" t="n">
        <x:v>1430</x:v>
      </x:c>
      <x:c r="E562" s="8" t="n">
        <x:v>1236</x:v>
      </x:c>
      <x:c r="F562" s="8" t="n">
        <x:v>1491</x:v>
      </x:c>
      <x:c r="G562" s="8" t="n">
        <x:v>1755</x:v>
      </x:c>
      <x:c r="H562" s="8" t="n">
        <x:v>1888</x:v>
      </x:c>
    </x:row>
    <x:row r="563">
      <x:c r="A563" s="2" t="str">
        <x:v>524113</x:v>
      </x:c>
      <x:c r="B563" s="2" t="str">
        <x:v>Direct Life Insurance Carriers</x:v>
      </x:c>
      <x:c r="C563" s="8" t="n">
        <x:v>11694</x:v>
      </x:c>
      <x:c r="D563" s="8" t="n">
        <x:v>11046</x:v>
      </x:c>
      <x:c r="E563" s="8" t="n">
        <x:v>11773</x:v>
      </x:c>
      <x:c r="F563" s="8" t="n">
        <x:v>15259</x:v>
      </x:c>
      <x:c r="G563" s="8" t="n">
        <x:v>8144</x:v>
      </x:c>
      <x:c r="H563" s="8" t="n">
        <x:v>5074</x:v>
      </x:c>
    </x:row>
    <x:row r="564">
      <x:c r="A564" s="2" t="str">
        <x:v>524114</x:v>
      </x:c>
      <x:c r="B564" s="2" t="str">
        <x:v>Direct Health and Medical Insurance Carriers</x:v>
      </x:c>
      <x:c r="C564" s="8" t="n">
        <x:v>31847</x:v>
      </x:c>
      <x:c r="D564" s="8" t="n">
        <x:v>30026</x:v>
      </x:c>
      <x:c r="E564" s="8" t="n">
        <x:v>29376</x:v>
      </x:c>
      <x:c r="F564" s="8" t="n">
        <x:v>31427</x:v>
      </x:c>
      <x:c r="G564" s="8" t="n">
        <x:v>33774</x:v>
      </x:c>
      <x:c r="H564" s="8" t="n">
        <x:v>33913</x:v>
      </x:c>
    </x:row>
    <x:row r="565">
      <x:c r="A565" s="2" t="str">
        <x:v>524126</x:v>
      </x:c>
      <x:c r="B565" s="2" t="str">
        <x:v>Direct Property and Casualty Insurance Carriers</x:v>
      </x:c>
      <x:c r="C565" s="8" t="n">
        <x:v>28695</x:v>
      </x:c>
      <x:c r="D565" s="8" t="n">
        <x:v>28120</x:v>
      </x:c>
      <x:c r="E565" s="8" t="n">
        <x:v>26936</x:v>
      </x:c>
      <x:c r="F565" s="8" t="n">
        <x:v>25729</x:v>
      </x:c>
      <x:c r="G565" s="8" t="n">
        <x:v>26473</x:v>
      </x:c>
      <x:c r="H565" s="8" t="n">
        <x:v>24348</x:v>
      </x:c>
    </x:row>
    <x:row r="566">
      <x:c r="A566" s="2" t="str">
        <x:v>524127</x:v>
      </x:c>
      <x:c r="B566" s="2" t="str">
        <x:v>Direct Title Insurance Carriers</x:v>
      </x:c>
      <x:c r="C566" s="8" t="n">
        <x:v>11667</x:v>
      </x:c>
      <x:c r="D566" s="8" t="n">
        <x:v>10519</x:v>
      </x:c>
      <x:c r="E566" s="8" t="n">
        <x:v>9852</x:v>
      </x:c>
      <x:c r="F566" s="8" t="n">
        <x:v>11166</x:v>
      </x:c>
      <x:c r="G566" s="8" t="n">
        <x:v>8235</x:v>
      </x:c>
      <x:c r="H566" s="8" t="n">
        <x:v>7583</x:v>
      </x:c>
    </x:row>
    <x:row r="567">
      <x:c r="A567" s="2" t="str">
        <x:v>524128</x:v>
      </x:c>
      <x:c r="B567" s="2" t="str">
        <x:v>Other Direct Insurance (except Life, Health, and Medical) Carriers</x:v>
      </x:c>
      <x:c r="C567" s="8" t="n">
        <x:v>1669</x:v>
      </x:c>
      <x:c r="D567" s="8" t="n">
        <x:v>1676</x:v>
      </x:c>
      <x:c r="E567" s="8" t="n">
        <x:v>1705</x:v>
      </x:c>
      <x:c r="F567" s="8" t="n">
        <x:v>1615</x:v>
      </x:c>
      <x:c r="G567" s="8" t="n">
        <x:v>1351</x:v>
      </x:c>
      <x:c r="H567" s="8" t="n">
        <x:v>1598</x:v>
      </x:c>
    </x:row>
    <x:row r="568">
      <x:c r="A568" s="2" t="str">
        <x:v>524130</x:v>
      </x:c>
      <x:c r="B568" s="2" t="str">
        <x:v>Reinsurance Carriers</x:v>
      </x:c>
      <x:c r="C568" s="8" t="n">
        <x:v>733</x:v>
      </x:c>
      <x:c r="D568" s="8" t="n">
        <x:v>1439</x:v>
      </x:c>
      <x:c r="E568" s="8" t="n">
        <x:v>1405</x:v>
      </x:c>
      <x:c r="F568" s="8" t="n">
        <x:v>705</x:v>
      </x:c>
      <x:c r="G568" s="8" t="n">
        <x:v>589</x:v>
      </x:c>
      <x:c r="H568" s="8" t="n">
        <x:v>505</x:v>
      </x:c>
    </x:row>
    <x:row r="569">
      <x:c r="A569" s="2" t="str">
        <x:v>524210</x:v>
      </x:c>
      <x:c r="B569" s="2" t="str">
        <x:v>Insurance Agencies and Brokerages</x:v>
      </x:c>
      <x:c r="C569" s="8" t="n">
        <x:v>91454</x:v>
      </x:c>
      <x:c r="D569" s="8" t="n">
        <x:v>94208</x:v>
      </x:c>
      <x:c r="E569" s="8" t="n">
        <x:v>94458</x:v>
      </x:c>
      <x:c r="F569" s="8" t="n">
        <x:v>92081</x:v>
      </x:c>
      <x:c r="G569" s="8" t="n">
        <x:v>90141</x:v>
      </x:c>
      <x:c r="H569" s="8" t="n">
        <x:v>86638</x:v>
      </x:c>
    </x:row>
    <x:row r="570">
      <x:c r="A570" s="2" t="str">
        <x:v>524291</x:v>
      </x:c>
      <x:c r="B570" s="2" t="str">
        <x:v>Claims Adjusting</x:v>
      </x:c>
      <x:c r="C570" s="8" t="n">
        <x:v>6923</x:v>
      </x:c>
      <x:c r="D570" s="8" t="n">
        <x:v>6801</x:v>
      </x:c>
      <x:c r="E570" s="8" t="n">
        <x:v>6791</x:v>
      </x:c>
      <x:c r="F570" s="8" t="n">
        <x:v>5330</x:v>
      </x:c>
      <x:c r="G570" s="8" t="n">
        <x:v>5460</x:v>
      </x:c>
      <x:c r="H570" s="8" t="n">
        <x:v>5808</x:v>
      </x:c>
    </x:row>
    <x:row r="571">
      <x:c r="A571" s="2" t="str">
        <x:v>524292</x:v>
      </x:c>
      <x:c r="B571" s="2" t="str">
        <x:v>Pharmacy Benefit Management and Other Third Party Administration of Insurance and Pension Funds</x:v>
      </x:c>
      <x:c r="C571" s="8" t="n">
        <x:v>13355</x:v>
      </x:c>
      <x:c r="D571" s="8" t="n">
        <x:v>14250</x:v>
      </x:c>
      <x:c r="E571" s="8" t="n">
        <x:v>14601</x:v>
      </x:c>
      <x:c r="F571" s="8" t="n">
        <x:v>13115</x:v>
      </x:c>
      <x:c r="G571" s="8" t="n">
        <x:v>12548</x:v>
      </x:c>
      <x:c r="H571" s="8" t="n">
        <x:v>13607</x:v>
      </x:c>
    </x:row>
    <x:row r="572">
      <x:c r="A572" s="2" t="str">
        <x:v>524298</x:v>
      </x:c>
      <x:c r="B572" s="2" t="str">
        <x:v>All Other Insurance Related Activities</x:v>
      </x:c>
      <x:c r="C572" s="8" t="n">
        <x:v>4857</x:v>
      </x:c>
      <x:c r="D572" s="8" t="n">
        <x:v>5231</x:v>
      </x:c>
      <x:c r="E572" s="8" t="n">
        <x:v>5050</x:v>
      </x:c>
      <x:c r="F572" s="8" t="n">
        <x:v>5182</x:v>
      </x:c>
      <x:c r="G572" s="8" t="n">
        <x:v>4948</x:v>
      </x:c>
      <x:c r="H572" s="8" t="n">
        <x:v>5016</x:v>
      </x:c>
    </x:row>
    <x:row r="573">
      <x:c r="A573" s="2" t="str">
        <x:v>525110</x:v>
      </x:c>
      <x:c r="B573" s="2" t="str">
        <x:v>Pension Funds</x:v>
      </x:c>
      <x:c r="C573" s="8" t="n">
        <x:v>523</x:v>
      </x:c>
      <x:c r="D573" s="8" t="n">
        <x:v>618</x:v>
      </x:c>
      <x:c r="E573" s="8" t="n">
        <x:v>675</x:v>
      </x:c>
      <x:c r="F573" s="8" t="n">
        <x:v>995</x:v>
      </x:c>
      <x:c r="G573" s="8" t="n">
        <x:v>1076</x:v>
      </x:c>
      <x:c r="H573" s="8" t="n">
        <x:v>1126</x:v>
      </x:c>
    </x:row>
    <x:row r="574">
      <x:c r="A574" s="2" t="str">
        <x:v>525120</x:v>
      </x:c>
      <x:c r="B574" s="2" t="str">
        <x:v>Health and Welfare Funds</x:v>
      </x:c>
      <x:c r="C574" s="8" t="n">
        <x:v>180</x:v>
      </x:c>
      <x:c r="D574" s="8" t="n">
        <x:v>369</x:v>
      </x:c>
      <x:c r="E574" s="8" t="n">
        <x:v>301</x:v>
      </x:c>
      <x:c r="F574" s="8" t="n">
        <x:v>426</x:v>
      </x:c>
      <x:c r="G574" s="8" t="n">
        <x:v>576</x:v>
      </x:c>
      <x:c r="H574" s="8" t="n">
        <x:v>650</x:v>
      </x:c>
    </x:row>
    <x:row r="575">
      <x:c r="A575" s="2" t="str">
        <x:v>525910</x:v>
      </x:c>
      <x:c r="B575" s="2" t="str">
        <x:v>Open-End Investment Funds</x:v>
      </x:c>
      <x:c r="C575" s="8" t="n">
        <x:v>120</x:v>
      </x:c>
      <x:c r="D575" s="8" t="n">
        <x:v>184</x:v>
      </x:c>
      <x:c r="E575" s="8" t="n">
        <x:v>247</x:v>
      </x:c>
      <x:c r="F575" s="8" t="n">
        <x:v>407</x:v>
      </x:c>
      <x:c r="G575" s="8" t="n">
        <x:v>456</x:v>
      </x:c>
      <x:c r="H575" s="8" t="n">
        <x:v>534</x:v>
      </x:c>
    </x:row>
    <x:row r="576">
      <x:c r="A576" s="2" t="str">
        <x:v>525920</x:v>
      </x:c>
      <x:c r="B576" s="2" t="str">
        <x:v>Trusts, Estates, and Agency Accounts</x:v>
      </x:c>
      <x:c r="C576" s="8" t="n">
        <x:v>238</x:v>
      </x:c>
      <x:c r="D576" s="8" t="n">
        <x:v>288</x:v>
      </x:c>
      <x:c r="E576" s="8" t="n">
        <x:v>318</x:v>
      </x:c>
      <x:c r="F576" s="8" t="n">
        <x:v>434</x:v>
      </x:c>
      <x:c r="G576" s="8" t="n">
        <x:v>428</x:v>
      </x:c>
      <x:c r="H576" s="8" t="n">
        <x:v>406</x:v>
      </x:c>
    </x:row>
    <x:row r="577">
      <x:c r="A577" s="2" t="str">
        <x:v>525990</x:v>
      </x:c>
      <x:c r="B577" s="2" t="str">
        <x:v>Other Financial Vehicles</x:v>
      </x:c>
      <x:c r="C577" s="8" t="n">
        <x:v>910</x:v>
      </x:c>
      <x:c r="D577" s="8" t="n">
        <x:v>1170</x:v>
      </x:c>
      <x:c r="E577" s="8" t="n">
        <x:v>1292</x:v>
      </x:c>
      <x:c r="F577" s="8" t="n">
        <x:v>1718</x:v>
      </x:c>
      <x:c r="G577" s="8" t="n">
        <x:v>1844</x:v>
      </x:c>
      <x:c r="H577" s="8" t="n">
        <x:v>1344</x:v>
      </x:c>
    </x:row>
    <x:row r="578">
      <x:c r="A578" s="2" t="str">
        <x:v>531110</x:v>
      </x:c>
      <x:c r="B578" s="2" t="str">
        <x:v>Lessors of Residential Buildings and Dwellings</x:v>
      </x:c>
      <x:c r="C578" s="8" t="n">
        <x:v>30628</x:v>
      </x:c>
      <x:c r="D578" s="8" t="n">
        <x:v>32006</x:v>
      </x:c>
      <x:c r="E578" s="8" t="n">
        <x:v>32625</x:v>
      </x:c>
      <x:c r="F578" s="8" t="n">
        <x:v>31553</x:v>
      </x:c>
      <x:c r="G578" s="8" t="n">
        <x:v>32332</x:v>
      </x:c>
      <x:c r="H578" s="8" t="n">
        <x:v>31801</x:v>
      </x:c>
    </x:row>
    <x:row r="579">
      <x:c r="A579" s="2" t="str">
        <x:v>531120</x:v>
      </x:c>
      <x:c r="B579" s="2" t="str">
        <x:v>Lessors of Nonresidential Buildings (except Miniwarehouses)</x:v>
      </x:c>
      <x:c r="C579" s="8" t="n">
        <x:v>14133</x:v>
      </x:c>
      <x:c r="D579" s="8" t="n">
        <x:v>14962</x:v>
      </x:c>
      <x:c r="E579" s="8" t="n">
        <x:v>16188</x:v>
      </x:c>
      <x:c r="F579" s="8" t="n">
        <x:v>15325</x:v>
      </x:c>
      <x:c r="G579" s="8" t="n">
        <x:v>15656</x:v>
      </x:c>
      <x:c r="H579" s="8" t="n">
        <x:v>16094</x:v>
      </x:c>
    </x:row>
    <x:row r="580">
      <x:c r="A580" s="2" t="str">
        <x:v>531130</x:v>
      </x:c>
      <x:c r="B580" s="2" t="str">
        <x:v>Lessors of Miniwarehouses and Self-Storage Units</x:v>
      </x:c>
      <x:c r="C580" s="8" t="n">
        <x:v>7998</x:v>
      </x:c>
      <x:c r="D580" s="8" t="n">
        <x:v>9587</x:v>
      </x:c>
      <x:c r="E580" s="8" t="n">
        <x:v>9493</x:v>
      </x:c>
      <x:c r="F580" s="8" t="n">
        <x:v>9446</x:v>
      </x:c>
      <x:c r="G580" s="8" t="n">
        <x:v>9599</x:v>
      </x:c>
      <x:c r="H580" s="8" t="n">
        <x:v>9393</x:v>
      </x:c>
    </x:row>
    <x:row r="581">
      <x:c r="A581" s="2" t="str">
        <x:v>531190</x:v>
      </x:c>
      <x:c r="B581" s="2" t="str">
        <x:v>Lessors of Other Real Estate Property</x:v>
      </x:c>
      <x:c r="C581" s="8" t="n">
        <x:v>8091</x:v>
      </x:c>
      <x:c r="D581" s="8" t="n">
        <x:v>8169</x:v>
      </x:c>
      <x:c r="E581" s="8" t="n">
        <x:v>8053</x:v>
      </x:c>
      <x:c r="F581" s="8" t="n">
        <x:v>6868</x:v>
      </x:c>
      <x:c r="G581" s="8" t="n">
        <x:v>6889</x:v>
      </x:c>
      <x:c r="H581" s="8" t="n">
        <x:v>6450</x:v>
      </x:c>
    </x:row>
    <x:row r="582">
      <x:c r="A582" s="2" t="str">
        <x:v>531210</x:v>
      </x:c>
      <x:c r="B582" s="2" t="str">
        <x:v>Offices of Real Estate Agents and Brokers</x:v>
      </x:c>
      <x:c r="C582" s="8" t="n">
        <x:v>46364</x:v>
      </x:c>
      <x:c r="D582" s="8" t="n">
        <x:v>49457</x:v>
      </x:c>
      <x:c r="E582" s="8" t="n">
        <x:v>51180</x:v>
      </x:c>
      <x:c r="F582" s="8" t="n">
        <x:v>58995</x:v>
      </x:c>
      <x:c r="G582" s="8" t="n">
        <x:v>54748</x:v>
      </x:c>
      <x:c r="H582" s="8" t="n">
        <x:v>49731</x:v>
      </x:c>
    </x:row>
    <x:row r="583">
      <x:c r="A583" s="2" t="str">
        <x:v>531311</x:v>
      </x:c>
      <x:c r="B583" s="2" t="str">
        <x:v>Residential Property Managers</x:v>
      </x:c>
      <x:c r="C583" s="8" t="n">
        <x:v>68689</x:v>
      </x:c>
      <x:c r="D583" s="8" t="n">
        <x:v>71013</x:v>
      </x:c>
      <x:c r="E583" s="8" t="n">
        <x:v>72438</x:v>
      </x:c>
      <x:c r="F583" s="8" t="n">
        <x:v>75290</x:v>
      </x:c>
      <x:c r="G583" s="8" t="n">
        <x:v>77783</x:v>
      </x:c>
      <x:c r="H583" s="8" t="n">
        <x:v>80473</x:v>
      </x:c>
    </x:row>
    <x:row r="584">
      <x:c r="A584" s="2" t="str">
        <x:v>531312</x:v>
      </x:c>
      <x:c r="B584" s="2" t="str">
        <x:v>Nonresidential Property Managers</x:v>
      </x:c>
      <x:c r="C584" s="8" t="n">
        <x:v>20430</x:v>
      </x:c>
      <x:c r="D584" s="8" t="n">
        <x:v>20716</x:v>
      </x:c>
      <x:c r="E584" s="8" t="n">
        <x:v>20993</x:v>
      </x:c>
      <x:c r="F584" s="8" t="n">
        <x:v>19549</x:v>
      </x:c>
      <x:c r="G584" s="8" t="n">
        <x:v>20016</x:v>
      </x:c>
      <x:c r="H584" s="8" t="n">
        <x:v>19557</x:v>
      </x:c>
    </x:row>
    <x:row r="585">
      <x:c r="A585" s="2" t="str">
        <x:v>531320</x:v>
      </x:c>
      <x:c r="B585" s="2" t="str">
        <x:v>Offices of Real Estate Appraisers</x:v>
      </x:c>
      <x:c r="C585" s="8" t="n">
        <x:v>3594</x:v>
      </x:c>
      <x:c r="D585" s="8" t="n">
        <x:v>3474</x:v>
      </x:c>
      <x:c r="E585" s="8" t="n">
        <x:v>3308</x:v>
      </x:c>
      <x:c r="F585" s="8" t="n">
        <x:v>3683</x:v>
      </x:c>
      <x:c r="G585" s="8" t="n">
        <x:v>2716</x:v>
      </x:c>
      <x:c r="H585" s="8" t="n">
        <x:v>2373</x:v>
      </x:c>
    </x:row>
    <x:row r="586">
      <x:c r="A586" s="2" t="str">
        <x:v>531390</x:v>
      </x:c>
      <x:c r="B586" s="2" t="str">
        <x:v>Other Activities Related to Real Estate</x:v>
      </x:c>
      <x:c r="C586" s="8" t="n">
        <x:v>12138</x:v>
      </x:c>
      <x:c r="D586" s="8" t="n">
        <x:v>13587</x:v>
      </x:c>
      <x:c r="E586" s="8" t="n">
        <x:v>13510</x:v>
      </x:c>
      <x:c r="F586" s="8" t="n">
        <x:v>16205</x:v>
      </x:c>
      <x:c r="G586" s="8" t="n">
        <x:v>15025</x:v>
      </x:c>
      <x:c r="H586" s="8" t="n">
        <x:v>17307</x:v>
      </x:c>
    </x:row>
    <x:row r="587">
      <x:c r="A587" s="2" t="str">
        <x:v>532111</x:v>
      </x:c>
      <x:c r="B587" s="2" t="str">
        <x:v>Passenger Car Rental</x:v>
      </x:c>
      <x:c r="C587" s="8" t="n">
        <x:v>17092</x:v>
      </x:c>
      <x:c r="D587" s="8" t="n">
        <x:v>17429</x:v>
      </x:c>
      <x:c r="E587" s="8" t="n">
        <x:v>17607</x:v>
      </x:c>
      <x:c r="F587" s="8" t="n">
        <x:v>13125</x:v>
      </x:c>
      <x:c r="G587" s="8" t="n">
        <x:v>14836</x:v>
      </x:c>
      <x:c r="H587" s="8" t="n">
        <x:v>14058</x:v>
      </x:c>
    </x:row>
    <x:row r="588">
      <x:c r="A588" s="2" t="str">
        <x:v>532112</x:v>
      </x:c>
      <x:c r="B588" s="2" t="str">
        <x:v>Passenger Car Leasing</x:v>
      </x:c>
      <x:c r="C588" s="8" t="n">
        <x:v>357</x:v>
      </x:c>
      <x:c r="D588" s="8" t="n">
        <x:v>243</x:v>
      </x:c>
      <x:c r="E588" s="8" t="n">
        <x:v>203</x:v>
      </x:c>
      <x:c r="F588" s="8" t="n">
        <x:v>166</x:v>
      </x:c>
      <x:c r="G588" s="8" t="n">
        <x:v>192</x:v>
      </x:c>
      <x:c r="H588" s="8" t="n">
        <x:v>290</x:v>
      </x:c>
    </x:row>
    <x:row r="589">
      <x:c r="A589" s="2" t="str">
        <x:v>532120</x:v>
      </x:c>
      <x:c r="B589" s="2" t="str">
        <x:v>Truck, Utility Trailer, and RV (Recreational Vehicle) Rental and Leasing</x:v>
      </x:c>
      <x:c r="C589" s="8" t="n">
        <x:v>6177</x:v>
      </x:c>
      <x:c r="D589" s="8" t="n">
        <x:v>6738</x:v>
      </x:c>
      <x:c r="E589" s="8" t="n">
        <x:v>7457</x:v>
      </x:c>
      <x:c r="F589" s="8" t="n">
        <x:v>7474</x:v>
      </x:c>
      <x:c r="G589" s="8" t="n">
        <x:v>8574</x:v>
      </x:c>
      <x:c r="H589" s="8" t="n">
        <x:v>8047</x:v>
      </x:c>
    </x:row>
    <x:row r="590">
      <x:c r="A590" s="2" t="str">
        <x:v>532210</x:v>
      </x:c>
      <x:c r="B590" s="2" t="str">
        <x:v>Consumer Electronics and Appliances Rental</x:v>
      </x:c>
      <x:c r="C590" s="8" t="n">
        <x:v>1910</x:v>
      </x:c>
      <x:c r="D590" s="8" t="n">
        <x:v>1885</x:v>
      </x:c>
      <x:c r="E590" s="8" t="n">
        <x:v>1441</x:v>
      </x:c>
      <x:c r="F590" s="8" t="n">
        <x:v>1019</x:v>
      </x:c>
      <x:c r="G590" s="8" t="n">
        <x:v>1220</x:v>
      </x:c>
      <x:c r="H590" s="8" t="n">
        <x:v>1251</x:v>
      </x:c>
    </x:row>
    <x:row r="591">
      <x:c r="A591" s="2" t="str">
        <x:v>532281</x:v>
      </x:c>
      <x:c r="B591" s="2" t="str">
        <x:v>Formal Wear and Costume Rental</x:v>
      </x:c>
      <x:c r="C591" s="8" t="n">
        <x:v>817</x:v>
      </x:c>
      <x:c r="D591" s="8" t="n">
        <x:v>792</x:v>
      </x:c>
      <x:c r="E591" s="8" t="n">
        <x:v>848</x:v>
      </x:c>
      <x:c r="F591" s="8" t="n">
        <x:v>755</x:v>
      </x:c>
      <x:c r="G591" s="8" t="n">
        <x:v>802</x:v>
      </x:c>
      <x:c r="H591" s="8" t="n">
        <x:v>755</x:v>
      </x:c>
    </x:row>
    <x:row r="592">
      <x:c r="A592" s="2" t="str">
        <x:v>532282</x:v>
      </x:c>
      <x:c r="B592" s="2" t="str">
        <x:v>Video Tape and Disc Rental</x:v>
      </x:c>
      <x:c r="C592" s="8" t="n">
        <x:v>723</x:v>
      </x:c>
      <x:c r="D592" s="8" t="n">
        <x:v>601</x:v>
      </x:c>
      <x:c r="E592" s="8" t="n">
        <x:v>517</x:v>
      </x:c>
      <x:c r="F592" s="8" t="n">
        <x:v>361</x:v>
      </x:c>
      <x:c r="G592" s="8" t="n">
        <x:v>315</x:v>
      </x:c>
      <x:c r="H592" s="8" t="n">
        <x:v>186</x:v>
      </x:c>
    </x:row>
    <x:row r="593">
      <x:c r="A593" s="2" t="str">
        <x:v>532283</x:v>
      </x:c>
      <x:c r="B593" s="2" t="str">
        <x:v>Home Health Equipment Rental</x:v>
      </x:c>
      <x:c r="C593" s="8" t="n">
        <x:v>1511</x:v>
      </x:c>
      <x:c r="D593" s="8" t="n">
        <x:v>1419</x:v>
      </x:c>
      <x:c r="E593" s="8" t="n">
        <x:v>1446</x:v>
      </x:c>
      <x:c r="F593" s="8" t="n">
        <x:v>1550</x:v>
      </x:c>
      <x:c r="G593" s="8" t="n">
        <x:v>1412</x:v>
      </x:c>
      <x:c r="H593" s="8" t="n">
        <x:v>1491</x:v>
      </x:c>
    </x:row>
    <x:row r="594">
      <x:c r="A594" s="2" t="str">
        <x:v>532284</x:v>
      </x:c>
      <x:c r="B594" s="2" t="str">
        <x:v>Recreational Goods Rental</x:v>
      </x:c>
      <x:c r="C594" s="8" t="n">
        <x:v>2049</x:v>
      </x:c>
      <x:c r="D594" s="8" t="n">
        <x:v>2213</x:v>
      </x:c>
      <x:c r="E594" s="8" t="n">
        <x:v>2546</x:v>
      </x:c>
      <x:c r="F594" s="8" t="n">
        <x:v>2593</x:v>
      </x:c>
      <x:c r="G594" s="8" t="n">
        <x:v>2366</x:v>
      </x:c>
      <x:c r="H594" s="8" t="n">
        <x:v>2320</x:v>
      </x:c>
    </x:row>
    <x:row r="595">
      <x:c r="A595" s="2" t="str">
        <x:v>532289</x:v>
      </x:c>
      <x:c r="B595" s="2" t="str">
        <x:v>All Other Consumer Goods Rental</x:v>
      </x:c>
      <x:c r="C595" s="8" t="n">
        <x:v>8782</x:v>
      </x:c>
      <x:c r="D595" s="8" t="n">
        <x:v>8571</x:v>
      </x:c>
      <x:c r="E595" s="8" t="n">
        <x:v>8882</x:v>
      </x:c>
      <x:c r="F595" s="8" t="n">
        <x:v>7167</x:v>
      </x:c>
      <x:c r="G595" s="8" t="n">
        <x:v>7772</x:v>
      </x:c>
      <x:c r="H595" s="8" t="n">
        <x:v>7441</x:v>
      </x:c>
    </x:row>
    <x:row r="596">
      <x:c r="A596" s="2" t="str">
        <x:v>532310</x:v>
      </x:c>
      <x:c r="B596" s="2" t="str">
        <x:v>General Rental Centers</x:v>
      </x:c>
      <x:c r="C596" s="8" t="n">
        <x:v>3162</x:v>
      </x:c>
      <x:c r="D596" s="8" t="n">
        <x:v>3208</x:v>
      </x:c>
      <x:c r="E596" s="8" t="n">
        <x:v>2842</x:v>
      </x:c>
      <x:c r="F596" s="8" t="n">
        <x:v>2746</x:v>
      </x:c>
      <x:c r="G596" s="8" t="n">
        <x:v>2721</x:v>
      </x:c>
      <x:c r="H596" s="8" t="n">
        <x:v>2563</x:v>
      </x:c>
    </x:row>
    <x:row r="597">
      <x:c r="A597" s="2" t="str">
        <x:v>532411</x:v>
      </x:c>
      <x:c r="B597" s="2" t="str">
        <x:v>Commercial Air, Rail, and Water Transportation Equipment Rental and Leasing</x:v>
      </x:c>
      <x:c r="C597" s="8" t="n">
        <x:v>605</x:v>
      </x:c>
      <x:c r="D597" s="8" t="n">
        <x:v>859</x:v>
      </x:c>
      <x:c r="E597" s="8" t="n">
        <x:v>838</x:v>
      </x:c>
      <x:c r="F597" s="8" t="n">
        <x:v>647</x:v>
      </x:c>
      <x:c r="G597" s="8" t="n">
        <x:v>612</x:v>
      </x:c>
      <x:c r="H597" s="8" t="n">
        <x:v>552</x:v>
      </x:c>
    </x:row>
    <x:row r="598">
      <x:c r="A598" s="2" t="str">
        <x:v>532412</x:v>
      </x:c>
      <x:c r="B598" s="2" t="str">
        <x:v>Construction, Mining, and Forestry Machinery and Equipment Rental and Leasing</x:v>
      </x:c>
      <x:c r="C598" s="8" t="n">
        <x:v>7293</x:v>
      </x:c>
      <x:c r="D598" s="8" t="n">
        <x:v>7919</x:v>
      </x:c>
      <x:c r="E598" s="8" t="n">
        <x:v>8266</x:v>
      </x:c>
      <x:c r="F598" s="8" t="n">
        <x:v>8836</x:v>
      </x:c>
      <x:c r="G598" s="8" t="n">
        <x:v>9477</x:v>
      </x:c>
      <x:c r="H598" s="8" t="n">
        <x:v>9816</x:v>
      </x:c>
    </x:row>
    <x:row r="599">
      <x:c r="A599" s="2" t="str">
        <x:v>532420</x:v>
      </x:c>
      <x:c r="B599" s="2" t="str">
        <x:v>Office Machinery and Equipment Rental and Leasing</x:v>
      </x:c>
      <x:c r="C599" s="8" t="n">
        <x:v>950</x:v>
      </x:c>
      <x:c r="D599" s="8" t="n">
        <x:v>946</x:v>
      </x:c>
      <x:c r="E599" s="8" t="n">
        <x:v>977</x:v>
      </x:c>
      <x:c r="F599" s="8" t="n">
        <x:v>1067</x:v>
      </x:c>
      <x:c r="G599" s="8" t="n">
        <x:v>1302</x:v>
      </x:c>
      <x:c r="H599" s="8" t="n">
        <x:v>1070</x:v>
      </x:c>
    </x:row>
    <x:row r="600">
      <x:c r="A600" s="2" t="str">
        <x:v>532490</x:v>
      </x:c>
      <x:c r="B600" s="2" t="str">
        <x:v>Other Commercial and Industrial Machinery and Equipment Rental and Leasing</x:v>
      </x:c>
      <x:c r="C600" s="8" t="n">
        <x:v>10523</x:v>
      </x:c>
      <x:c r="D600" s="8" t="n">
        <x:v>11063</x:v>
      </x:c>
      <x:c r="E600" s="8" t="n">
        <x:v>12126</x:v>
      </x:c>
      <x:c r="F600" s="8" t="n">
        <x:v>11504</x:v>
      </x:c>
      <x:c r="G600" s="8" t="n">
        <x:v>12485</x:v>
      </x:c>
      <x:c r="H600" s="8" t="n">
        <x:v>13218</x:v>
      </x:c>
    </x:row>
    <x:row r="601">
      <x:c r="A601" s="2" t="str">
        <x:v>533110</x:v>
      </x:c>
      <x:c r="B601" s="2" t="str">
        <x:v>Lessors of Nonfinancial Intangible Assets (except Copyrighted Works)</x:v>
      </x:c>
      <x:c r="C601" s="8" t="n">
        <x:v>2670</x:v>
      </x:c>
      <x:c r="D601" s="8" t="n">
        <x:v>2385</x:v>
      </x:c>
      <x:c r="E601" s="8" t="n">
        <x:v>2294</x:v>
      </x:c>
      <x:c r="F601" s="8" t="n">
        <x:v>2216</x:v>
      </x:c>
      <x:c r="G601" s="8" t="n">
        <x:v>2099</x:v>
      </x:c>
      <x:c r="H601" s="8" t="n">
        <x:v>2097</x:v>
      </x:c>
    </x:row>
    <x:row r="602">
      <x:c r="A602" s="2" t="str">
        <x:v>541110</x:v>
      </x:c>
      <x:c r="B602" s="2" t="str">
        <x:v>Offices of Lawyers</x:v>
      </x:c>
      <x:c r="C602" s="8" t="n">
        <x:v>128991</x:v>
      </x:c>
      <x:c r="D602" s="8" t="n">
        <x:v>131664</x:v>
      </x:c>
      <x:c r="E602" s="8" t="n">
        <x:v>133594</x:v>
      </x:c>
      <x:c r="F602" s="8" t="n">
        <x:v>134901</x:v>
      </x:c>
      <x:c r="G602" s="8" t="n">
        <x:v>138173</x:v>
      </x:c>
      <x:c r="H602" s="8" t="n">
        <x:v>149645</x:v>
      </x:c>
    </x:row>
    <x:row r="603">
      <x:c r="A603" s="2" t="str">
        <x:v>541191</x:v>
      </x:c>
      <x:c r="B603" s="2" t="str">
        <x:v>Title Abstract and Settlement Offices</x:v>
      </x:c>
      <x:c r="C603" s="8" t="n">
        <x:v>2540</x:v>
      </x:c>
      <x:c r="D603" s="8" t="n">
        <x:v>2618</x:v>
      </x:c>
      <x:c r="E603" s="8" t="n">
        <x:v>2554</x:v>
      </x:c>
      <x:c r="F603" s="8" t="n">
        <x:v>3050</x:v>
      </x:c>
      <x:c r="G603" s="8" t="n">
        <x:v>2421</x:v>
      </x:c>
      <x:c r="H603" s="8" t="n">
        <x:v>2387</x:v>
      </x:c>
    </x:row>
    <x:row r="604">
      <x:c r="A604" s="2" t="str">
        <x:v>541199</x:v>
      </x:c>
      <x:c r="B604" s="2" t="str">
        <x:v>All Other Legal Services</x:v>
      </x:c>
      <x:c r="C604" s="8" t="n">
        <x:v>5658</x:v>
      </x:c>
      <x:c r="D604" s="8" t="n">
        <x:v>5711</x:v>
      </x:c>
      <x:c r="E604" s="8" t="n">
        <x:v>5596</x:v>
      </x:c>
      <x:c r="F604" s="8" t="n">
        <x:v>5329</x:v>
      </x:c>
      <x:c r="G604" s="8" t="n">
        <x:v>5106</x:v>
      </x:c>
      <x:c r="H604" s="8" t="n">
        <x:v>6654</x:v>
      </x:c>
    </x:row>
    <x:row r="605">
      <x:c r="A605" s="2" t="str">
        <x:v>541211</x:v>
      </x:c>
      <x:c r="B605" s="2" t="str">
        <x:v>Offices of Certified Public Accountants</x:v>
      </x:c>
      <x:c r="C605" s="8" t="n">
        <x:v>55621</x:v>
      </x:c>
      <x:c r="D605" s="8" t="n">
        <x:v>56184</x:v>
      </x:c>
      <x:c r="E605" s="8" t="n">
        <x:v>57603</x:v>
      </x:c>
      <x:c r="F605" s="8" t="n">
        <x:v>59254</x:v>
      </x:c>
      <x:c r="G605" s="8" t="n">
        <x:v>62102</x:v>
      </x:c>
      <x:c r="H605" s="8" t="n">
        <x:v>57758</x:v>
      </x:c>
    </x:row>
    <x:row r="606">
      <x:c r="A606" s="2" t="str">
        <x:v>541213</x:v>
      </x:c>
      <x:c r="B606" s="2" t="str">
        <x:v>Tax Preparation Services</x:v>
      </x:c>
      <x:c r="C606" s="8" t="n">
        <x:v>20559</x:v>
      </x:c>
      <x:c r="D606" s="8" t="n">
        <x:v>20870</x:v>
      </x:c>
      <x:c r="E606" s="8" t="n">
        <x:v>20363</x:v>
      </x:c>
      <x:c r="F606" s="8" t="n">
        <x:v>19742</x:v>
      </x:c>
      <x:c r="G606" s="8" t="n">
        <x:v>20534</x:v>
      </x:c>
      <x:c r="H606" s="8" t="n">
        <x:v>19529</x:v>
      </x:c>
    </x:row>
    <x:row r="607">
      <x:c r="A607" s="2" t="str">
        <x:v>541214</x:v>
      </x:c>
      <x:c r="B607" s="2" t="str">
        <x:v>Payroll Services</x:v>
      </x:c>
      <x:c r="C607" s="8" t="n">
        <x:v>26269</x:v>
      </x:c>
      <x:c r="D607" s="8" t="n">
        <x:v>30901</x:v>
      </x:c>
      <x:c r="E607" s="8" t="n">
        <x:v>32708</x:v>
      </x:c>
      <x:c r="F607" s="8" t="n">
        <x:v>37736</x:v>
      </x:c>
      <x:c r="G607" s="8" t="n">
        <x:v>38054</x:v>
      </x:c>
      <x:c r="H607" s="8" t="n">
        <x:v>44109</x:v>
      </x:c>
    </x:row>
    <x:row r="608">
      <x:c r="A608" s="2" t="str">
        <x:v>541219</x:v>
      </x:c>
      <x:c r="B608" s="2" t="str">
        <x:v>Other Accounting Services</x:v>
      </x:c>
      <x:c r="C608" s="8" t="n">
        <x:v>28532</x:v>
      </x:c>
      <x:c r="D608" s="8" t="n">
        <x:v>29418</x:v>
      </x:c>
      <x:c r="E608" s="8" t="n">
        <x:v>30418</x:v>
      </x:c>
      <x:c r="F608" s="8" t="n">
        <x:v>33885</x:v>
      </x:c>
      <x:c r="G608" s="8" t="n">
        <x:v>30149</x:v>
      </x:c>
      <x:c r="H608" s="8" t="n">
        <x:v>29232</x:v>
      </x:c>
    </x:row>
    <x:row r="609">
      <x:c r="A609" s="2" t="str">
        <x:v>541310</x:v>
      </x:c>
      <x:c r="B609" s="2" t="str">
        <x:v>Architectural Services</x:v>
      </x:c>
      <x:c r="C609" s="8" t="n">
        <x:v>28003</x:v>
      </x:c>
      <x:c r="D609" s="8" t="n">
        <x:v>29099</x:v>
      </x:c>
      <x:c r="E609" s="8" t="n">
        <x:v>29895</x:v>
      </x:c>
      <x:c r="F609" s="8" t="n">
        <x:v>29062</x:v>
      </x:c>
      <x:c r="G609" s="8" t="n">
        <x:v>30002</x:v>
      </x:c>
      <x:c r="H609" s="8" t="n">
        <x:v>27593</x:v>
      </x:c>
    </x:row>
    <x:row r="610">
      <x:c r="A610" s="2" t="str">
        <x:v>541320</x:v>
      </x:c>
      <x:c r="B610" s="2" t="str">
        <x:v>Landscape Architectural Services</x:v>
      </x:c>
      <x:c r="C610" s="8" t="n">
        <x:v>6663</x:v>
      </x:c>
      <x:c r="D610" s="8" t="n">
        <x:v>6666</x:v>
      </x:c>
      <x:c r="E610" s="8" t="n">
        <x:v>7780</x:v>
      </x:c>
      <x:c r="F610" s="8" t="n">
        <x:v>7138</x:v>
      </x:c>
      <x:c r="G610" s="8" t="n">
        <x:v>6663</x:v>
      </x:c>
      <x:c r="H610" s="8" t="n">
        <x:v>5957</x:v>
      </x:c>
    </x:row>
    <x:row r="611">
      <x:c r="A611" s="2" t="str">
        <x:v>541330</x:v>
      </x:c>
      <x:c r="B611" s="2" t="str">
        <x:v>Engineering Services</x:v>
      </x:c>
      <x:c r="C611" s="8" t="n">
        <x:v>107525</x:v>
      </x:c>
      <x:c r="D611" s="8" t="n">
        <x:v>112587</x:v>
      </x:c>
      <x:c r="E611" s="8" t="n">
        <x:v>116059</x:v>
      </x:c>
      <x:c r="F611" s="8" t="n">
        <x:v>121934</x:v>
      </x:c>
      <x:c r="G611" s="8" t="n">
        <x:v>122368</x:v>
      </x:c>
      <x:c r="H611" s="8" t="n">
        <x:v>130950</x:v>
      </x:c>
    </x:row>
    <x:row r="612">
      <x:c r="A612" s="2" t="str">
        <x:v>541340</x:v>
      </x:c>
      <x:c r="B612" s="2" t="str">
        <x:v>Drafting Services</x:v>
      </x:c>
      <x:c r="C612" s="8" t="n">
        <x:v>696</x:v>
      </x:c>
      <x:c r="D612" s="8" t="n">
        <x:v>782</x:v>
      </x:c>
      <x:c r="E612" s="8" t="n">
        <x:v>827</x:v>
      </x:c>
      <x:c r="F612" s="8" t="n">
        <x:v>983</x:v>
      </x:c>
      <x:c r="G612" s="8" t="n">
        <x:v>998</x:v>
      </x:c>
      <x:c r="H612" s="8" t="n">
        <x:v>835</x:v>
      </x:c>
    </x:row>
    <x:row r="613">
      <x:c r="A613" s="2" t="str">
        <x:v>541350</x:v>
      </x:c>
      <x:c r="B613" s="2" t="str">
        <x:v>Building Inspection Services</x:v>
      </x:c>
      <x:c r="C613" s="8" t="n">
        <x:v>2809</x:v>
      </x:c>
      <x:c r="D613" s="8" t="n">
        <x:v>2959</x:v>
      </x:c>
      <x:c r="E613" s="8" t="n">
        <x:v>3256</x:v>
      </x:c>
      <x:c r="F613" s="8" t="n">
        <x:v>3828</x:v>
      </x:c>
      <x:c r="G613" s="8" t="n">
        <x:v>3707</x:v>
      </x:c>
      <x:c r="H613" s="8" t="n">
        <x:v>3999</x:v>
      </x:c>
    </x:row>
    <x:row r="614">
      <x:c r="A614" s="2" t="str">
        <x:v>541360</x:v>
      </x:c>
      <x:c r="B614" s="2" t="str">
        <x:v>Geophysical Surveying and Mapping Services</x:v>
      </x:c>
      <x:c r="C614" s="8" t="n">
        <x:v>819</x:v>
      </x:c>
      <x:c r="D614" s="8" t="n">
        <x:v>888</x:v>
      </x:c>
      <x:c r="E614" s="8" t="n">
        <x:v>874</x:v>
      </x:c>
      <x:c r="F614" s="8" t="n">
        <x:v>838</x:v>
      </x:c>
      <x:c r="G614" s="8" t="n">
        <x:v>873</x:v>
      </x:c>
      <x:c r="H614" s="8" t="n">
        <x:v>842</x:v>
      </x:c>
    </x:row>
    <x:row r="615">
      <x:c r="A615" s="2" t="str">
        <x:v>541370</x:v>
      </x:c>
      <x:c r="B615" s="2" t="str">
        <x:v>Surveying and Mapping (except Geophysical) Services</x:v>
      </x:c>
      <x:c r="C615" s="8" t="n">
        <x:v>3243</x:v>
      </x:c>
      <x:c r="D615" s="8" t="n">
        <x:v>3441</x:v>
      </x:c>
      <x:c r="E615" s="8" t="n">
        <x:v>3530</x:v>
      </x:c>
      <x:c r="F615" s="8" t="n">
        <x:v>3865</x:v>
      </x:c>
      <x:c r="G615" s="8" t="n">
        <x:v>4011</x:v>
      </x:c>
      <x:c r="H615" s="8" t="n">
        <x:v>4024</x:v>
      </x:c>
    </x:row>
    <x:row r="616">
      <x:c r="A616" s="2" t="str">
        <x:v>541380</x:v>
      </x:c>
      <x:c r="B616" s="2" t="str">
        <x:v>Testing Laboratories and Services</x:v>
      </x:c>
      <x:c r="C616" s="8" t="n">
        <x:v>18481</x:v>
      </x:c>
      <x:c r="D616" s="8" t="n">
        <x:v>19345</x:v>
      </x:c>
      <x:c r="E616" s="8" t="n">
        <x:v>19969</x:v>
      </x:c>
      <x:c r="F616" s="8" t="n">
        <x:v>22640</x:v>
      </x:c>
      <x:c r="G616" s="8" t="n">
        <x:v>20593</x:v>
      </x:c>
      <x:c r="H616" s="8" t="n">
        <x:v>18679</x:v>
      </x:c>
    </x:row>
    <x:row r="617">
      <x:c r="A617" s="2" t="str">
        <x:v>541410</x:v>
      </x:c>
      <x:c r="B617" s="2" t="str">
        <x:v>Interior Design Services</x:v>
      </x:c>
      <x:c r="C617" s="8" t="n">
        <x:v>6921</x:v>
      </x:c>
      <x:c r="D617" s="8" t="n">
        <x:v>7338</x:v>
      </x:c>
      <x:c r="E617" s="8" t="n">
        <x:v>7826</x:v>
      </x:c>
      <x:c r="F617" s="8" t="n">
        <x:v>9029</x:v>
      </x:c>
      <x:c r="G617" s="8" t="n">
        <x:v>9013</x:v>
      </x:c>
      <x:c r="H617" s="8" t="n">
        <x:v>9126</x:v>
      </x:c>
    </x:row>
    <x:row r="618">
      <x:c r="A618" s="2" t="str">
        <x:v>541420</x:v>
      </x:c>
      <x:c r="B618" s="2" t="str">
        <x:v>Industrial Design Services</x:v>
      </x:c>
      <x:c r="C618" s="8" t="n">
        <x:v>2609</x:v>
      </x:c>
      <x:c r="D618" s="8" t="n">
        <x:v>2528</x:v>
      </x:c>
      <x:c r="E618" s="8" t="n">
        <x:v>2749</x:v>
      </x:c>
      <x:c r="F618" s="8" t="n">
        <x:v>2719</x:v>
      </x:c>
      <x:c r="G618" s="8" t="n">
        <x:v>2626</x:v>
      </x:c>
      <x:c r="H618" s="8" t="n">
        <x:v>2391</x:v>
      </x:c>
    </x:row>
    <x:row r="619">
      <x:c r="A619" s="2" t="str">
        <x:v>541430</x:v>
      </x:c>
      <x:c r="B619" s="2" t="str">
        <x:v>Graphic Design Services</x:v>
      </x:c>
      <x:c r="C619" s="8" t="n">
        <x:v>10748</x:v>
      </x:c>
      <x:c r="D619" s="8" t="n">
        <x:v>10501</x:v>
      </x:c>
      <x:c r="E619" s="8" t="n">
        <x:v>10348</x:v>
      </x:c>
      <x:c r="F619" s="8" t="n">
        <x:v>10465</x:v>
      </x:c>
      <x:c r="G619" s="8" t="n">
        <x:v>10037</x:v>
      </x:c>
      <x:c r="H619" s="8" t="n">
        <x:v>9459</x:v>
      </x:c>
    </x:row>
    <x:row r="620">
      <x:c r="A620" s="2" t="str">
        <x:v>541490</x:v>
      </x:c>
      <x:c r="B620" s="2" t="str">
        <x:v>Other Specialized Design Services</x:v>
      </x:c>
      <x:c r="C620" s="8" t="n">
        <x:v>3004</x:v>
      </x:c>
      <x:c r="D620" s="8" t="n">
        <x:v>3490</x:v>
      </x:c>
      <x:c r="E620" s="8" t="n">
        <x:v>3477</x:v>
      </x:c>
      <x:c r="F620" s="8" t="n">
        <x:v>4116</x:v>
      </x:c>
      <x:c r="G620" s="8" t="n">
        <x:v>4024</x:v>
      </x:c>
      <x:c r="H620" s="8" t="n">
        <x:v>3807</x:v>
      </x:c>
    </x:row>
    <x:row r="621">
      <x:c r="A621" s="2" t="str">
        <x:v>541511</x:v>
      </x:c>
      <x:c r="B621" s="2" t="str">
        <x:v>Custom Computer Programming Services</x:v>
      </x:c>
      <x:c r="C621" s="8" t="n">
        <x:v>163897</x:v>
      </x:c>
      <x:c r="D621" s="8" t="n">
        <x:v>172584</x:v>
      </x:c>
      <x:c r="E621" s="8" t="n">
        <x:v>185777</x:v>
      </x:c>
      <x:c r="F621" s="8" t="n">
        <x:v>195490</x:v>
      </x:c>
      <x:c r="G621" s="8" t="n">
        <x:v>206211</x:v>
      </x:c>
      <x:c r="H621" s="8" t="n">
        <x:v>184686</x:v>
      </x:c>
    </x:row>
    <x:row r="622">
      <x:c r="A622" s="2" t="str">
        <x:v>541512</x:v>
      </x:c>
      <x:c r="B622" s="2" t="str">
        <x:v>Computer Systems Design Services</x:v>
      </x:c>
      <x:c r="C622" s="8" t="n">
        <x:v>111788</x:v>
      </x:c>
      <x:c r="D622" s="8" t="n">
        <x:v>115515</x:v>
      </x:c>
      <x:c r="E622" s="8" t="n">
        <x:v>120071</x:v>
      </x:c>
      <x:c r="F622" s="8" t="n">
        <x:v>120184</x:v>
      </x:c>
      <x:c r="G622" s="8" t="n">
        <x:v>114034</x:v>
      </x:c>
      <x:c r="H622" s="8" t="n">
        <x:v>110076</x:v>
      </x:c>
    </x:row>
    <x:row r="623">
      <x:c r="A623" s="2" t="str">
        <x:v>541513</x:v>
      </x:c>
      <x:c r="B623" s="2" t="str">
        <x:v>Computer Facilities Management Services</x:v>
      </x:c>
      <x:c r="C623" s="8" t="n">
        <x:v>6753</x:v>
      </x:c>
      <x:c r="D623" s="8" t="n">
        <x:v>7556</x:v>
      </x:c>
      <x:c r="E623" s="8" t="n">
        <x:v>8466</x:v>
      </x:c>
      <x:c r="F623" s="8" t="n">
        <x:v>11044</x:v>
      </x:c>
      <x:c r="G623" s="8" t="n">
        <x:v>11813</x:v>
      </x:c>
      <x:c r="H623" s="8" t="n">
        <x:v>11113</x:v>
      </x:c>
    </x:row>
    <x:row r="624">
      <x:c r="A624" s="2" t="str">
        <x:v>541519</x:v>
      </x:c>
      <x:c r="B624" s="2" t="str">
        <x:v>Other Computer Related Services</x:v>
      </x:c>
      <x:c r="C624" s="8" t="n">
        <x:v>20186</x:v>
      </x:c>
      <x:c r="D624" s="8" t="n">
        <x:v>20774</x:v>
      </x:c>
      <x:c r="E624" s="8" t="n">
        <x:v>22035</x:v>
      </x:c>
      <x:c r="F624" s="8" t="n">
        <x:v>22284</x:v>
      </x:c>
      <x:c r="G624" s="8" t="n">
        <x:v>10406</x:v>
      </x:c>
      <x:c r="H624" s="8" t="n">
        <x:v>13664</x:v>
      </x:c>
    </x:row>
    <x:row r="625">
      <x:c r="A625" s="2" t="str">
        <x:v>541611</x:v>
      </x:c>
      <x:c r="B625" s="2" t="str">
        <x:v>Administrative Management and General Management Consulting Services</x:v>
      </x:c>
      <x:c r="C625" s="8" t="n">
        <x:v>55794</x:v>
      </x:c>
      <x:c r="D625" s="8" t="n">
        <x:v>60077</x:v>
      </x:c>
      <x:c r="E625" s="8" t="n">
        <x:v>64753</x:v>
      </x:c>
      <x:c r="F625" s="8" t="n">
        <x:v>82866</x:v>
      </x:c>
      <x:c r="G625" s="8" t="n">
        <x:v>86547</x:v>
      </x:c>
      <x:c r="H625" s="8" t="n">
        <x:v>89737</x:v>
      </x:c>
    </x:row>
    <x:row r="626">
      <x:c r="A626" s="2" t="str">
        <x:v>541612</x:v>
      </x:c>
      <x:c r="B626" s="2" t="str">
        <x:v>Human Resources Consulting Services</x:v>
      </x:c>
      <x:c r="C626" s="8" t="n">
        <x:v>8321</x:v>
      </x:c>
      <x:c r="D626" s="8" t="n">
        <x:v>9320</x:v>
      </x:c>
      <x:c r="E626" s="8" t="n">
        <x:v>9759</x:v>
      </x:c>
      <x:c r="F626" s="8" t="n">
        <x:v>9012</x:v>
      </x:c>
      <x:c r="G626" s="8" t="n">
        <x:v>9405</x:v>
      </x:c>
      <x:c r="H626" s="8" t="n">
        <x:v>8913</x:v>
      </x:c>
    </x:row>
    <x:row r="627">
      <x:c r="A627" s="2" t="str">
        <x:v>541613</x:v>
      </x:c>
      <x:c r="B627" s="2" t="str">
        <x:v>Marketing Consulting Services</x:v>
      </x:c>
      <x:c r="C627" s="8" t="n">
        <x:v>27147</x:v>
      </x:c>
      <x:c r="D627" s="8" t="n">
        <x:v>37719</x:v>
      </x:c>
      <x:c r="E627" s="8" t="n">
        <x:v>39346</x:v>
      </x:c>
      <x:c r="F627" s="8" t="n">
        <x:v>41958</x:v>
      </x:c>
      <x:c r="G627" s="8" t="n">
        <x:v>43285</x:v>
      </x:c>
      <x:c r="H627" s="8" t="n">
        <x:v>41306</x:v>
      </x:c>
    </x:row>
    <x:row r="628">
      <x:c r="A628" s="2" t="str">
        <x:v>541614</x:v>
      </x:c>
      <x:c r="B628" s="2" t="str">
        <x:v>Process, Physical Distribution, and Logistics Consulting Services</x:v>
      </x:c>
      <x:c r="C628" s="8" t="n">
        <x:v>14046</x:v>
      </x:c>
      <x:c r="D628" s="8" t="n">
        <x:v>15481</x:v>
      </x:c>
      <x:c r="E628" s="8" t="n">
        <x:v>16014</x:v>
      </x:c>
      <x:c r="F628" s="8" t="n">
        <x:v>17748</x:v>
      </x:c>
      <x:c r="G628" s="8" t="n">
        <x:v>18369</x:v>
      </x:c>
      <x:c r="H628" s="8" t="n">
        <x:v>18771</x:v>
      </x:c>
    </x:row>
    <x:row r="629">
      <x:c r="A629" s="2" t="str">
        <x:v>541618</x:v>
      </x:c>
      <x:c r="B629" s="2" t="str">
        <x:v>Other Management Consulting Services</x:v>
      </x:c>
      <x:c r="C629" s="8" t="n">
        <x:v>10387</x:v>
      </x:c>
      <x:c r="D629" s="8" t="n">
        <x:v>11311</x:v>
      </x:c>
      <x:c r="E629" s="8" t="n">
        <x:v>10799</x:v>
      </x:c>
      <x:c r="F629" s="8" t="n">
        <x:v>11116</x:v>
      </x:c>
      <x:c r="G629" s="8" t="n">
        <x:v>11275</x:v>
      </x:c>
      <x:c r="H629" s="8" t="n">
        <x:v>9978</x:v>
      </x:c>
    </x:row>
    <x:row r="630">
      <x:c r="A630" s="2" t="str">
        <x:v>541620</x:v>
      </x:c>
      <x:c r="B630" s="2" t="str">
        <x:v>Environmental Consulting Services</x:v>
      </x:c>
      <x:c r="C630" s="8" t="n">
        <x:v>13540</x:v>
      </x:c>
      <x:c r="D630" s="8" t="n">
        <x:v>13677</x:v>
      </x:c>
      <x:c r="E630" s="8" t="n">
        <x:v>14754</x:v>
      </x:c>
      <x:c r="F630" s="8" t="n">
        <x:v>17399</x:v>
      </x:c>
      <x:c r="G630" s="8" t="n">
        <x:v>16341</x:v>
      </x:c>
      <x:c r="H630" s="8" t="n">
        <x:v>16674</x:v>
      </x:c>
    </x:row>
    <x:row r="631">
      <x:c r="A631" s="2" t="str">
        <x:v>541690</x:v>
      </x:c>
      <x:c r="B631" s="2" t="str">
        <x:v>Other Scientific and Technical Consulting Services</x:v>
      </x:c>
      <x:c r="C631" s="8" t="n">
        <x:v>58063</x:v>
      </x:c>
      <x:c r="D631" s="8" t="n">
        <x:v>53018</x:v>
      </x:c>
      <x:c r="E631" s="8" t="n">
        <x:v>50159</x:v>
      </x:c>
      <x:c r="F631" s="8" t="n">
        <x:v>43554</x:v>
      </x:c>
      <x:c r="G631" s="8" t="n">
        <x:v>39512</x:v>
      </x:c>
      <x:c r="H631" s="8" t="n">
        <x:v>32677</x:v>
      </x:c>
    </x:row>
    <x:row r="632">
      <x:c r="A632" s="2" t="str">
        <x:v>541713</x:v>
      </x:c>
      <x:c r="B632" s="2" t="str">
        <x:v>Research and Development in Nanotechnology</x:v>
      </x:c>
      <x:c r="C632" s="8" t="n">
        <x:v>2329</x:v>
      </x:c>
      <x:c r="D632" s="8" t="n">
        <x:v>2633</x:v>
      </x:c>
      <x:c r="E632" s="8" t="n">
        <x:v>2691</x:v>
      </x:c>
      <x:c r="F632" s="8" t="n">
        <x:v>4392</x:v>
      </x:c>
      <x:c r="G632" s="8" t="n">
        <x:v>3924</x:v>
      </x:c>
      <x:c r="H632" s="8" t="n">
        <x:v>2973</x:v>
      </x:c>
    </x:row>
    <x:row r="633">
      <x:c r="A633" s="2" t="str">
        <x:v>541714</x:v>
      </x:c>
      <x:c r="B633" s="2" t="str">
        <x:v>Research and Development in Biotechnology (except Nanobiotechnology)</x:v>
      </x:c>
      <x:c r="C633" s="8" t="n">
        <x:v>38264</x:v>
      </x:c>
      <x:c r="D633" s="8" t="n">
        <x:v>43086</x:v>
      </x:c>
      <x:c r="E633" s="8" t="n">
        <x:v>49730</x:v>
      </x:c>
      <x:c r="F633" s="8" t="n">
        <x:v>67716</x:v>
      </x:c>
      <x:c r="G633" s="8" t="n">
        <x:v>70647</x:v>
      </x:c>
      <x:c r="H633" s="8" t="n">
        <x:v>64730</x:v>
      </x:c>
    </x:row>
    <x:row r="634">
      <x:c r="A634" s="2" t="str">
        <x:v>541715</x:v>
      </x:c>
      <x:c r="B634" s="2" t="str">
        <x:v>Research and Development in the Physical, Engineering, and Life Sciences (except Nanotechnology and Biotechnology)</x:v>
      </x:c>
      <x:c r="C634" s="8" t="n">
        <x:v>78294</x:v>
      </x:c>
      <x:c r="D634" s="8" t="n">
        <x:v>84817</x:v>
      </x:c>
      <x:c r="E634" s="8" t="n">
        <x:v>87244</x:v>
      </x:c>
      <x:c r="F634" s="8" t="n">
        <x:v>107232</x:v>
      </x:c>
      <x:c r="G634" s="8" t="n">
        <x:v>110968</x:v>
      </x:c>
      <x:c r="H634" s="8" t="n">
        <x:v>108956</x:v>
      </x:c>
    </x:row>
    <x:row r="635">
      <x:c r="A635" s="2" t="str">
        <x:v>541720</x:v>
      </x:c>
      <x:c r="B635" s="2" t="str">
        <x:v>Research and Development in the Social Sciences and Humanities</x:v>
      </x:c>
      <x:c r="C635" s="8" t="n">
        <x:v>6918</x:v>
      </x:c>
      <x:c r="D635" s="8" t="n">
        <x:v>7443</x:v>
      </x:c>
      <x:c r="E635" s="8" t="n">
        <x:v>7727</x:v>
      </x:c>
      <x:c r="F635" s="8" t="n">
        <x:v>7520</x:v>
      </x:c>
      <x:c r="G635" s="8" t="n">
        <x:v>7208</x:v>
      </x:c>
      <x:c r="H635" s="8" t="n">
        <x:v>6339</x:v>
      </x:c>
    </x:row>
    <x:row r="636">
      <x:c r="A636" s="2" t="str">
        <x:v>541810</x:v>
      </x:c>
      <x:c r="B636" s="2" t="str">
        <x:v>Advertising Agencies</x:v>
      </x:c>
      <x:c r="C636" s="8" t="n">
        <x:v>28942</x:v>
      </x:c>
      <x:c r="D636" s="8" t="n">
        <x:v>29605</x:v>
      </x:c>
      <x:c r="E636" s="8" t="n">
        <x:v>30143</x:v>
      </x:c>
      <x:c r="F636" s="8" t="n">
        <x:v>29932</x:v>
      </x:c>
      <x:c r="G636" s="8" t="n">
        <x:v>30264</x:v>
      </x:c>
      <x:c r="H636" s="8" t="n">
        <x:v>26310</x:v>
      </x:c>
    </x:row>
    <x:row r="637">
      <x:c r="A637" s="2" t="str">
        <x:v>541820</x:v>
      </x:c>
      <x:c r="B637" s="2" t="str">
        <x:v>Public Relations Agencies</x:v>
      </x:c>
      <x:c r="C637" s="8" t="n">
        <x:v>8776</x:v>
      </x:c>
      <x:c r="D637" s="8" t="n">
        <x:v>9006</x:v>
      </x:c>
      <x:c r="E637" s="8" t="n">
        <x:v>8959</x:v>
      </x:c>
      <x:c r="F637" s="8" t="n">
        <x:v>9526</x:v>
      </x:c>
      <x:c r="G637" s="8" t="n">
        <x:v>9365</x:v>
      </x:c>
      <x:c r="H637" s="8" t="n">
        <x:v>8678</x:v>
      </x:c>
    </x:row>
    <x:row r="638">
      <x:c r="A638" s="2" t="str">
        <x:v>541830</x:v>
      </x:c>
      <x:c r="B638" s="2" t="str">
        <x:v>Media Buying Agencies</x:v>
      </x:c>
      <x:c r="C638" s="8" t="n">
        <x:v>3142</x:v>
      </x:c>
      <x:c r="D638" s="8" t="n">
        <x:v>3391</x:v>
      </x:c>
      <x:c r="E638" s="8" t="n">
        <x:v>3122</x:v>
      </x:c>
      <x:c r="F638" s="8" t="n">
        <x:v>3121</x:v>
      </x:c>
      <x:c r="G638" s="8" t="n">
        <x:v>2964</x:v>
      </x:c>
      <x:c r="H638" s="8" t="n">
        <x:v>2480</x:v>
      </x:c>
    </x:row>
    <x:row r="639">
      <x:c r="A639" s="2" t="str">
        <x:v>541840</x:v>
      </x:c>
      <x:c r="B639" s="2" t="str">
        <x:v>Media Representatives</x:v>
      </x:c>
      <x:c r="C639" s="8" t="n">
        <x:v>4321</x:v>
      </x:c>
      <x:c r="D639" s="8" t="n">
        <x:v>3336</x:v>
      </x:c>
      <x:c r="E639" s="8" t="n">
        <x:v>3106</x:v>
      </x:c>
      <x:c r="F639" s="8" t="n">
        <x:v>2845</x:v>
      </x:c>
      <x:c r="G639" s="8" t="n">
        <x:v>2819</x:v>
      </x:c>
      <x:c r="H639" s="8" t="n">
        <x:v>2084</x:v>
      </x:c>
    </x:row>
    <x:row r="640">
      <x:c r="A640" s="2" t="str">
        <x:v>541850</x:v>
      </x:c>
      <x:c r="B640" s="2" t="str">
        <x:v>Indoor and Outdoor Display Advertising</x:v>
      </x:c>
      <x:c r="C640" s="8" t="n">
        <x:v>3002</x:v>
      </x:c>
      <x:c r="D640" s="8" t="n">
        <x:v>3036</x:v>
      </x:c>
      <x:c r="E640" s="8" t="n">
        <x:v>2966</x:v>
      </x:c>
      <x:c r="F640" s="8" t="n">
        <x:v>2244</x:v>
      </x:c>
      <x:c r="G640" s="8" t="n">
        <x:v>2306</x:v>
      </x:c>
      <x:c r="H640" s="8" t="n">
        <x:v>2615</x:v>
      </x:c>
    </x:row>
    <x:row r="641">
      <x:c r="A641" s="2" t="str">
        <x:v>541860</x:v>
      </x:c>
      <x:c r="B641" s="2" t="str">
        <x:v>Direct Mail Advertising</x:v>
      </x:c>
      <x:c r="C641" s="8" t="n">
        <x:v>3445</x:v>
      </x:c>
      <x:c r="D641" s="8" t="n">
        <x:v>3453</x:v>
      </x:c>
      <x:c r="E641" s="8" t="n">
        <x:v>3310</x:v>
      </x:c>
      <x:c r="F641" s="8" t="n">
        <x:v>2933</x:v>
      </x:c>
      <x:c r="G641" s="8" t="n">
        <x:v>2661</x:v>
      </x:c>
      <x:c r="H641" s="8" t="n">
        <x:v>2513</x:v>
      </x:c>
    </x:row>
    <x:row r="642">
      <x:c r="A642" s="2" t="str">
        <x:v>541870</x:v>
      </x:c>
      <x:c r="B642" s="2" t="str">
        <x:v>Advertising Material Distribution Services</x:v>
      </x:c>
      <x:c r="C642" s="8" t="n">
        <x:v>1201</x:v>
      </x:c>
      <x:c r="D642" s="8" t="n">
        <x:v>1528</x:v>
      </x:c>
      <x:c r="E642" s="8" t="n">
        <x:v>1625</x:v>
      </x:c>
      <x:c r="F642" s="8" t="n">
        <x:v>1951</x:v>
      </x:c>
      <x:c r="G642" s="8" t="n">
        <x:v>2025</x:v>
      </x:c>
      <x:c r="H642" s="8" t="n">
        <x:v>1616</x:v>
      </x:c>
    </x:row>
    <x:row r="643">
      <x:c r="A643" s="2" t="str">
        <x:v>541890</x:v>
      </x:c>
      <x:c r="B643" s="2" t="str">
        <x:v>Other Services Related to Advertising</x:v>
      </x:c>
      <x:c r="C643" s="8" t="n">
        <x:v>11453</x:v>
      </x:c>
      <x:c r="D643" s="8" t="n">
        <x:v>11458</x:v>
      </x:c>
      <x:c r="E643" s="8" t="n">
        <x:v>11806</x:v>
      </x:c>
      <x:c r="F643" s="8" t="n">
        <x:v>8977</x:v>
      </x:c>
      <x:c r="G643" s="8" t="n">
        <x:v>10492</x:v>
      </x:c>
      <x:c r="H643" s="8" t="n">
        <x:v>12343</x:v>
      </x:c>
    </x:row>
    <x:row r="644">
      <x:c r="A644" s="2" t="str">
        <x:v>541910</x:v>
      </x:c>
      <x:c r="B644" s="2" t="str">
        <x:v>Marketing Research and Public Opinion Polling</x:v>
      </x:c>
      <x:c r="C644" s="8" t="n">
        <x:v>11008</x:v>
      </x:c>
      <x:c r="D644" s="8" t="n">
        <x:v>10472</x:v>
      </x:c>
      <x:c r="E644" s="8" t="n">
        <x:v>9523</x:v>
      </x:c>
      <x:c r="F644" s="8" t="n">
        <x:v>7930</x:v>
      </x:c>
      <x:c r="G644" s="8" t="n">
        <x:v>7926</x:v>
      </x:c>
      <x:c r="H644" s="8" t="n">
        <x:v>6019</x:v>
      </x:c>
    </x:row>
    <x:row r="645">
      <x:c r="A645" s="2" t="str">
        <x:v>541921</x:v>
      </x:c>
      <x:c r="B645" s="2" t="str">
        <x:v>Photography Studios, Portrait</x:v>
      </x:c>
      <x:c r="C645" s="8" t="n">
        <x:v>4944</x:v>
      </x:c>
      <x:c r="D645" s="8" t="n">
        <x:v>5440</x:v>
      </x:c>
      <x:c r="E645" s="8" t="n">
        <x:v>4689</x:v>
      </x:c>
      <x:c r="F645" s="8" t="n">
        <x:v>4173</x:v>
      </x:c>
      <x:c r="G645" s="8" t="n">
        <x:v>4561</x:v>
      </x:c>
      <x:c r="H645" s="8" t="n">
        <x:v>4784</x:v>
      </x:c>
    </x:row>
    <x:row r="646">
      <x:c r="A646" s="2" t="str">
        <x:v>541922</x:v>
      </x:c>
      <x:c r="B646" s="2" t="str">
        <x:v>Commercial Photography</x:v>
      </x:c>
      <x:c r="C646" s="8" t="n">
        <x:v>1253</x:v>
      </x:c>
      <x:c r="D646" s="8" t="n">
        <x:v>1464</x:v>
      </x:c>
      <x:c r="E646" s="8" t="n">
        <x:v>1546</x:v>
      </x:c>
      <x:c r="F646" s="8" t="n">
        <x:v>1782</x:v>
      </x:c>
      <x:c r="G646" s="8" t="n">
        <x:v>1761</x:v>
      </x:c>
      <x:c r="H646" s="8" t="n">
        <x:v>1857</x:v>
      </x:c>
    </x:row>
    <x:row r="647">
      <x:c r="A647" s="2" t="str">
        <x:v>541930</x:v>
      </x:c>
      <x:c r="B647" s="2" t="str">
        <x:v>Translation and Interpretation Services</x:v>
      </x:c>
      <x:c r="C647" s="8" t="n">
        <x:v>4877</x:v>
      </x:c>
      <x:c r="D647" s="8" t="n">
        <x:v>5337</x:v>
      </x:c>
      <x:c r="E647" s="8" t="n">
        <x:v>5758</x:v>
      </x:c>
      <x:c r="F647" s="8" t="n">
        <x:v>4723</x:v>
      </x:c>
      <x:c r="G647" s="8" t="n">
        <x:v>4729</x:v>
      </x:c>
      <x:c r="H647" s="8" t="n">
        <x:v>3982</x:v>
      </x:c>
    </x:row>
    <x:row r="648">
      <x:c r="A648" s="2" t="str">
        <x:v>541940</x:v>
      </x:c>
      <x:c r="B648" s="2" t="str">
        <x:v>Veterinary Services</x:v>
      </x:c>
      <x:c r="C648" s="8" t="n">
        <x:v>38819</x:v>
      </x:c>
      <x:c r="D648" s="8" t="n">
        <x:v>40462</x:v>
      </x:c>
      <x:c r="E648" s="8" t="n">
        <x:v>42072</x:v>
      </x:c>
      <x:c r="F648" s="8" t="n">
        <x:v>47486</x:v>
      </x:c>
      <x:c r="G648" s="8" t="n">
        <x:v>47817</x:v>
      </x:c>
      <x:c r="H648" s="8" t="n">
        <x:v>49387</x:v>
      </x:c>
    </x:row>
    <x:row r="649">
      <x:c r="A649" s="2" t="str">
        <x:v>541990</x:v>
      </x:c>
      <x:c r="B649" s="2" t="str">
        <x:v>All Other Professional, Scientific, and Technical Services</x:v>
      </x:c>
      <x:c r="C649" s="8" t="n">
        <x:v>9823</x:v>
      </x:c>
      <x:c r="D649" s="8" t="n">
        <x:v>10196</x:v>
      </x:c>
      <x:c r="E649" s="8" t="n">
        <x:v>11179</x:v>
      </x:c>
      <x:c r="F649" s="8" t="n">
        <x:v>14910</x:v>
      </x:c>
      <x:c r="G649" s="8" t="n">
        <x:v>15288</x:v>
      </x:c>
      <x:c r="H649" s="8" t="n">
        <x:v>15957</x:v>
      </x:c>
    </x:row>
    <x:row r="650">
      <x:c r="A650" s="2" t="str">
        <x:v>551111</x:v>
      </x:c>
      <x:c r="B650" s="2" t="str">
        <x:v>Offices of Bank Holding Companies</x:v>
      </x:c>
      <x:c r="C650" s="8" t="n">
        <x:v>878</x:v>
      </x:c>
      <x:c r="D650" s="8" t="n">
        <x:v>804</x:v>
      </x:c>
      <x:c r="E650" s="8" t="n">
        <x:v>665</x:v>
      </x:c>
      <x:c r="F650" s="8" t="n">
        <x:v>777</x:v>
      </x:c>
      <x:c r="G650" s="8" t="n">
        <x:v>594</x:v>
      </x:c>
      <x:c r="H650" s="8" t="n">
        <x:v>156</x:v>
      </x:c>
    </x:row>
    <x:row r="651">
      <x:c r="A651" s="2" t="str">
        <x:v>551112</x:v>
      </x:c>
      <x:c r="B651" s="2" t="str">
        <x:v>Offices of Other Holding Companies</x:v>
      </x:c>
      <x:c r="C651" s="8" t="n">
        <x:v>4342</x:v>
      </x:c>
      <x:c r="D651" s="8" t="n">
        <x:v>4638</x:v>
      </x:c>
      <x:c r="E651" s="8" t="n">
        <x:v>4670</x:v>
      </x:c>
      <x:c r="F651" s="8" t="n">
        <x:v>5090</x:v>
      </x:c>
      <x:c r="G651" s="8" t="n">
        <x:v>5534</x:v>
      </x:c>
      <x:c r="H651" s="8" t="n">
        <x:v>5636</x:v>
      </x:c>
    </x:row>
    <x:row r="652">
      <x:c r="A652" s="2" t="str">
        <x:v>551114</x:v>
      </x:c>
      <x:c r="B652" s="2" t="str">
        <x:v>Corporate, Subsidiary, and Regional Managing Offices</x:v>
      </x:c>
      <x:c r="C652" s="8" t="n">
        <x:v>225362</x:v>
      </x:c>
      <x:c r="D652" s="8" t="n">
        <x:v>247056</x:v>
      </x:c>
      <x:c r="E652" s="8" t="n">
        <x:v>250713</x:v>
      </x:c>
      <x:c r="F652" s="8" t="n">
        <x:v>238733</x:v>
      </x:c>
      <x:c r="G652" s="8" t="n">
        <x:v>239836</x:v>
      </x:c>
      <x:c r="H652" s="8" t="n">
        <x:v>294807</x:v>
      </x:c>
    </x:row>
    <x:row r="653">
      <x:c r="A653" s="2" t="str">
        <x:v>561110</x:v>
      </x:c>
      <x:c r="B653" s="2" t="str">
        <x:v>Office Administrative Services</x:v>
      </x:c>
      <x:c r="C653" s="8" t="n">
        <x:v>74559</x:v>
      </x:c>
      <x:c r="D653" s="8" t="n">
        <x:v>71094</x:v>
      </x:c>
      <x:c r="E653" s="8" t="n">
        <x:v>72161</x:v>
      </x:c>
      <x:c r="F653" s="8" t="n">
        <x:v>70258</x:v>
      </x:c>
      <x:c r="G653" s="8" t="n">
        <x:v>65437</x:v>
      </x:c>
      <x:c r="H653" s="8" t="n">
        <x:v>57613</x:v>
      </x:c>
    </x:row>
    <x:row r="654">
      <x:c r="A654" s="2" t="str">
        <x:v>561210</x:v>
      </x:c>
      <x:c r="B654" s="2" t="str">
        <x:v>Facilities Support Services</x:v>
      </x:c>
      <x:c r="C654" s="8" t="n">
        <x:v>10797</x:v>
      </x:c>
      <x:c r="D654" s="8" t="n">
        <x:v>10565</x:v>
      </x:c>
      <x:c r="E654" s="8" t="n">
        <x:v>13486</x:v>
      </x:c>
      <x:c r="F654" s="8" t="n">
        <x:v>15448</x:v>
      </x:c>
      <x:c r="G654" s="8" t="n">
        <x:v>20143</x:v>
      </x:c>
      <x:c r="H654" s="8" t="n">
        <x:v>25847</x:v>
      </x:c>
    </x:row>
    <x:row r="655">
      <x:c r="A655" s="2" t="str">
        <x:v>561311</x:v>
      </x:c>
      <x:c r="B655" s="2" t="str">
        <x:v>Employment Placement Agencies</x:v>
      </x:c>
      <x:c r="C655" s="8" t="n">
        <x:v>47576</x:v>
      </x:c>
      <x:c r="D655" s="8" t="n">
        <x:v>42111</x:v>
      </x:c>
      <x:c r="E655" s="8" t="n">
        <x:v>43796</x:v>
      </x:c>
      <x:c r="F655" s="8" t="n">
        <x:v>43400</x:v>
      </x:c>
      <x:c r="G655" s="8" t="n">
        <x:v>41630</x:v>
      </x:c>
      <x:c r="H655" s="8" t="n">
        <x:v>31480</x:v>
      </x:c>
    </x:row>
    <x:row r="656">
      <x:c r="A656" s="2" t="str">
        <x:v>561312</x:v>
      </x:c>
      <x:c r="B656" s="2" t="str">
        <x:v>Executive Search Services</x:v>
      </x:c>
      <x:c r="C656" s="8" t="n">
        <x:v>2932</x:v>
      </x:c>
      <x:c r="D656" s="8" t="n">
        <x:v>3270</x:v>
      </x:c>
      <x:c r="E656" s="8" t="n">
        <x:v>3312</x:v>
      </x:c>
      <x:c r="F656" s="8" t="n">
        <x:v>3839</x:v>
      </x:c>
      <x:c r="G656" s="8" t="n">
        <x:v>3457</x:v>
      </x:c>
      <x:c r="H656" s="8" t="n">
        <x:v>2729</x:v>
      </x:c>
    </x:row>
    <x:row r="657">
      <x:c r="A657" s="2" t="str">
        <x:v>561320</x:v>
      </x:c>
      <x:c r="B657" s="2" t="str">
        <x:v>Temporary Help Services</x:v>
      </x:c>
      <x:c r="C657" s="8" t="n">
        <x:v>364152</x:v>
      </x:c>
      <x:c r="D657" s="8" t="n">
        <x:v>380289</x:v>
      </x:c>
      <x:c r="E657" s="8" t="n">
        <x:v>373069</x:v>
      </x:c>
      <x:c r="F657" s="8" t="n">
        <x:v>400196</x:v>
      </x:c>
      <x:c r="G657" s="8" t="n">
        <x:v>347048</x:v>
      </x:c>
      <x:c r="H657" s="8" t="n">
        <x:v>332288</x:v>
      </x:c>
    </x:row>
    <x:row r="658">
      <x:c r="A658" s="2" t="str">
        <x:v>561330</x:v>
      </x:c>
      <x:c r="B658" s="2" t="str">
        <x:v>Professional Employer Organizations</x:v>
      </x:c>
      <x:c r="C658" s="8" t="n">
        <x:v>38513</x:v>
      </x:c>
      <x:c r="D658" s="8" t="n">
        <x:v>42327</x:v>
      </x:c>
      <x:c r="E658" s="8" t="n">
        <x:v>46465</x:v>
      </x:c>
      <x:c r="F658" s="8" t="n">
        <x:v>70771</x:v>
      </x:c>
      <x:c r="G658" s="8" t="n">
        <x:v>64184</x:v>
      </x:c>
      <x:c r="H658" s="8" t="n">
        <x:v>39817</x:v>
      </x:c>
    </x:row>
    <x:row r="659">
      <x:c r="A659" s="2" t="str">
        <x:v>561410</x:v>
      </x:c>
      <x:c r="B659" s="2" t="str">
        <x:v>Document Preparation Services</x:v>
      </x:c>
      <x:c r="C659" s="8" t="n">
        <x:v>4351</x:v>
      </x:c>
      <x:c r="D659" s="8" t="n">
        <x:v>4784</x:v>
      </x:c>
      <x:c r="E659" s="8" t="n">
        <x:v>4591</x:v>
      </x:c>
      <x:c r="F659" s="8" t="n">
        <x:v>3690</x:v>
      </x:c>
      <x:c r="G659" s="8" t="n">
        <x:v>3627</x:v>
      </x:c>
      <x:c r="H659" s="8" t="n">
        <x:v>2538</x:v>
      </x:c>
    </x:row>
    <x:row r="660">
      <x:c r="A660" s="2" t="str">
        <x:v>561421</x:v>
      </x:c>
      <x:c r="B660" s="2" t="str">
        <x:v>Telephone Answering Services</x:v>
      </x:c>
      <x:c r="C660" s="8" t="n">
        <x:v>2153</x:v>
      </x:c>
      <x:c r="D660" s="8" t="n">
        <x:v>2291</x:v>
      </x:c>
      <x:c r="E660" s="8" t="n">
        <x:v>2090</x:v>
      </x:c>
      <x:c r="F660" s="8" t="n">
        <x:v>1788</x:v>
      </x:c>
      <x:c r="G660" s="8" t="n">
        <x:v>1656</x:v>
      </x:c>
      <x:c r="H660" s="8" t="n">
        <x:v>1290</x:v>
      </x:c>
    </x:row>
    <x:row r="661">
      <x:c r="A661" s="2" t="str">
        <x:v>561422</x:v>
      </x:c>
      <x:c r="B661" s="2" t="str">
        <x:v>Telemarketing Bureaus and Other Contact Centers</x:v>
      </x:c>
      <x:c r="C661" s="8" t="n">
        <x:v>19499</x:v>
      </x:c>
      <x:c r="D661" s="8" t="n">
        <x:v>19229</x:v>
      </x:c>
      <x:c r="E661" s="8" t="n">
        <x:v>17729</x:v>
      </x:c>
      <x:c r="F661" s="8" t="n">
        <x:v>12077</x:v>
      </x:c>
      <x:c r="G661" s="8" t="n">
        <x:v>10712</x:v>
      </x:c>
      <x:c r="H661" s="8" t="n">
        <x:v>6793</x:v>
      </x:c>
    </x:row>
    <x:row r="662">
      <x:c r="A662" s="2" t="str">
        <x:v>561431</x:v>
      </x:c>
      <x:c r="B662" s="2" t="str">
        <x:v>Private Mail Centers</x:v>
      </x:c>
      <x:c r="C662" s="8" t="n">
        <x:v>4508</x:v>
      </x:c>
      <x:c r="D662" s="8" t="n">
        <x:v>4743</x:v>
      </x:c>
      <x:c r="E662" s="8" t="n">
        <x:v>5342</x:v>
      </x:c>
      <x:c r="F662" s="8" t="n">
        <x:v>6849</x:v>
      </x:c>
      <x:c r="G662" s="8" t="n">
        <x:v>6789</x:v>
      </x:c>
      <x:c r="H662" s="8" t="n">
        <x:v>6165</x:v>
      </x:c>
    </x:row>
    <x:row r="663">
      <x:c r="A663" s="2" t="str">
        <x:v>561439</x:v>
      </x:c>
      <x:c r="B663" s="2" t="str">
        <x:v>Other Business Service Centers (including Copy Shops)</x:v>
      </x:c>
      <x:c r="C663" s="8" t="n">
        <x:v>8902</x:v>
      </x:c>
      <x:c r="D663" s="8" t="n">
        <x:v>8832</x:v>
      </x:c>
      <x:c r="E663" s="8" t="n">
        <x:v>8895</x:v>
      </x:c>
      <x:c r="F663" s="8" t="n">
        <x:v>7253</x:v>
      </x:c>
      <x:c r="G663" s="8" t="n">
        <x:v>6826</x:v>
      </x:c>
      <x:c r="H663" s="8" t="n">
        <x:v>5279</x:v>
      </x:c>
    </x:row>
    <x:row r="664">
      <x:c r="A664" s="2" t="str">
        <x:v>561440</x:v>
      </x:c>
      <x:c r="B664" s="2" t="str">
        <x:v>Collection Agencies</x:v>
      </x:c>
      <x:c r="C664" s="8" t="n">
        <x:v>8135</x:v>
      </x:c>
      <x:c r="D664" s="8" t="n">
        <x:v>7995</x:v>
      </x:c>
      <x:c r="E664" s="8" t="n">
        <x:v>7373</x:v>
      </x:c>
      <x:c r="F664" s="8" t="n">
        <x:v>5390</x:v>
      </x:c>
      <x:c r="G664" s="8" t="n">
        <x:v>5369</x:v>
      </x:c>
      <x:c r="H664" s="8" t="n">
        <x:v>4515</x:v>
      </x:c>
    </x:row>
    <x:row r="665">
      <x:c r="A665" s="2" t="str">
        <x:v>561450</x:v>
      </x:c>
      <x:c r="B665" s="2" t="str">
        <x:v>Credit Bureaus</x:v>
      </x:c>
      <x:c r="C665" s="8" t="n">
        <x:v>3005</x:v>
      </x:c>
      <x:c r="D665" s="8" t="n">
        <x:v>3037</x:v>
      </x:c>
      <x:c r="E665" s="8" t="n">
        <x:v>3288</x:v>
      </x:c>
      <x:c r="F665" s="8" t="n">
        <x:v>3356</x:v>
      </x:c>
      <x:c r="G665" s="8" t="n">
        <x:v>3284</x:v>
      </x:c>
      <x:c r="H665" s="8" t="n">
        <x:v>2613</x:v>
      </x:c>
    </x:row>
    <x:row r="666">
      <x:c r="A666" s="2" t="str">
        <x:v>561491</x:v>
      </x:c>
      <x:c r="B666" s="2" t="str">
        <x:v>Repossession Services</x:v>
      </x:c>
      <x:c r="C666" s="8" t="n">
        <x:v>1381</x:v>
      </x:c>
      <x:c r="D666" s="8" t="n">
        <x:v>1602</x:v>
      </x:c>
      <x:c r="E666" s="8" t="n">
        <x:v>1771</x:v>
      </x:c>
      <x:c r="F666" s="8" t="n">
        <x:v>911</x:v>
      </x:c>
      <x:c r="G666" s="8" t="n">
        <x:v>977</x:v>
      </x:c>
      <x:c r="H666" s="8" t="n">
        <x:v>1058</x:v>
      </x:c>
    </x:row>
    <x:row r="667">
      <x:c r="A667" s="2" t="str">
        <x:v>561492</x:v>
      </x:c>
      <x:c r="B667" s="2" t="str">
        <x:v>Court Reporting and Stenotype Services</x:v>
      </x:c>
      <x:c r="C667" s="8" t="n">
        <x:v>1689</x:v>
      </x:c>
      <x:c r="D667" s="8" t="n">
        <x:v>1736</x:v>
      </x:c>
      <x:c r="E667" s="8" t="n">
        <x:v>1869</x:v>
      </x:c>
      <x:c r="F667" s="8" t="n">
        <x:v>1868</x:v>
      </x:c>
      <x:c r="G667" s="8" t="n">
        <x:v>2143</x:v>
      </x:c>
      <x:c r="H667" s="8" t="n">
        <x:v>2142</x:v>
      </x:c>
    </x:row>
    <x:row r="668">
      <x:c r="A668" s="2" t="str">
        <x:v>561499</x:v>
      </x:c>
      <x:c r="B668" s="2" t="str">
        <x:v>All Other Business Support Services</x:v>
      </x:c>
      <x:c r="C668" s="8" t="n">
        <x:v>5328</x:v>
      </x:c>
      <x:c r="D668" s="8" t="n">
        <x:v>6052</x:v>
      </x:c>
      <x:c r="E668" s="8" t="n">
        <x:v>6216</x:v>
      </x:c>
      <x:c r="F668" s="8" t="n">
        <x:v>5164</x:v>
      </x:c>
      <x:c r="G668" s="8" t="n">
        <x:v>4750</x:v>
      </x:c>
      <x:c r="H668" s="8" t="n">
        <x:v>4900</x:v>
      </x:c>
    </x:row>
    <x:row r="669">
      <x:c r="A669" s="2" t="str">
        <x:v>561510</x:v>
      </x:c>
      <x:c r="B669" s="2" t="str">
        <x:v>Travel Agencies</x:v>
      </x:c>
      <x:c r="C669" s="8" t="n">
        <x:v>11504</x:v>
      </x:c>
      <x:c r="D669" s="8" t="n">
        <x:v>11796</x:v>
      </x:c>
      <x:c r="E669" s="8" t="n">
        <x:v>11655</x:v>
      </x:c>
      <x:c r="F669" s="8" t="n">
        <x:v>7400</x:v>
      </x:c>
      <x:c r="G669" s="8" t="n">
        <x:v>8526</x:v>
      </x:c>
      <x:c r="H669" s="8" t="n">
        <x:v>7219</x:v>
      </x:c>
    </x:row>
    <x:row r="670">
      <x:c r="A670" s="2" t="str">
        <x:v>561520</x:v>
      </x:c>
      <x:c r="B670" s="2" t="str">
        <x:v>Tour Operators</x:v>
      </x:c>
      <x:c r="C670" s="8" t="n">
        <x:v>3332</x:v>
      </x:c>
      <x:c r="D670" s="8" t="n">
        <x:v>3577</x:v>
      </x:c>
      <x:c r="E670" s="8" t="n">
        <x:v>3447</x:v>
      </x:c>
      <x:c r="F670" s="8" t="n">
        <x:v>2253</x:v>
      </x:c>
      <x:c r="G670" s="8" t="n">
        <x:v>2628</x:v>
      </x:c>
      <x:c r="H670" s="8" t="n">
        <x:v>2943</x:v>
      </x:c>
    </x:row>
    <x:row r="671">
      <x:c r="A671" s="2" t="str">
        <x:v>561591</x:v>
      </x:c>
      <x:c r="B671" s="2" t="str">
        <x:v>Convention and Visitors Bureaus</x:v>
      </x:c>
      <x:c r="C671" s="8" t="n">
        <x:v>735</x:v>
      </x:c>
      <x:c r="D671" s="8" t="n">
        <x:v>759</x:v>
      </x:c>
      <x:c r="E671" s="8" t="n">
        <x:v>1653</x:v>
      </x:c>
      <x:c r="F671" s="8" t="n">
        <x:v>629</x:v>
      </x:c>
      <x:c r="G671" s="8" t="n">
        <x:v>719</x:v>
      </x:c>
      <x:c r="H671" s="8" t="n">
        <x:v>779</x:v>
      </x:c>
    </x:row>
    <x:row r="672">
      <x:c r="A672" s="2" t="str">
        <x:v>561599</x:v>
      </x:c>
      <x:c r="B672" s="2" t="str">
        <x:v>All Other Travel Arrangement and Reservation Services</x:v>
      </x:c>
      <x:c r="C672" s="8" t="n">
        <x:v>7942</x:v>
      </x:c>
      <x:c r="D672" s="8" t="n">
        <x:v>8056</x:v>
      </x:c>
      <x:c r="E672" s="8" t="n">
        <x:v>8207</x:v>
      </x:c>
      <x:c r="F672" s="8" t="n">
        <x:v>9208</x:v>
      </x:c>
      <x:c r="G672" s="8" t="n">
        <x:v>9334</x:v>
      </x:c>
      <x:c r="H672" s="8" t="n">
        <x:v>9428</x:v>
      </x:c>
    </x:row>
    <x:row r="673">
      <x:c r="A673" s="2" t="str">
        <x:v>561611</x:v>
      </x:c>
      <x:c r="B673" s="2" t="str">
        <x:v>Investigation and Personal Background Check Services</x:v>
      </x:c>
      <x:c r="C673" s="8" t="n">
        <x:v>4628</x:v>
      </x:c>
      <x:c r="D673" s="8" t="n">
        <x:v>4939</x:v>
      </x:c>
      <x:c r="E673" s="8" t="n">
        <x:v>5372</x:v>
      </x:c>
      <x:c r="F673" s="8" t="n">
        <x:v>5180</x:v>
      </x:c>
      <x:c r="G673" s="8" t="n">
        <x:v>5170</x:v>
      </x:c>
      <x:c r="H673" s="8" t="n">
        <x:v>4984</x:v>
      </x:c>
    </x:row>
    <x:row r="674">
      <x:c r="A674" s="2" t="str">
        <x:v>561612</x:v>
      </x:c>
      <x:c r="B674" s="2" t="str">
        <x:v>Security Guards and Patrol Services</x:v>
      </x:c>
      <x:c r="C674" s="8" t="n">
        <x:v>118081</x:v>
      </x:c>
      <x:c r="D674" s="8" t="n">
        <x:v>124620</x:v>
      </x:c>
      <x:c r="E674" s="8" t="n">
        <x:v>122767</x:v>
      </x:c>
      <x:c r="F674" s="8" t="n">
        <x:v>129965</x:v>
      </x:c>
      <x:c r="G674" s="8" t="n">
        <x:v>138234</x:v>
      </x:c>
      <x:c r="H674" s="8" t="n">
        <x:v>142901</x:v>
      </x:c>
    </x:row>
    <x:row r="675">
      <x:c r="A675" s="2" t="str">
        <x:v>561613</x:v>
      </x:c>
      <x:c r="B675" s="2" t="str">
        <x:v>Armored Car Services</x:v>
      </x:c>
      <x:c r="C675" s="8" t="n">
        <x:v>3756</x:v>
      </x:c>
      <x:c r="D675" s="8" t="n">
        <x:v>3836</x:v>
      </x:c>
      <x:c r="E675" s="8" t="n">
        <x:v>3672</x:v>
      </x:c>
      <x:c r="F675" s="8" t="n">
        <x:v>3195</x:v>
      </x:c>
      <x:c r="G675" s="8" t="n">
        <x:v>3041</x:v>
      </x:c>
      <x:c r="H675" s="8" t="n">
        <x:v>2500</x:v>
      </x:c>
    </x:row>
    <x:row r="676">
      <x:c r="A676" s="2" t="str">
        <x:v>561621</x:v>
      </x:c>
      <x:c r="B676" s="2" t="str">
        <x:v>Security Systems Services (except Locksmiths)</x:v>
      </x:c>
      <x:c r="C676" s="8" t="n">
        <x:v>13816</x:v>
      </x:c>
      <x:c r="D676" s="8" t="n">
        <x:v>14321</x:v>
      </x:c>
      <x:c r="E676" s="8" t="n">
        <x:v>14908</x:v>
      </x:c>
      <x:c r="F676" s="8" t="n">
        <x:v>16725</x:v>
      </x:c>
      <x:c r="G676" s="8" t="n">
        <x:v>17422</x:v>
      </x:c>
      <x:c r="H676" s="8" t="n">
        <x:v>14511</x:v>
      </x:c>
    </x:row>
    <x:row r="677">
      <x:c r="A677" s="2" t="str">
        <x:v>561622</x:v>
      </x:c>
      <x:c r="B677" s="2" t="str">
        <x:v>Locksmiths</x:v>
      </x:c>
      <x:c r="C677" s="8" t="n">
        <x:v>2210</x:v>
      </x:c>
      <x:c r="D677" s="8" t="n">
        <x:v>2213</x:v>
      </x:c>
      <x:c r="E677" s="8" t="n">
        <x:v>2235</x:v>
      </x:c>
      <x:c r="F677" s="8" t="n">
        <x:v>2242</x:v>
      </x:c>
      <x:c r="G677" s="8" t="n">
        <x:v>2304</x:v>
      </x:c>
      <x:c r="H677" s="8" t="n">
        <x:v>2169</x:v>
      </x:c>
    </x:row>
    <x:row r="678">
      <x:c r="A678" s="2" t="str">
        <x:v>561710</x:v>
      </x:c>
      <x:c r="B678" s="2" t="str">
        <x:v>Exterminating and Pest Control Services</x:v>
      </x:c>
      <x:c r="C678" s="8" t="n">
        <x:v>15661</x:v>
      </x:c>
      <x:c r="D678" s="8" t="n">
        <x:v>16499</x:v>
      </x:c>
      <x:c r="E678" s="8" t="n">
        <x:v>16471</x:v>
      </x:c>
      <x:c r="F678" s="8" t="n">
        <x:v>17503</x:v>
      </x:c>
      <x:c r="G678" s="8" t="n">
        <x:v>16870</x:v>
      </x:c>
      <x:c r="H678" s="8" t="n">
        <x:v>17940</x:v>
      </x:c>
    </x:row>
    <x:row r="679">
      <x:c r="A679" s="2" t="str">
        <x:v>561720</x:v>
      </x:c>
      <x:c r="B679" s="2" t="str">
        <x:v>Janitorial Services</x:v>
      </x:c>
      <x:c r="C679" s="8" t="n">
        <x:v>109452</x:v>
      </x:c>
      <x:c r="D679" s="8" t="n">
        <x:v>111637</x:v>
      </x:c>
      <x:c r="E679" s="8" t="n">
        <x:v>115740</x:v>
      </x:c>
      <x:c r="F679" s="8" t="n">
        <x:v>118377</x:v>
      </x:c>
      <x:c r="G679" s="8" t="n">
        <x:v>117779</x:v>
      </x:c>
      <x:c r="H679" s="8" t="n">
        <x:v>113137</x:v>
      </x:c>
    </x:row>
    <x:row r="680">
      <x:c r="A680" s="2" t="str">
        <x:v>561730</x:v>
      </x:c>
      <x:c r="B680" s="2" t="str">
        <x:v>Landscaping Services</x:v>
      </x:c>
      <x:c r="C680" s="8" t="n">
        <x:v>88342</x:v>
      </x:c>
      <x:c r="D680" s="8" t="n">
        <x:v>92185</x:v>
      </x:c>
      <x:c r="E680" s="8" t="n">
        <x:v>92990</x:v>
      </x:c>
      <x:c r="F680" s="8" t="n">
        <x:v>102149</x:v>
      </x:c>
      <x:c r="G680" s="8" t="n">
        <x:v>100227</x:v>
      </x:c>
      <x:c r="H680" s="8" t="n">
        <x:v>103362</x:v>
      </x:c>
    </x:row>
    <x:row r="681">
      <x:c r="A681" s="2" t="str">
        <x:v>561740</x:v>
      </x:c>
      <x:c r="B681" s="2" t="str">
        <x:v>Carpet and Upholstery Cleaning Services</x:v>
      </x:c>
      <x:c r="C681" s="8" t="n">
        <x:v>3938</x:v>
      </x:c>
      <x:c r="D681" s="8" t="n">
        <x:v>4287</x:v>
      </x:c>
      <x:c r="E681" s="8" t="n">
        <x:v>4092</x:v>
      </x:c>
      <x:c r="F681" s="8" t="n">
        <x:v>3836</x:v>
      </x:c>
      <x:c r="G681" s="8" t="n">
        <x:v>3685</x:v>
      </x:c>
      <x:c r="H681" s="8" t="n">
        <x:v>3090</x:v>
      </x:c>
    </x:row>
    <x:row r="682">
      <x:c r="A682" s="2" t="str">
        <x:v>561790</x:v>
      </x:c>
      <x:c r="B682" s="2" t="str">
        <x:v>Other Services to Buildings and Dwellings</x:v>
      </x:c>
      <x:c r="C682" s="8" t="n">
        <x:v>9343</x:v>
      </x:c>
      <x:c r="D682" s="8" t="n">
        <x:v>10123</x:v>
      </x:c>
      <x:c r="E682" s="8" t="n">
        <x:v>10457</x:v>
      </x:c>
      <x:c r="F682" s="8" t="n">
        <x:v>12150</x:v>
      </x:c>
      <x:c r="G682" s="8" t="n">
        <x:v>12752</x:v>
      </x:c>
      <x:c r="H682" s="8" t="n">
        <x:v>13116</x:v>
      </x:c>
    </x:row>
    <x:row r="683">
      <x:c r="A683" s="2" t="str">
        <x:v>561910</x:v>
      </x:c>
      <x:c r="B683" s="2" t="str">
        <x:v>Packaging and Labeling Services</x:v>
      </x:c>
      <x:c r="C683" s="8" t="n">
        <x:v>6999</x:v>
      </x:c>
      <x:c r="D683" s="8" t="n">
        <x:v>7113</x:v>
      </x:c>
      <x:c r="E683" s="8" t="n">
        <x:v>7774</x:v>
      </x:c>
      <x:c r="F683" s="8" t="n">
        <x:v>7975</x:v>
      </x:c>
      <x:c r="G683" s="8" t="n">
        <x:v>7784</x:v>
      </x:c>
      <x:c r="H683" s="8" t="n">
        <x:v>6900</x:v>
      </x:c>
    </x:row>
    <x:row r="684">
      <x:c r="A684" s="2" t="str">
        <x:v>561920</x:v>
      </x:c>
      <x:c r="B684" s="2" t="str">
        <x:v>Convention and Trade Show Organizers</x:v>
      </x:c>
      <x:c r="C684" s="8" t="n">
        <x:v>8924</x:v>
      </x:c>
      <x:c r="D684" s="8" t="n">
        <x:v>9313</x:v>
      </x:c>
      <x:c r="E684" s="8" t="n">
        <x:v>9892</x:v>
      </x:c>
      <x:c r="F684" s="8" t="n">
        <x:v>6994</x:v>
      </x:c>
      <x:c r="G684" s="8" t="n">
        <x:v>7903</x:v>
      </x:c>
      <x:c r="H684" s="8" t="n">
        <x:v>8345</x:v>
      </x:c>
    </x:row>
    <x:row r="685">
      <x:c r="A685" s="2" t="str">
        <x:v>561990</x:v>
      </x:c>
      <x:c r="B685" s="2" t="str">
        <x:v>All Other Support Services</x:v>
      </x:c>
      <x:c r="C685" s="8" t="n">
        <x:v>15326</x:v>
      </x:c>
      <x:c r="D685" s="8" t="n">
        <x:v>16002</x:v>
      </x:c>
      <x:c r="E685" s="8" t="n">
        <x:v>17030</x:v>
      </x:c>
      <x:c r="F685" s="8" t="n">
        <x:v>17545</x:v>
      </x:c>
      <x:c r="G685" s="8" t="n">
        <x:v>17318</x:v>
      </x:c>
      <x:c r="H685" s="8" t="n">
        <x:v>15486</x:v>
      </x:c>
    </x:row>
    <x:row r="686">
      <x:c r="A686" s="2" t="str">
        <x:v>562111</x:v>
      </x:c>
      <x:c r="B686" s="2" t="str">
        <x:v>Solid Waste Collection</x:v>
      </x:c>
      <x:c r="C686" s="8" t="n">
        <x:v>16149</x:v>
      </x:c>
      <x:c r="D686" s="8" t="n">
        <x:v>17040</x:v>
      </x:c>
      <x:c r="E686" s="8" t="n">
        <x:v>17220</x:v>
      </x:c>
      <x:c r="F686" s="8" t="n">
        <x:v>18703</x:v>
      </x:c>
      <x:c r="G686" s="8" t="n">
        <x:v>19928</x:v>
      </x:c>
      <x:c r="H686" s="8" t="n">
        <x:v>21014</x:v>
      </x:c>
    </x:row>
    <x:row r="687">
      <x:c r="A687" s="2" t="str">
        <x:v>562112</x:v>
      </x:c>
      <x:c r="B687" s="2" t="str">
        <x:v>Hazardous Waste Collection</x:v>
      </x:c>
      <x:c r="C687" s="8" t="n">
        <x:v>3694</x:v>
      </x:c>
      <x:c r="D687" s="8" t="n">
        <x:v>4139</x:v>
      </x:c>
      <x:c r="E687" s="8" t="n">
        <x:v>4236</x:v>
      </x:c>
      <x:c r="F687" s="8" t="n">
        <x:v>4218</x:v>
      </x:c>
      <x:c r="G687" s="8" t="n">
        <x:v>4322</x:v>
      </x:c>
      <x:c r="H687" s="8" t="n">
        <x:v>4502</x:v>
      </x:c>
    </x:row>
    <x:row r="688">
      <x:c r="A688" s="2" t="str">
        <x:v>562119</x:v>
      </x:c>
      <x:c r="B688" s="2" t="str">
        <x:v>Other Waste Collection</x:v>
      </x:c>
      <x:c r="C688" s="8" t="n">
        <x:v>1020</x:v>
      </x:c>
      <x:c r="D688" s="8" t="n">
        <x:v>1038</x:v>
      </x:c>
      <x:c r="E688" s="8" t="n">
        <x:v>1087</x:v>
      </x:c>
      <x:c r="F688" s="8" t="n">
        <x:v>1339</x:v>
      </x:c>
      <x:c r="G688" s="8" t="n">
        <x:v>1337</x:v>
      </x:c>
      <x:c r="H688" s="8" t="n">
        <x:v>1352</x:v>
      </x:c>
    </x:row>
    <x:row r="689">
      <x:c r="A689" s="2" t="str">
        <x:v>562211</x:v>
      </x:c>
      <x:c r="B689" s="2" t="str">
        <x:v>Hazardous Waste Treatment and Disposal</x:v>
      </x:c>
      <x:c r="C689" s="8" t="n">
        <x:v>2672</x:v>
      </x:c>
      <x:c r="D689" s="8" t="n">
        <x:v>2785</x:v>
      </x:c>
      <x:c r="E689" s="8" t="n">
        <x:v>2915</x:v>
      </x:c>
      <x:c r="F689" s="8" t="n">
        <x:v>2907</x:v>
      </x:c>
      <x:c r="G689" s="8" t="n">
        <x:v>4285</x:v>
      </x:c>
      <x:c r="H689" s="8" t="n">
        <x:v>4379</x:v>
      </x:c>
    </x:row>
    <x:row r="690">
      <x:c r="A690" s="2" t="str">
        <x:v>562212</x:v>
      </x:c>
      <x:c r="B690" s="2" t="str">
        <x:v>Solid Waste Landfill</x:v>
      </x:c>
      <x:c r="C690" s="8" t="n">
        <x:v>6100</x:v>
      </x:c>
      <x:c r="D690" s="8" t="n">
        <x:v>6298</x:v>
      </x:c>
      <x:c r="E690" s="8" t="n">
        <x:v>6445</x:v>
      </x:c>
      <x:c r="F690" s="8" t="n">
        <x:v>6062</x:v>
      </x:c>
      <x:c r="G690" s="8" t="n">
        <x:v>6087</x:v>
      </x:c>
      <x:c r="H690" s="8" t="n">
        <x:v>5632</x:v>
      </x:c>
    </x:row>
    <x:row r="691">
      <x:c r="A691" s="2" t="str">
        <x:v>562213</x:v>
      </x:c>
      <x:c r="B691" s="2" t="str">
        <x:v>Solid Waste Combustors and Incinerators</x:v>
      </x:c>
      <x:c r="C691" s="8" t="n">
        <x:v>388</x:v>
      </x:c>
      <x:c r="D691" s="8" t="n">
        <x:v>369</x:v>
      </x:c>
      <x:c r="E691" s="8" t="n">
        <x:v>444</x:v>
      </x:c>
      <x:c r="F691" s="8" t="n">
        <x:v>388</x:v>
      </x:c>
      <x:c r="G691" s="8" t="n">
        <x:v>391</x:v>
      </x:c>
      <x:c r="H691" s="8" t="n">
        <x:v>363</x:v>
      </x:c>
    </x:row>
    <x:row r="692">
      <x:c r="A692" s="2" t="str">
        <x:v>562219</x:v>
      </x:c>
      <x:c r="B692" s="2" t="str">
        <x:v>Other Nonhazardous Waste Treatment and Disposal</x:v>
      </x:c>
      <x:c r="C692" s="8" t="n">
        <x:v>1629</x:v>
      </x:c>
      <x:c r="D692" s="8" t="n">
        <x:v>1659</x:v>
      </x:c>
      <x:c r="E692" s="8" t="n">
        <x:v>1555</x:v>
      </x:c>
      <x:c r="F692" s="8" t="n">
        <x:v>1649</x:v>
      </x:c>
      <x:c r="G692" s="8" t="n">
        <x:v>1666</x:v>
      </x:c>
      <x:c r="H692" s="8" t="n">
        <x:v>1652</x:v>
      </x:c>
    </x:row>
    <x:row r="693">
      <x:c r="A693" s="2" t="str">
        <x:v>562910</x:v>
      </x:c>
      <x:c r="B693" s="2" t="str">
        <x:v>Remediation Services</x:v>
      </x:c>
      <x:c r="C693" s="8" t="n">
        <x:v>9912</x:v>
      </x:c>
      <x:c r="D693" s="8" t="n">
        <x:v>10463</x:v>
      </x:c>
      <x:c r="E693" s="8" t="n">
        <x:v>10908</x:v>
      </x:c>
      <x:c r="F693" s="8" t="n">
        <x:v>11436</x:v>
      </x:c>
      <x:c r="G693" s="8" t="n">
        <x:v>11596</x:v>
      </x:c>
      <x:c r="H693" s="8" t="n">
        <x:v>12331</x:v>
      </x:c>
    </x:row>
    <x:row r="694">
      <x:c r="A694" s="2" t="str">
        <x:v>562920</x:v>
      </x:c>
      <x:c r="B694" s="2" t="str">
        <x:v>Materials Recovery Facilities</x:v>
      </x:c>
      <x:c r="C694" s="8" t="n">
        <x:v>2284</x:v>
      </x:c>
      <x:c r="D694" s="8" t="n">
        <x:v>2363</x:v>
      </x:c>
      <x:c r="E694" s="8" t="n">
        <x:v>2359</x:v>
      </x:c>
      <x:c r="F694" s="8" t="n">
        <x:v>2861</x:v>
      </x:c>
      <x:c r="G694" s="8" t="n">
        <x:v>3416</x:v>
      </x:c>
      <x:c r="H694" s="8" t="n">
        <x:v>4082</x:v>
      </x:c>
    </x:row>
    <x:row r="695">
      <x:c r="A695" s="2" t="str">
        <x:v>562991</x:v>
      </x:c>
      <x:c r="B695" s="2" t="str">
        <x:v>Septic Tank and Related Services</x:v>
      </x:c>
      <x:c r="C695" s="8" t="n">
        <x:v>3260</x:v>
      </x:c>
      <x:c r="D695" s="8" t="n">
        <x:v>3637</x:v>
      </x:c>
      <x:c r="E695" s="8" t="n">
        <x:v>3755</x:v>
      </x:c>
      <x:c r="F695" s="8" t="n">
        <x:v>4135</x:v>
      </x:c>
      <x:c r="G695" s="8" t="n">
        <x:v>4053</x:v>
      </x:c>
      <x:c r="H695" s="8" t="n">
        <x:v>3975</x:v>
      </x:c>
    </x:row>
    <x:row r="696">
      <x:c r="A696" s="2" t="str">
        <x:v>562998</x:v>
      </x:c>
      <x:c r="B696" s="2" t="str">
        <x:v>All Other Miscellaneous Waste Management Services</x:v>
      </x:c>
      <x:c r="C696" s="8" t="n">
        <x:v>1383</x:v>
      </x:c>
      <x:c r="D696" s="8" t="n">
        <x:v>1471</x:v>
      </x:c>
      <x:c r="E696" s="8" t="n">
        <x:v>1622</x:v>
      </x:c>
      <x:c r="F696" s="8" t="n">
        <x:v>1832</x:v>
      </x:c>
      <x:c r="G696" s="8" t="n">
        <x:v>1921</x:v>
      </x:c>
      <x:c r="H696" s="8" t="n">
        <x:v>2206</x:v>
      </x:c>
    </x:row>
    <x:row r="697">
      <x:c r="A697" s="2" t="str">
        <x:v>611110</x:v>
      </x:c>
      <x:c r="B697" s="2" t="str">
        <x:v>Elementary and Secondary Schools</x:v>
      </x:c>
      <x:c r="C697" s="8" t="n">
        <x:v>81158</x:v>
      </x:c>
      <x:c r="D697" s="8" t="n">
        <x:v>84860</x:v>
      </x:c>
      <x:c r="E697" s="8" t="n">
        <x:v>88137</x:v>
      </x:c>
      <x:c r="F697" s="8" t="n">
        <x:v>88884</x:v>
      </x:c>
      <x:c r="G697" s="8" t="n">
        <x:v>91995</x:v>
      </x:c>
      <x:c r="H697" s="8" t="n">
        <x:v>100346</x:v>
      </x:c>
    </x:row>
    <x:row r="698">
      <x:c r="A698" s="2" t="str">
        <x:v>611210</x:v>
      </x:c>
      <x:c r="B698" s="2" t="str">
        <x:v>Junior Colleges</x:v>
      </x:c>
      <x:c r="C698" s="8" t="n">
        <x:v>2488</x:v>
      </x:c>
      <x:c r="D698" s="8" t="n">
        <x:v>2520</x:v>
      </x:c>
      <x:c r="E698" s="8" t="n">
        <x:v>2724</x:v>
      </x:c>
      <x:c r="F698" s="8" t="n">
        <x:v>2710</x:v>
      </x:c>
      <x:c r="G698" s="8" t="n">
        <x:v>2536</x:v>
      </x:c>
      <x:c r="H698" s="8" t="n">
        <x:v>1324</x:v>
      </x:c>
    </x:row>
    <x:row r="699">
      <x:c r="A699" s="2" t="str">
        <x:v>611310</x:v>
      </x:c>
      <x:c r="B699" s="2" t="str">
        <x:v>Colleges, Universities, and Professional Schools</x:v>
      </x:c>
      <x:c r="C699" s="8" t="n">
        <x:v>124133</x:v>
      </x:c>
      <x:c r="D699" s="8" t="n">
        <x:v>124978</x:v>
      </x:c>
      <x:c r="E699" s="8" t="n">
        <x:v>125773</x:v>
      </x:c>
      <x:c r="F699" s="8" t="n">
        <x:v>125751</x:v>
      </x:c>
      <x:c r="G699" s="8" t="n">
        <x:v>124357</x:v>
      </x:c>
      <x:c r="H699" s="8" t="n">
        <x:v>126129</x:v>
      </x:c>
    </x:row>
    <x:row r="700">
      <x:c r="A700" s="2" t="str">
        <x:v>611410</x:v>
      </x:c>
      <x:c r="B700" s="2" t="str">
        <x:v>Business and Secretarial Schools</x:v>
      </x:c>
      <x:c r="C700" s="8" t="n">
        <x:v>347</x:v>
      </x:c>
      <x:c r="D700" s="8" t="n">
        <x:v>413</x:v>
      </x:c>
      <x:c r="E700" s="8" t="n">
        <x:v>392</x:v>
      </x:c>
      <x:c r="F700" s="8" t="n">
        <x:v>484</x:v>
      </x:c>
      <x:c r="G700" s="8" t="n">
        <x:v>439</x:v>
      </x:c>
      <x:c r="H700" s="8" t="n">
        <x:v>339</x:v>
      </x:c>
    </x:row>
    <x:row r="701">
      <x:c r="A701" s="2" t="str">
        <x:v>611420</x:v>
      </x:c>
      <x:c r="B701" s="2" t="str">
        <x:v>Computer Training</x:v>
      </x:c>
      <x:c r="C701" s="8" t="n">
        <x:v>1363</x:v>
      </x:c>
      <x:c r="D701" s="8" t="n">
        <x:v>1863</x:v>
      </x:c>
      <x:c r="E701" s="8" t="n">
        <x:v>2077</x:v>
      </x:c>
      <x:c r="F701" s="8" t="n">
        <x:v>2680</x:v>
      </x:c>
      <x:c r="G701" s="8" t="n">
        <x:v>2554</x:v>
      </x:c>
      <x:c r="H701" s="8" t="n">
        <x:v>1898</x:v>
      </x:c>
    </x:row>
    <x:row r="702">
      <x:c r="A702" s="2" t="str">
        <x:v>611430</x:v>
      </x:c>
      <x:c r="B702" s="2" t="str">
        <x:v>Professional and Management Development Training</x:v>
      </x:c>
      <x:c r="C702" s="8" t="n">
        <x:v>4741</x:v>
      </x:c>
      <x:c r="D702" s="8" t="n">
        <x:v>5178</x:v>
      </x:c>
      <x:c r="E702" s="8" t="n">
        <x:v>5008</x:v>
      </x:c>
      <x:c r="F702" s="8" t="n">
        <x:v>6047</x:v>
      </x:c>
      <x:c r="G702" s="8" t="n">
        <x:v>6470</x:v>
      </x:c>
      <x:c r="H702" s="8" t="n">
        <x:v>6416</x:v>
      </x:c>
    </x:row>
    <x:row r="703">
      <x:c r="A703" s="2" t="str">
        <x:v>611511</x:v>
      </x:c>
      <x:c r="B703" s="2" t="str">
        <x:v>Cosmetology and Barber Schools</x:v>
      </x:c>
      <x:c r="C703" s="8" t="n">
        <x:v>2195</x:v>
      </x:c>
      <x:c r="D703" s="8" t="n">
        <x:v>2067</x:v>
      </x:c>
      <x:c r="E703" s="8" t="n">
        <x:v>2136</x:v>
      </x:c>
      <x:c r="F703" s="8" t="n">
        <x:v>2143</x:v>
      </x:c>
      <x:c r="G703" s="8" t="n">
        <x:v>2578</x:v>
      </x:c>
      <x:c r="H703" s="8" t="n">
        <x:v>2260</x:v>
      </x:c>
    </x:row>
    <x:row r="704">
      <x:c r="A704" s="2" t="str">
        <x:v>611512</x:v>
      </x:c>
      <x:c r="B704" s="2" t="str">
        <x:v>Flight Training</x:v>
      </x:c>
      <x:c r="C704" s="8" t="n">
        <x:v>1305</x:v>
      </x:c>
      <x:c r="D704" s="8" t="n">
        <x:v>1291</x:v>
      </x:c>
      <x:c r="E704" s="8" t="n">
        <x:v>1444</x:v>
      </x:c>
      <x:c r="F704" s="8" t="n">
        <x:v>1496</x:v>
      </x:c>
      <x:c r="G704" s="8" t="n">
        <x:v>1454</x:v>
      </x:c>
      <x:c r="H704" s="8" t="n">
        <x:v>2263</x:v>
      </x:c>
    </x:row>
    <x:row r="705">
      <x:c r="A705" s="2" t="str">
        <x:v>611513</x:v>
      </x:c>
      <x:c r="B705" s="2" t="str">
        <x:v>Apprenticeship Training</x:v>
      </x:c>
      <x:c r="C705" s="8" t="n">
        <x:v>3041</x:v>
      </x:c>
      <x:c r="D705" s="8" t="n">
        <x:v>3259</x:v>
      </x:c>
      <x:c r="E705" s="8" t="n">
        <x:v>3653</x:v>
      </x:c>
      <x:c r="F705" s="8" t="n">
        <x:v>2586</x:v>
      </x:c>
      <x:c r="G705" s="8" t="n">
        <x:v>2629</x:v>
      </x:c>
      <x:c r="H705" s="8" t="n">
        <x:v>2937</x:v>
      </x:c>
    </x:row>
    <x:row r="706">
      <x:c r="A706" s="2" t="str">
        <x:v>611519</x:v>
      </x:c>
      <x:c r="B706" s="2" t="str">
        <x:v>Other Technical and Trade Schools</x:v>
      </x:c>
      <x:c r="C706" s="8" t="n">
        <x:v>9996</x:v>
      </x:c>
      <x:c r="D706" s="8" t="n">
        <x:v>10483</x:v>
      </x:c>
      <x:c r="E706" s="8" t="n">
        <x:v>10462</x:v>
      </x:c>
      <x:c r="F706" s="8" t="n">
        <x:v>9652</x:v>
      </x:c>
      <x:c r="G706" s="8" t="n">
        <x:v>9732</x:v>
      </x:c>
      <x:c r="H706" s="8" t="n">
        <x:v>11267</x:v>
      </x:c>
    </x:row>
    <x:row r="707">
      <x:c r="A707" s="2" t="str">
        <x:v>611610</x:v>
      </x:c>
      <x:c r="B707" s="2" t="str">
        <x:v>Fine Arts Schools</x:v>
      </x:c>
      <x:c r="C707" s="8" t="n">
        <x:v>13304</x:v>
      </x:c>
      <x:c r="D707" s="8" t="n">
        <x:v>14370</x:v>
      </x:c>
      <x:c r="E707" s="8" t="n">
        <x:v>16105</x:v>
      </x:c>
      <x:c r="F707" s="8" t="n">
        <x:v>18045</x:v>
      </x:c>
      <x:c r="G707" s="8" t="n">
        <x:v>20445</x:v>
      </x:c>
      <x:c r="H707" s="8" t="n">
        <x:v>24003</x:v>
      </x:c>
    </x:row>
    <x:row r="708">
      <x:c r="A708" s="2" t="str">
        <x:v>611620</x:v>
      </x:c>
      <x:c r="B708" s="2" t="str">
        <x:v>Sports and Recreation Instruction</x:v>
      </x:c>
      <x:c r="C708" s="8" t="n">
        <x:v>15335</x:v>
      </x:c>
      <x:c r="D708" s="8" t="n">
        <x:v>16298</x:v>
      </x:c>
      <x:c r="E708" s="8" t="n">
        <x:v>17307</x:v>
      </x:c>
      <x:c r="F708" s="8" t="n">
        <x:v>19065</x:v>
      </x:c>
      <x:c r="G708" s="8" t="n">
        <x:v>22669</x:v>
      </x:c>
      <x:c r="H708" s="8" t="n">
        <x:v>25666</x:v>
      </x:c>
    </x:row>
    <x:row r="709">
      <x:c r="A709" s="2" t="str">
        <x:v>611630</x:v>
      </x:c>
      <x:c r="B709" s="2" t="str">
        <x:v>Language Schools</x:v>
      </x:c>
      <x:c r="C709" s="8" t="n">
        <x:v>4358</x:v>
      </x:c>
      <x:c r="D709" s="8" t="n">
        <x:v>4400</x:v>
      </x:c>
      <x:c r="E709" s="8" t="n">
        <x:v>4463</x:v>
      </x:c>
      <x:c r="F709" s="8" t="n">
        <x:v>3209</x:v>
      </x:c>
      <x:c r="G709" s="8" t="n">
        <x:v>3472</x:v>
      </x:c>
      <x:c r="H709" s="8" t="n">
        <x:v>3378</x:v>
      </x:c>
    </x:row>
    <x:row r="710">
      <x:c r="A710" s="2" t="str">
        <x:v>611691</x:v>
      </x:c>
      <x:c r="B710" s="2" t="str">
        <x:v>Exam Preparation and Tutoring</x:v>
      </x:c>
      <x:c r="C710" s="8" t="n">
        <x:v>21443</x:v>
      </x:c>
      <x:c r="D710" s="8" t="n">
        <x:v>21940</x:v>
      </x:c>
      <x:c r="E710" s="8" t="n">
        <x:v>22826</x:v>
      </x:c>
      <x:c r="F710" s="8" t="n">
        <x:v>21455</x:v>
      </x:c>
      <x:c r="G710" s="8" t="n">
        <x:v>25041</x:v>
      </x:c>
      <x:c r="H710" s="8" t="n">
        <x:v>24250</x:v>
      </x:c>
    </x:row>
    <x:row r="711">
      <x:c r="A711" s="2" t="str">
        <x:v>611692</x:v>
      </x:c>
      <x:c r="B711" s="2" t="str">
        <x:v>Automobile Driving Schools</x:v>
      </x:c>
      <x:c r="C711" s="8" t="n">
        <x:v>1707</x:v>
      </x:c>
      <x:c r="D711" s="8" t="n">
        <x:v>1693</x:v>
      </x:c>
      <x:c r="E711" s="8" t="n">
        <x:v>1653</x:v>
      </x:c>
      <x:c r="F711" s="8" t="n">
        <x:v>1669</x:v>
      </x:c>
      <x:c r="G711" s="8" t="n">
        <x:v>1659</x:v>
      </x:c>
      <x:c r="H711" s="8" t="n">
        <x:v>1899</x:v>
      </x:c>
    </x:row>
    <x:row r="712">
      <x:c r="A712" s="2" t="str">
        <x:v>611699</x:v>
      </x:c>
      <x:c r="B712" s="2" t="str">
        <x:v>All Other Miscellaneous Schools and Instruction</x:v>
      </x:c>
      <x:c r="C712" s="8" t="n">
        <x:v>11031</x:v>
      </x:c>
      <x:c r="D712" s="8" t="n">
        <x:v>12278</x:v>
      </x:c>
      <x:c r="E712" s="8" t="n">
        <x:v>12834</x:v>
      </x:c>
      <x:c r="F712" s="8" t="n">
        <x:v>10450</x:v>
      </x:c>
      <x:c r="G712" s="8" t="n">
        <x:v>12879</x:v>
      </x:c>
      <x:c r="H712" s="8" t="n">
        <x:v>14912</x:v>
      </x:c>
    </x:row>
    <x:row r="713">
      <x:c r="A713" s="2" t="str">
        <x:v>611710</x:v>
      </x:c>
      <x:c r="B713" s="2" t="str">
        <x:v>Educational Support Services</x:v>
      </x:c>
      <x:c r="C713" s="8" t="n">
        <x:v>18445</x:v>
      </x:c>
      <x:c r="D713" s="8" t="n">
        <x:v>20922</x:v>
      </x:c>
      <x:c r="E713" s="8" t="n">
        <x:v>23027</x:v>
      </x:c>
      <x:c r="F713" s="8" t="n">
        <x:v>24688</x:v>
      </x:c>
      <x:c r="G713" s="8" t="n">
        <x:v>28830</x:v>
      </x:c>
      <x:c r="H713" s="8" t="n">
        <x:v>42709</x:v>
      </x:c>
    </x:row>
    <x:row r="714">
      <x:c r="A714" s="2" t="str">
        <x:v>621111</x:v>
      </x:c>
      <x:c r="B714" s="2" t="str">
        <x:v>Offices of Physicians (except Mental Health Specialists)</x:v>
      </x:c>
      <x:c r="C714" s="8" t="n">
        <x:v>229842</x:v>
      </x:c>
      <x:c r="D714" s="8" t="n">
        <x:v>231131</x:v>
      </x:c>
      <x:c r="E714" s="8" t="n">
        <x:v>232300</x:v>
      </x:c>
      <x:c r="F714" s="8" t="n">
        <x:v>237108</x:v>
      </x:c>
      <x:c r="G714" s="8" t="n">
        <x:v>246933</x:v>
      </x:c>
      <x:c r="H714" s="8" t="n">
        <x:v>251890</x:v>
      </x:c>
    </x:row>
    <x:row r="715">
      <x:c r="A715" s="2" t="str">
        <x:v>621112</x:v>
      </x:c>
      <x:c r="B715" s="2" t="str">
        <x:v>Offices of Physicians, Mental Health Specialists</x:v>
      </x:c>
      <x:c r="C715" s="8" t="n">
        <x:v>7295</x:v>
      </x:c>
      <x:c r="D715" s="8" t="n">
        <x:v>7627</x:v>
      </x:c>
      <x:c r="E715" s="8" t="n">
        <x:v>8318</x:v>
      </x:c>
      <x:c r="F715" s="8" t="n">
        <x:v>9719</x:v>
      </x:c>
      <x:c r="G715" s="8" t="n">
        <x:v>10108</x:v>
      </x:c>
      <x:c r="H715" s="8" t="n">
        <x:v>12016</x:v>
      </x:c>
    </x:row>
    <x:row r="716">
      <x:c r="A716" s="2" t="str">
        <x:v>621210</x:v>
      </x:c>
      <x:c r="B716" s="2" t="str">
        <x:v>Offices of Dentists</x:v>
      </x:c>
      <x:c r="C716" s="8" t="n">
        <x:v>126376</x:v>
      </x:c>
      <x:c r="D716" s="8" t="n">
        <x:v>129810</x:v>
      </x:c>
      <x:c r="E716" s="8" t="n">
        <x:v>134362</x:v>
      </x:c>
      <x:c r="F716" s="8" t="n">
        <x:v>135283</x:v>
      </x:c>
      <x:c r="G716" s="8" t="n">
        <x:v>137276</x:v>
      </x:c>
      <x:c r="H716" s="8" t="n">
        <x:v>140024</x:v>
      </x:c>
    </x:row>
    <x:row r="717">
      <x:c r="A717" s="2" t="str">
        <x:v>621310</x:v>
      </x:c>
      <x:c r="B717" s="2" t="str">
        <x:v>Offices of Chiropractors</x:v>
      </x:c>
      <x:c r="C717" s="8" t="n">
        <x:v>11962</x:v>
      </x:c>
      <x:c r="D717" s="8" t="n">
        <x:v>11611</x:v>
      </x:c>
      <x:c r="E717" s="8" t="n">
        <x:v>11877</x:v>
      </x:c>
      <x:c r="F717" s="8" t="n">
        <x:v>12439</x:v>
      </x:c>
      <x:c r="G717" s="8" t="n">
        <x:v>12618</x:v>
      </x:c>
      <x:c r="H717" s="8" t="n">
        <x:v>12896</x:v>
      </x:c>
    </x:row>
    <x:row r="718">
      <x:c r="A718" s="2" t="str">
        <x:v>621320</x:v>
      </x:c>
      <x:c r="B718" s="2" t="str">
        <x:v>Offices of Optometrists</x:v>
      </x:c>
      <x:c r="C718" s="8" t="n">
        <x:v>15557</x:v>
      </x:c>
      <x:c r="D718" s="8" t="n">
        <x:v>15756</x:v>
      </x:c>
      <x:c r="E718" s="8" t="n">
        <x:v>15971</x:v>
      </x:c>
      <x:c r="F718" s="8" t="n">
        <x:v>16192</x:v>
      </x:c>
      <x:c r="G718" s="8" t="n">
        <x:v>16200</x:v>
      </x:c>
      <x:c r="H718" s="8" t="n">
        <x:v>16359</x:v>
      </x:c>
    </x:row>
    <x:row r="719">
      <x:c r="A719" s="2" t="str">
        <x:v>621330</x:v>
      </x:c>
      <x:c r="B719" s="2" t="str">
        <x:v>Offices of Mental Health Practitioners (except Physicians)</x:v>
      </x:c>
      <x:c r="C719" s="8" t="n">
        <x:v>14567</x:v>
      </x:c>
      <x:c r="D719" s="8" t="n">
        <x:v>17303</x:v>
      </x:c>
      <x:c r="E719" s="8" t="n">
        <x:v>20480</x:v>
      </x:c>
      <x:c r="F719" s="8" t="n">
        <x:v>26810</x:v>
      </x:c>
      <x:c r="G719" s="8" t="n">
        <x:v>34525</x:v>
      </x:c>
      <x:c r="H719" s="8" t="n">
        <x:v>61858</x:v>
      </x:c>
    </x:row>
    <x:row r="720">
      <x:c r="A720" s="2" t="str">
        <x:v>621340</x:v>
      </x:c>
      <x:c r="B720" s="2" t="str">
        <x:v>Offices of Physical, Occupational and Speech Therapists, and Audiologists</x:v>
      </x:c>
      <x:c r="C720" s="8" t="n">
        <x:v>35621</x:v>
      </x:c>
      <x:c r="D720" s="8" t="n">
        <x:v>37614</x:v>
      </x:c>
      <x:c r="E720" s="8" t="n">
        <x:v>41781</x:v>
      </x:c>
      <x:c r="F720" s="8" t="n">
        <x:v>46411</x:v>
      </x:c>
      <x:c r="G720" s="8" t="n">
        <x:v>46492</x:v>
      </x:c>
      <x:c r="H720" s="8" t="n">
        <x:v>49457</x:v>
      </x:c>
    </x:row>
    <x:row r="721">
      <x:c r="A721" s="2" t="str">
        <x:v>621391</x:v>
      </x:c>
      <x:c r="B721" s="2" t="str">
        <x:v>Offices of Podiatrists</x:v>
      </x:c>
      <x:c r="C721" s="8" t="n">
        <x:v>2390</x:v>
      </x:c>
      <x:c r="D721" s="8" t="n">
        <x:v>2556</x:v>
      </x:c>
      <x:c r="E721" s="8" t="n">
        <x:v>2537</x:v>
      </x:c>
      <x:c r="F721" s="8" t="n">
        <x:v>2473</x:v>
      </x:c>
      <x:c r="G721" s="8" t="n">
        <x:v>2650</x:v>
      </x:c>
      <x:c r="H721" s="8" t="n">
        <x:v>2676</x:v>
      </x:c>
    </x:row>
    <x:row r="722">
      <x:c r="A722" s="2" t="str">
        <x:v>621399</x:v>
      </x:c>
      <x:c r="B722" s="2" t="str">
        <x:v>Offices of All Other Miscellaneous Health Practitioners</x:v>
      </x:c>
      <x:c r="C722" s="8" t="n">
        <x:v>9274</x:v>
      </x:c>
      <x:c r="D722" s="8" t="n">
        <x:v>9827</x:v>
      </x:c>
      <x:c r="E722" s="8" t="n">
        <x:v>11117</x:v>
      </x:c>
      <x:c r="F722" s="8" t="n">
        <x:v>13498</x:v>
      </x:c>
      <x:c r="G722" s="8" t="n">
        <x:v>13939</x:v>
      </x:c>
      <x:c r="H722" s="8" t="n">
        <x:v>20026</x:v>
      </x:c>
    </x:row>
    <x:row r="723">
      <x:c r="A723" s="2" t="str">
        <x:v>621410</x:v>
      </x:c>
      <x:c r="B723" s="2" t="str">
        <x:v>Family Planning Centers</x:v>
      </x:c>
      <x:c r="C723" s="8" t="n">
        <x:v>5601</x:v>
      </x:c>
      <x:c r="D723" s="8" t="n">
        <x:v>5434</x:v>
      </x:c>
      <x:c r="E723" s="8" t="n">
        <x:v>5510</x:v>
      </x:c>
      <x:c r="F723" s="8" t="n">
        <x:v>6469</x:v>
      </x:c>
      <x:c r="G723" s="8" t="n">
        <x:v>6874</x:v>
      </x:c>
      <x:c r="H723" s="8" t="n">
        <x:v>7774</x:v>
      </x:c>
    </x:row>
    <x:row r="724">
      <x:c r="A724" s="2" t="str">
        <x:v>621420</x:v>
      </x:c>
      <x:c r="B724" s="2" t="str">
        <x:v>Outpatient Mental Health and Substance Abuse Centers</x:v>
      </x:c>
      <x:c r="C724" s="8" t="n">
        <x:v>18743</x:v>
      </x:c>
      <x:c r="D724" s="8" t="n">
        <x:v>20965</x:v>
      </x:c>
      <x:c r="E724" s="8" t="n">
        <x:v>23816</x:v>
      </x:c>
      <x:c r="F724" s="8" t="n">
        <x:v>28190</x:v>
      </x:c>
      <x:c r="G724" s="8" t="n">
        <x:v>30666</x:v>
      </x:c>
      <x:c r="H724" s="8" t="n">
        <x:v>38241</x:v>
      </x:c>
    </x:row>
    <x:row r="725">
      <x:c r="A725" s="2" t="str">
        <x:v>621491</x:v>
      </x:c>
      <x:c r="B725" s="2" t="str">
        <x:v>HMO Medical Centers</x:v>
      </x:c>
      <x:c r="C725" s="8" t="n">
        <x:v>119934</x:v>
      </x:c>
      <x:c r="D725" s="8" t="n">
        <x:v>124107</x:v>
      </x:c>
      <x:c r="E725" s="8" t="n">
        <x:v>128996</x:v>
      </x:c>
      <x:c r="F725" s="8" t="n">
        <x:v>130027</x:v>
      </x:c>
      <x:c r="G725" s="8" t="n">
        <x:v>128547</x:v>
      </x:c>
      <x:c r="H725" s="8" t="n">
        <x:v>160572</x:v>
      </x:c>
    </x:row>
    <x:row r="726">
      <x:c r="A726" s="2" t="str">
        <x:v>621492</x:v>
      </x:c>
      <x:c r="B726" s="2" t="str">
        <x:v>Kidney Dialysis Centers</x:v>
      </x:c>
      <x:c r="C726" s="8" t="n">
        <x:v>17261</x:v>
      </x:c>
      <x:c r="D726" s="8" t="n">
        <x:v>17787</x:v>
      </x:c>
      <x:c r="E726" s="8" t="n">
        <x:v>17557</x:v>
      </x:c>
      <x:c r="F726" s="8" t="n">
        <x:v>17577</x:v>
      </x:c>
      <x:c r="G726" s="8" t="n">
        <x:v>17581</x:v>
      </x:c>
      <x:c r="H726" s="8" t="n">
        <x:v>17523</x:v>
      </x:c>
    </x:row>
    <x:row r="727">
      <x:c r="A727" s="2" t="str">
        <x:v>621493</x:v>
      </x:c>
      <x:c r="B727" s="2" t="str">
        <x:v>Freestanding Ambulatory Surgical and Emergency Centers</x:v>
      </x:c>
      <x:c r="C727" s="8" t="n">
        <x:v>15958</x:v>
      </x:c>
      <x:c r="D727" s="8" t="n">
        <x:v>16764</x:v>
      </x:c>
      <x:c r="E727" s="8" t="n">
        <x:v>17539</x:v>
      </x:c>
      <x:c r="F727" s="8" t="n">
        <x:v>20083</x:v>
      </x:c>
      <x:c r="G727" s="8" t="n">
        <x:v>19103</x:v>
      </x:c>
      <x:c r="H727" s="8" t="n">
        <x:v>19658</x:v>
      </x:c>
    </x:row>
    <x:row r="728">
      <x:c r="A728" s="2" t="str">
        <x:v>621498</x:v>
      </x:c>
      <x:c r="B728" s="2" t="str">
        <x:v>All Other Outpatient Care Centers</x:v>
      </x:c>
      <x:c r="C728" s="8" t="n">
        <x:v>23698</x:v>
      </x:c>
      <x:c r="D728" s="8" t="n">
        <x:v>26725</x:v>
      </x:c>
      <x:c r="E728" s="8" t="n">
        <x:v>30314</x:v>
      </x:c>
      <x:c r="F728" s="8" t="n">
        <x:v>42377</x:v>
      </x:c>
      <x:c r="G728" s="8" t="n">
        <x:v>45510</x:v>
      </x:c>
      <x:c r="H728" s="8" t="n">
        <x:v>66423</x:v>
      </x:c>
    </x:row>
    <x:row r="729">
      <x:c r="A729" s="2" t="str">
        <x:v>621511</x:v>
      </x:c>
      <x:c r="B729" s="2" t="str">
        <x:v>Medical Laboratories</x:v>
      </x:c>
      <x:c r="C729" s="8" t="n">
        <x:v>25705</x:v>
      </x:c>
      <x:c r="D729" s="8" t="n">
        <x:v>26613</x:v>
      </x:c>
      <x:c r="E729" s="8" t="n">
        <x:v>27626</x:v>
      </x:c>
      <x:c r="F729" s="8" t="n">
        <x:v>35491</x:v>
      </x:c>
      <x:c r="G729" s="8" t="n">
        <x:v>32172</x:v>
      </x:c>
      <x:c r="H729" s="8" t="n">
        <x:v>28393</x:v>
      </x:c>
    </x:row>
    <x:row r="730">
      <x:c r="A730" s="2" t="str">
        <x:v>621512</x:v>
      </x:c>
      <x:c r="B730" s="2" t="str">
        <x:v>Diagnostic Imaging Centers</x:v>
      </x:c>
      <x:c r="C730" s="8" t="n">
        <x:v>8967</x:v>
      </x:c>
      <x:c r="D730" s="8" t="n">
        <x:v>8989</x:v>
      </x:c>
      <x:c r="E730" s="8" t="n">
        <x:v>9582</x:v>
      </x:c>
      <x:c r="F730" s="8" t="n">
        <x:v>9847</x:v>
      </x:c>
      <x:c r="G730" s="8" t="n">
        <x:v>10015</x:v>
      </x:c>
      <x:c r="H730" s="8" t="n">
        <x:v>11728</x:v>
      </x:c>
    </x:row>
    <x:row r="731">
      <x:c r="A731" s="2" t="str">
        <x:v>621610</x:v>
      </x:c>
      <x:c r="B731" s="2" t="str">
        <x:v>Home Health Care Services</x:v>
      </x:c>
      <x:c r="C731" s="8" t="n">
        <x:v>80228</x:v>
      </x:c>
      <x:c r="D731" s="8" t="n">
        <x:v>89226</x:v>
      </x:c>
      <x:c r="E731" s="8" t="n">
        <x:v>93627</x:v>
      </x:c>
      <x:c r="F731" s="8" t="n">
        <x:v>108900</x:v>
      </x:c>
      <x:c r="G731" s="8" t="n">
        <x:v>113744</x:v>
      </x:c>
      <x:c r="H731" s="8" t="n">
        <x:v>141542</x:v>
      </x:c>
    </x:row>
    <x:row r="732">
      <x:c r="A732" s="2" t="str">
        <x:v>621910</x:v>
      </x:c>
      <x:c r="B732" s="2" t="str">
        <x:v>Ambulance Services</x:v>
      </x:c>
      <x:c r="C732" s="8" t="n">
        <x:v>20564</x:v>
      </x:c>
      <x:c r="D732" s="8" t="n">
        <x:v>20691</x:v>
      </x:c>
      <x:c r="E732" s="8" t="n">
        <x:v>20680</x:v>
      </x:c>
      <x:c r="F732" s="8" t="n">
        <x:v>19367</x:v>
      </x:c>
      <x:c r="G732" s="8" t="n">
        <x:v>20815</x:v>
      </x:c>
      <x:c r="H732" s="8" t="n">
        <x:v>24145</x:v>
      </x:c>
    </x:row>
    <x:row r="733">
      <x:c r="A733" s="2" t="str">
        <x:v>621991</x:v>
      </x:c>
      <x:c r="B733" s="2" t="str">
        <x:v>Blood and Organ Banks</x:v>
      </x:c>
      <x:c r="C733" s="8" t="n">
        <x:v>3898</x:v>
      </x:c>
      <x:c r="D733" s="8" t="n">
        <x:v>3832</x:v>
      </x:c>
      <x:c r="E733" s="8" t="n">
        <x:v>4524</x:v>
      </x:c>
      <x:c r="F733" s="8" t="n">
        <x:v>5035</x:v>
      </x:c>
      <x:c r="G733" s="8" t="n">
        <x:v>5713</x:v>
      </x:c>
      <x:c r="H733" s="8" t="n">
        <x:v>5822</x:v>
      </x:c>
    </x:row>
    <x:row r="734">
      <x:c r="A734" s="2" t="str">
        <x:v>621999</x:v>
      </x:c>
      <x:c r="B734" s="2" t="str">
        <x:v>All Other Miscellaneous Ambulatory Health Care Services</x:v>
      </x:c>
      <x:c r="C734" s="8" t="n">
        <x:v>4236</x:v>
      </x:c>
      <x:c r="D734" s="8" t="n">
        <x:v>4221</x:v>
      </x:c>
      <x:c r="E734" s="8" t="n">
        <x:v>4706</x:v>
      </x:c>
      <x:c r="F734" s="8" t="n">
        <x:v>6287</x:v>
      </x:c>
      <x:c r="G734" s="8" t="n">
        <x:v>7785</x:v>
      </x:c>
      <x:c r="H734" s="8" t="n">
        <x:v>9980</x:v>
      </x:c>
    </x:row>
    <x:row r="735">
      <x:c r="A735" s="2" t="str">
        <x:v>622110</x:v>
      </x:c>
      <x:c r="B735" s="2" t="str">
        <x:v>General Medical and Surgical Hospitals</x:v>
      </x:c>
      <x:c r="C735" s="8" t="n">
        <x:v>370749</x:v>
      </x:c>
      <x:c r="D735" s="8" t="n">
        <x:v>376663</x:v>
      </x:c>
      <x:c r="E735" s="8" t="n">
        <x:v>379687</x:v>
      </x:c>
      <x:c r="F735" s="8" t="n">
        <x:v>381828</x:v>
      </x:c>
      <x:c r="G735" s="8" t="n">
        <x:v>380282</x:v>
      </x:c>
      <x:c r="H735" s="8" t="n">
        <x:v>393706</x:v>
      </x:c>
    </x:row>
    <x:row r="736">
      <x:c r="A736" s="2" t="str">
        <x:v>622210</x:v>
      </x:c>
      <x:c r="B736" s="2" t="str">
        <x:v>Psychiatric and Substance Abuse Hospitals</x:v>
      </x:c>
      <x:c r="C736" s="8" t="n">
        <x:v>8011</x:v>
      </x:c>
      <x:c r="D736" s="8" t="n">
        <x:v>8329</x:v>
      </x:c>
      <x:c r="E736" s="8" t="n">
        <x:v>8262</x:v>
      </x:c>
      <x:c r="F736" s="8" t="n">
        <x:v>8307</x:v>
      </x:c>
      <x:c r="G736" s="8" t="n">
        <x:v>8670</x:v>
      </x:c>
      <x:c r="H736" s="8" t="n">
        <x:v>10580</x:v>
      </x:c>
    </x:row>
    <x:row r="737">
      <x:c r="A737" s="2" t="str">
        <x:v>622310</x:v>
      </x:c>
      <x:c r="B737" s="2" t="str">
        <x:v>Specialty (except Psychiatric and Substance Abuse) Hospitals</x:v>
      </x:c>
      <x:c r="C737" s="8" t="n">
        <x:v>14241</x:v>
      </x:c>
      <x:c r="D737" s="8" t="n">
        <x:v>14770</x:v>
      </x:c>
      <x:c r="E737" s="8" t="n">
        <x:v>15657</x:v>
      </x:c>
      <x:c r="F737" s="8" t="n">
        <x:v>17406</x:v>
      </x:c>
      <x:c r="G737" s="8" t="n">
        <x:v>23358</x:v>
      </x:c>
      <x:c r="H737" s="8" t="n">
        <x:v>29179</x:v>
      </x:c>
    </x:row>
    <x:row r="738">
      <x:c r="A738" s="2" t="str">
        <x:v>623110</x:v>
      </x:c>
      <x:c r="B738" s="2" t="str">
        <x:v>Nursing Care Facilities (Skilled Nursing Facilities)</x:v>
      </x:c>
      <x:c r="C738" s="8" t="n">
        <x:v>136331</x:v>
      </x:c>
      <x:c r="D738" s="8" t="n">
        <x:v>137030</x:v>
      </x:c>
      <x:c r="E738" s="8" t="n">
        <x:v>139766</x:v>
      </x:c>
      <x:c r="F738" s="8" t="n">
        <x:v>127002</x:v>
      </x:c>
      <x:c r="G738" s="8" t="n">
        <x:v>135158</x:v>
      </x:c>
      <x:c r="H738" s="8" t="n">
        <x:v>152903</x:v>
      </x:c>
    </x:row>
    <x:row r="739">
      <x:c r="A739" s="2" t="str">
        <x:v>623210</x:v>
      </x:c>
      <x:c r="B739" s="2" t="str">
        <x:v>Residential Intellectual and Developmental Disability Facilities</x:v>
      </x:c>
      <x:c r="C739" s="8" t="n">
        <x:v>22284</x:v>
      </x:c>
      <x:c r="D739" s="8" t="n">
        <x:v>26579</x:v>
      </x:c>
      <x:c r="E739" s="8" t="n">
        <x:v>27052</x:v>
      </x:c>
      <x:c r="F739" s="8" t="n">
        <x:v>26162</x:v>
      </x:c>
      <x:c r="G739" s="8" t="n">
        <x:v>28110</x:v>
      </x:c>
      <x:c r="H739" s="8" t="n">
        <x:v>34043</x:v>
      </x:c>
    </x:row>
    <x:row r="740">
      <x:c r="A740" s="2" t="str">
        <x:v>623220</x:v>
      </x:c>
      <x:c r="B740" s="2" t="str">
        <x:v>Residential Mental Health and Substance Abuse Facilities</x:v>
      </x:c>
      <x:c r="C740" s="8" t="n">
        <x:v>27471</x:v>
      </x:c>
      <x:c r="D740" s="8" t="n">
        <x:v>28261</x:v>
      </x:c>
      <x:c r="E740" s="8" t="n">
        <x:v>28514</x:v>
      </x:c>
      <x:c r="F740" s="8" t="n">
        <x:v>29943</x:v>
      </x:c>
      <x:c r="G740" s="8" t="n">
        <x:v>32797</x:v>
      </x:c>
      <x:c r="H740" s="8" t="n">
        <x:v>35915</x:v>
      </x:c>
    </x:row>
    <x:row r="741">
      <x:c r="A741" s="2" t="str">
        <x:v>623311</x:v>
      </x:c>
      <x:c r="B741" s="2" t="str">
        <x:v>Continuing Care Retirement Communities</x:v>
      </x:c>
      <x:c r="C741" s="8" t="n">
        <x:v>35592</x:v>
      </x:c>
      <x:c r="D741" s="8" t="n">
        <x:v>37690</x:v>
      </x:c>
      <x:c r="E741" s="8" t="n">
        <x:v>38483</x:v>
      </x:c>
      <x:c r="F741" s="8" t="n">
        <x:v>33655</x:v>
      </x:c>
      <x:c r="G741" s="8" t="n">
        <x:v>34384</x:v>
      </x:c>
      <x:c r="H741" s="8" t="n">
        <x:v>39894</x:v>
      </x:c>
    </x:row>
    <x:row r="742">
      <x:c r="A742" s="2" t="str">
        <x:v>623312</x:v>
      </x:c>
      <x:c r="B742" s="2" t="str">
        <x:v>Assisted Living Facilities for the Elderly</x:v>
      </x:c>
      <x:c r="C742" s="8" t="n">
        <x:v>55268</x:v>
      </x:c>
      <x:c r="D742" s="8" t="n">
        <x:v>57090</x:v>
      </x:c>
      <x:c r="E742" s="8" t="n">
        <x:v>59530</x:v>
      </x:c>
      <x:c r="F742" s="8" t="n">
        <x:v>58704</x:v>
      </x:c>
      <x:c r="G742" s="8" t="n">
        <x:v>62849</x:v>
      </x:c>
      <x:c r="H742" s="8" t="n">
        <x:v>76273</x:v>
      </x:c>
    </x:row>
    <x:row r="743">
      <x:c r="A743" s="2" t="str">
        <x:v>623990</x:v>
      </x:c>
      <x:c r="B743" s="2" t="str">
        <x:v>Other Residential Care Facilities</x:v>
      </x:c>
      <x:c r="C743" s="8" t="n">
        <x:v>13379</x:v>
      </x:c>
      <x:c r="D743" s="8" t="n">
        <x:v>12837</x:v>
      </x:c>
      <x:c r="E743" s="8" t="n">
        <x:v>12278</x:v>
      </x:c>
      <x:c r="F743" s="8" t="n">
        <x:v>11059</x:v>
      </x:c>
      <x:c r="G743" s="8" t="n">
        <x:v>11532</x:v>
      </x:c>
      <x:c r="H743" s="8" t="n">
        <x:v>11798</x:v>
      </x:c>
    </x:row>
    <x:row r="744">
      <x:c r="A744" s="2" t="str">
        <x:v>624110</x:v>
      </x:c>
      <x:c r="B744" s="2" t="str">
        <x:v>Child and Youth Services</x:v>
      </x:c>
      <x:c r="C744" s="8" t="n">
        <x:v>21685</x:v>
      </x:c>
      <x:c r="D744" s="8" t="n">
        <x:v>22824</x:v>
      </x:c>
      <x:c r="E744" s="8" t="n">
        <x:v>23676</x:v>
      </x:c>
      <x:c r="F744" s="8" t="n">
        <x:v>26094</x:v>
      </x:c>
      <x:c r="G744" s="8" t="n">
        <x:v>28677</x:v>
      </x:c>
      <x:c r="H744" s="8" t="n">
        <x:v>32791</x:v>
      </x:c>
    </x:row>
    <x:row r="745">
      <x:c r="A745" s="2" t="str">
        <x:v>624120</x:v>
      </x:c>
      <x:c r="B745" s="2" t="str">
        <x:v>Services for the Elderly and Persons with Disabilities</x:v>
      </x:c>
      <x:c r="C745" s="8" t="n">
        <x:v>553419</x:v>
      </x:c>
      <x:c r="D745" s="8" t="n">
        <x:v>576813</x:v>
      </x:c>
      <x:c r="E745" s="8" t="n">
        <x:v>603277</x:v>
      </x:c>
      <x:c r="F745" s="8" t="n">
        <x:v>686869</x:v>
      </x:c>
      <x:c r="G745" s="8" t="n">
        <x:v>663025</x:v>
      </x:c>
      <x:c r="H745" s="8" t="n">
        <x:v>919346</x:v>
      </x:c>
    </x:row>
    <x:row r="746">
      <x:c r="A746" s="2" t="str">
        <x:v>624190</x:v>
      </x:c>
      <x:c r="B746" s="2" t="str">
        <x:v>Other Individual and Family Services</x:v>
      </x:c>
      <x:c r="C746" s="8" t="n">
        <x:v>45083</x:v>
      </x:c>
      <x:c r="D746" s="8" t="n">
        <x:v>46692</x:v>
      </x:c>
      <x:c r="E746" s="8" t="n">
        <x:v>47176</x:v>
      </x:c>
      <x:c r="F746" s="8" t="n">
        <x:v>55170</x:v>
      </x:c>
      <x:c r="G746" s="8" t="n">
        <x:v>57974</x:v>
      </x:c>
      <x:c r="H746" s="8" t="n">
        <x:v>63692</x:v>
      </x:c>
    </x:row>
    <x:row r="747">
      <x:c r="A747" s="2" t="str">
        <x:v>624210</x:v>
      </x:c>
      <x:c r="B747" s="2" t="str">
        <x:v>Community Food Services</x:v>
      </x:c>
      <x:c r="C747" s="8" t="n">
        <x:v>4346</x:v>
      </x:c>
      <x:c r="D747" s="8" t="n">
        <x:v>4133</x:v>
      </x:c>
      <x:c r="E747" s="8" t="n">
        <x:v>4171</x:v>
      </x:c>
      <x:c r="F747" s="8" t="n">
        <x:v>5320</x:v>
      </x:c>
      <x:c r="G747" s="8" t="n">
        <x:v>5856</x:v>
      </x:c>
      <x:c r="H747" s="8" t="n">
        <x:v>6733</x:v>
      </x:c>
    </x:row>
    <x:row r="748">
      <x:c r="A748" s="2" t="str">
        <x:v>624221</x:v>
      </x:c>
      <x:c r="B748" s="2" t="str">
        <x:v>Temporary Shelters</x:v>
      </x:c>
      <x:c r="C748" s="8" t="n">
        <x:v>8148</x:v>
      </x:c>
      <x:c r="D748" s="8" t="n">
        <x:v>8359</x:v>
      </x:c>
      <x:c r="E748" s="8" t="n">
        <x:v>9089</x:v>
      </x:c>
      <x:c r="F748" s="8" t="n">
        <x:v>11334</x:v>
      </x:c>
      <x:c r="G748" s="8" t="n">
        <x:v>12293</x:v>
      </x:c>
      <x:c r="H748" s="8" t="n">
        <x:v>15054</x:v>
      </x:c>
    </x:row>
    <x:row r="749">
      <x:c r="A749" s="2" t="str">
        <x:v>624229</x:v>
      </x:c>
      <x:c r="B749" s="2" t="str">
        <x:v>Other Community Housing Services</x:v>
      </x:c>
      <x:c r="C749" s="8" t="n">
        <x:v>5100</x:v>
      </x:c>
      <x:c r="D749" s="8" t="n">
        <x:v>5358</x:v>
      </x:c>
      <x:c r="E749" s="8" t="n">
        <x:v>5904</x:v>
      </x:c>
      <x:c r="F749" s="8" t="n">
        <x:v>7496</x:v>
      </x:c>
      <x:c r="G749" s="8" t="n">
        <x:v>7558</x:v>
      </x:c>
      <x:c r="H749" s="8" t="n">
        <x:v>8272</x:v>
      </x:c>
    </x:row>
    <x:row r="750">
      <x:c r="A750" s="2" t="str">
        <x:v>624230</x:v>
      </x:c>
      <x:c r="B750" s="2" t="str">
        <x:v>Emergency and Other Relief Services</x:v>
      </x:c>
      <x:c r="C750" s="8" t="n">
        <x:v>2306</x:v>
      </x:c>
      <x:c r="D750" s="8" t="n">
        <x:v>2286</x:v>
      </x:c>
      <x:c r="E750" s="8" t="n">
        <x:v>2302</x:v>
      </x:c>
      <x:c r="F750" s="8" t="n">
        <x:v>2925</x:v>
      </x:c>
      <x:c r="G750" s="8" t="n">
        <x:v>3237</x:v>
      </x:c>
      <x:c r="H750" s="8" t="n">
        <x:v>3051</x:v>
      </x:c>
    </x:row>
    <x:row r="751">
      <x:c r="A751" s="2" t="str">
        <x:v>624310</x:v>
      </x:c>
      <x:c r="B751" s="2" t="str">
        <x:v>Vocational Rehabilitation Services</x:v>
      </x:c>
      <x:c r="C751" s="8" t="n">
        <x:v>36688</x:v>
      </x:c>
      <x:c r="D751" s="8" t="n">
        <x:v>35948</x:v>
      </x:c>
      <x:c r="E751" s="8" t="n">
        <x:v>35102</x:v>
      </x:c>
      <x:c r="F751" s="8" t="n">
        <x:v>28979</x:v>
      </x:c>
      <x:c r="G751" s="8" t="n">
        <x:v>30824</x:v>
      </x:c>
      <x:c r="H751" s="8" t="n">
        <x:v>30036</x:v>
      </x:c>
    </x:row>
    <x:row r="752">
      <x:c r="A752" s="2" t="str">
        <x:v>624410</x:v>
      </x:c>
      <x:c r="B752" s="2" t="str">
        <x:v>Child Care Services</x:v>
      </x:c>
      <x:c r="C752" s="8" t="n">
        <x:v>69993</x:v>
      </x:c>
      <x:c r="D752" s="8" t="n">
        <x:v>72579</x:v>
      </x:c>
      <x:c r="E752" s="8" t="n">
        <x:v>75385</x:v>
      </x:c>
      <x:c r="F752" s="8" t="n">
        <x:v>70663</x:v>
      </x:c>
      <x:c r="G752" s="8" t="n">
        <x:v>75647</x:v>
      </x:c>
      <x:c r="H752" s="8" t="n">
        <x:v>86166</x:v>
      </x:c>
    </x:row>
    <x:row r="753">
      <x:c r="A753" s="2" t="str">
        <x:v>711110</x:v>
      </x:c>
      <x:c r="B753" s="2" t="str">
        <x:v>Theater Companies and Dinner Theaters</x:v>
      </x:c>
      <x:c r="C753" s="8" t="n">
        <x:v>7399</x:v>
      </x:c>
      <x:c r="D753" s="8" t="n">
        <x:v>7358</x:v>
      </x:c>
      <x:c r="E753" s="8" t="n">
        <x:v>7959</x:v>
      </x:c>
      <x:c r="F753" s="8" t="n">
        <x:v>7682</x:v>
      </x:c>
      <x:c r="G753" s="8" t="n">
        <x:v>8524</x:v>
      </x:c>
      <x:c r="H753" s="8" t="n">
        <x:v>8993</x:v>
      </x:c>
    </x:row>
    <x:row r="754">
      <x:c r="A754" s="2" t="str">
        <x:v>711120</x:v>
      </x:c>
      <x:c r="B754" s="2" t="str">
        <x:v>Dance Companies</x:v>
      </x:c>
      <x:c r="C754" s="8" t="n">
        <x:v>1202</x:v>
      </x:c>
      <x:c r="D754" s="8" t="n">
        <x:v>1331</x:v>
      </x:c>
      <x:c r="E754" s="8" t="n">
        <x:v>1259</x:v>
      </x:c>
      <x:c r="F754" s="8" t="n">
        <x:v>1316</x:v>
      </x:c>
      <x:c r="G754" s="8" t="n">
        <x:v>1533</x:v>
      </x:c>
      <x:c r="H754" s="8" t="n">
        <x:v>1332</x:v>
      </x:c>
    </x:row>
    <x:row r="755">
      <x:c r="A755" s="2" t="str">
        <x:v>711130</x:v>
      </x:c>
      <x:c r="B755" s="2" t="str">
        <x:v>Musical Groups and Artists</x:v>
      </x:c>
      <x:c r="C755" s="8" t="n">
        <x:v>5720</x:v>
      </x:c>
      <x:c r="D755" s="8" t="n">
        <x:v>5476</x:v>
      </x:c>
      <x:c r="E755" s="8" t="n">
        <x:v>5351</x:v>
      </x:c>
      <x:c r="F755" s="8" t="n">
        <x:v>6342</x:v>
      </x:c>
      <x:c r="G755" s="8" t="n">
        <x:v>5998</x:v>
      </x:c>
      <x:c r="H755" s="8" t="n">
        <x:v>5464</x:v>
      </x:c>
    </x:row>
    <x:row r="756">
      <x:c r="A756" s="2" t="str">
        <x:v>711190</x:v>
      </x:c>
      <x:c r="B756" s="2" t="str">
        <x:v>Other Performing Arts Companies</x:v>
      </x:c>
      <x:c r="C756" s="8" t="n">
        <x:v>277</x:v>
      </x:c>
      <x:c r="D756" s="8" t="n">
        <x:v>261</x:v>
      </x:c>
      <x:c r="E756" s="8" t="n">
        <x:v>285</x:v>
      </x:c>
      <x:c r="F756" s="8" t="n">
        <x:v>482</x:v>
      </x:c>
      <x:c r="G756" s="8" t="n">
        <x:v>516</x:v>
      </x:c>
      <x:c r="H756" s="8" t="n">
        <x:v>769</x:v>
      </x:c>
    </x:row>
    <x:row r="757">
      <x:c r="A757" s="2" t="str">
        <x:v>711211</x:v>
      </x:c>
      <x:c r="B757" s="2" t="str">
        <x:v>Sports Teams and Clubs</x:v>
      </x:c>
      <x:c r="C757" s="8" t="n">
        <x:v>10200</x:v>
      </x:c>
      <x:c r="D757" s="8" t="n">
        <x:v>11494</x:v>
      </x:c>
      <x:c r="E757" s="8" t="n">
        <x:v>12808</x:v>
      </x:c>
      <x:c r="F757" s="8" t="n">
        <x:v>9761</x:v>
      </x:c>
      <x:c r="G757" s="8" t="n">
        <x:v>11840</x:v>
      </x:c>
      <x:c r="H757" s="8" t="n">
        <x:v>14479</x:v>
      </x:c>
    </x:row>
    <x:row r="758">
      <x:c r="A758" s="2" t="str">
        <x:v>711212</x:v>
      </x:c>
      <x:c r="B758" s="2" t="str">
        <x:v>Racetracks</x:v>
      </x:c>
      <x:c r="C758" s="8" t="n">
        <x:v>2149</x:v>
      </x:c>
      <x:c r="D758" s="8" t="n">
        <x:v>2290</x:v>
      </x:c>
      <x:c r="E758" s="8" t="n">
        <x:v>2070</x:v>
      </x:c>
      <x:c r="F758" s="8" t="n">
        <x:v>1755</x:v>
      </x:c>
      <x:c r="G758" s="8" t="n">
        <x:v>1750</x:v>
      </x:c>
      <x:c r="H758" s="8" t="n">
        <x:v>1635</x:v>
      </x:c>
    </x:row>
    <x:row r="759">
      <x:c r="A759" s="2" t="str">
        <x:v>711219</x:v>
      </x:c>
      <x:c r="B759" s="2" t="str">
        <x:v>Other Spectator Sports</x:v>
      </x:c>
      <x:c r="C759" s="8" t="n">
        <x:v>2442</x:v>
      </x:c>
      <x:c r="D759" s="8" t="n">
        <x:v>2454</x:v>
      </x:c>
      <x:c r="E759" s="8" t="n">
        <x:v>2274</x:v>
      </x:c>
      <x:c r="F759" s="8" t="n">
        <x:v>2403</x:v>
      </x:c>
      <x:c r="G759" s="8" t="n">
        <x:v>2543</x:v>
      </x:c>
      <x:c r="H759" s="8" t="n">
        <x:v>2025</x:v>
      </x:c>
    </x:row>
    <x:row r="760">
      <x:c r="A760" s="2" t="str">
        <x:v>711310</x:v>
      </x:c>
      <x:c r="B760" s="2" t="str">
        <x:v>Promoters of Performing Arts, Sports, and Similar Events with Facilities</x:v>
      </x:c>
      <x:c r="C760" s="8" t="n">
        <x:v>10461</x:v>
      </x:c>
      <x:c r="D760" s="8" t="n">
        <x:v>11415</x:v>
      </x:c>
      <x:c r="E760" s="8" t="n">
        <x:v>11342</x:v>
      </x:c>
      <x:c r="F760" s="8" t="n">
        <x:v>12134</x:v>
      </x:c>
      <x:c r="G760" s="8" t="n">
        <x:v>16266</x:v>
      </x:c>
      <x:c r="H760" s="8" t="n">
        <x:v>23047</x:v>
      </x:c>
    </x:row>
    <x:row r="761">
      <x:c r="A761" s="2" t="str">
        <x:v>711320</x:v>
      </x:c>
      <x:c r="B761" s="2" t="str">
        <x:v>Promoters of Performing Arts, Sports, and Similar Events without Facilities</x:v>
      </x:c>
      <x:c r="C761" s="8" t="n">
        <x:v>5424</x:v>
      </x:c>
      <x:c r="D761" s="8" t="n">
        <x:v>6294</x:v>
      </x:c>
      <x:c r="E761" s="8" t="n">
        <x:v>6663</x:v>
      </x:c>
      <x:c r="F761" s="8" t="n">
        <x:v>5371</x:v>
      </x:c>
      <x:c r="G761" s="8" t="n">
        <x:v>5240</x:v>
      </x:c>
      <x:c r="H761" s="8" t="n">
        <x:v>5914</x:v>
      </x:c>
    </x:row>
    <x:row r="762">
      <x:c r="A762" s="2" t="str">
        <x:v>711410</x:v>
      </x:c>
      <x:c r="B762" s="2" t="str">
        <x:v>Agents and Managers for Artists, Athletes, Entertainers, and Other Public Figures</x:v>
      </x:c>
      <x:c r="C762" s="8" t="n">
        <x:v>12306</x:v>
      </x:c>
      <x:c r="D762" s="8" t="n">
        <x:v>14369</x:v>
      </x:c>
      <x:c r="E762" s="8" t="n">
        <x:v>14677</x:v>
      </x:c>
      <x:c r="F762" s="8" t="n">
        <x:v>14714</x:v>
      </x:c>
      <x:c r="G762" s="8" t="n">
        <x:v>14952</x:v>
      </x:c>
      <x:c r="H762" s="8" t="n">
        <x:v>12606</x:v>
      </x:c>
    </x:row>
    <x:row r="763">
      <x:c r="A763" s="2" t="str">
        <x:v>711510</x:v>
      </x:c>
      <x:c r="B763" s="2" t="str">
        <x:v>Independent Artists, Writers, and Performers</x:v>
      </x:c>
      <x:c r="C763" s="8" t="n">
        <x:v>14021</x:v>
      </x:c>
      <x:c r="D763" s="8" t="n">
        <x:v>13520</x:v>
      </x:c>
      <x:c r="E763" s="8" t="n">
        <x:v>14500</x:v>
      </x:c>
      <x:c r="F763" s="8" t="n">
        <x:v>17833</x:v>
      </x:c>
      <x:c r="G763" s="8" t="n">
        <x:v>19295</x:v>
      </x:c>
      <x:c r="H763" s="8" t="n">
        <x:v>17363</x:v>
      </x:c>
    </x:row>
    <x:row r="764">
      <x:c r="A764" s="2" t="str">
        <x:v>712110</x:v>
      </x:c>
      <x:c r="B764" s="2" t="str">
        <x:v>Museums</x:v>
      </x:c>
      <x:c r="C764" s="8" t="n">
        <x:v>12129</x:v>
      </x:c>
      <x:c r="D764" s="8" t="n">
        <x:v>12527</x:v>
      </x:c>
      <x:c r="E764" s="8" t="n">
        <x:v>12613</x:v>
      </x:c>
      <x:c r="F764" s="8" t="n">
        <x:v>10527</x:v>
      </x:c>
      <x:c r="G764" s="8" t="n">
        <x:v>12073</x:v>
      </x:c>
      <x:c r="H764" s="8" t="n">
        <x:v>13654</x:v>
      </x:c>
    </x:row>
    <x:row r="765">
      <x:c r="A765" s="2" t="str">
        <x:v>712120</x:v>
      </x:c>
      <x:c r="B765" s="2" t="str">
        <x:v>Historical Sites</x:v>
      </x:c>
      <x:c r="C765" s="8" t="n">
        <x:v>371</x:v>
      </x:c>
      <x:c r="D765" s="8" t="n">
        <x:v>382</x:v>
      </x:c>
      <x:c r="E765" s="8" t="n">
        <x:v>404</x:v>
      </x:c>
      <x:c r="F765" s="8" t="n">
        <x:v>280</x:v>
      </x:c>
      <x:c r="G765" s="8" t="n">
        <x:v>314</x:v>
      </x:c>
      <x:c r="H765" s="8" t="n">
        <x:v>304</x:v>
      </x:c>
    </x:row>
    <x:row r="766">
      <x:c r="A766" s="2" t="str">
        <x:v>712130</x:v>
      </x:c>
      <x:c r="B766" s="2" t="str">
        <x:v>Zoos and Botanical Gardens</x:v>
      </x:c>
      <x:c r="C766" s="8" t="n">
        <x:v>5334</x:v>
      </x:c>
      <x:c r="D766" s="8" t="n">
        <x:v>5366</x:v>
      </x:c>
      <x:c r="E766" s="8" t="n">
        <x:v>5765</x:v>
      </x:c>
      <x:c r="F766" s="8" t="n">
        <x:v>5685</x:v>
      </x:c>
      <x:c r="G766" s="8" t="n">
        <x:v>6185</x:v>
      </x:c>
      <x:c r="H766" s="8" t="n">
        <x:v>6477</x:v>
      </x:c>
    </x:row>
    <x:row r="767">
      <x:c r="A767" s="2" t="str">
        <x:v>712190</x:v>
      </x:c>
      <x:c r="B767" s="2" t="str">
        <x:v>Nature Parks and Other Similar Institutions</x:v>
      </x:c>
      <x:c r="C767" s="8" t="n">
        <x:v>1021</x:v>
      </x:c>
      <x:c r="D767" s="8" t="n">
        <x:v>1085</x:v>
      </x:c>
      <x:c r="E767" s="8" t="n">
        <x:v>1120</x:v>
      </x:c>
      <x:c r="F767" s="8" t="n">
        <x:v>1173</x:v>
      </x:c>
      <x:c r="G767" s="8" t="n">
        <x:v>1201</x:v>
      </x:c>
      <x:c r="H767" s="8" t="n">
        <x:v>1506</x:v>
      </x:c>
    </x:row>
    <x:row r="768">
      <x:c r="A768" s="2" t="str">
        <x:v>713110</x:v>
      </x:c>
      <x:c r="B768" s="2" t="str">
        <x:v>Amusement and Theme Parks</x:v>
      </x:c>
      <x:c r="C768" s="8" t="n">
        <x:v>40101</x:v>
      </x:c>
      <x:c r="D768" s="8" t="n">
        <x:v>40817</x:v>
      </x:c>
      <x:c r="E768" s="8" t="n">
        <x:v>43472</x:v>
      </x:c>
      <x:c r="F768" s="8" t="n">
        <x:v>38876</x:v>
      </x:c>
      <x:c r="G768" s="8" t="n">
        <x:v>43782</x:v>
      </x:c>
      <x:c r="H768" s="8" t="n">
        <x:v>46409</x:v>
      </x:c>
    </x:row>
    <x:row r="769">
      <x:c r="A769" s="2" t="str">
        <x:v>713120</x:v>
      </x:c>
      <x:c r="B769" s="2" t="str">
        <x:v>Amusement Arcades</x:v>
      </x:c>
      <x:c r="C769" s="8" t="n">
        <x:v>2842</x:v>
      </x:c>
      <x:c r="D769" s="8" t="n">
        <x:v>3545</x:v>
      </x:c>
      <x:c r="E769" s="8" t="n">
        <x:v>3620</x:v>
      </x:c>
      <x:c r="F769" s="8" t="n">
        <x:v>2654</x:v>
      </x:c>
      <x:c r="G769" s="8" t="n">
        <x:v>3221</x:v>
      </x:c>
      <x:c r="H769" s="8" t="n">
        <x:v>3632</x:v>
      </x:c>
    </x:row>
    <x:row r="770">
      <x:c r="A770" s="2" t="str">
        <x:v>713210</x:v>
      </x:c>
      <x:c r="B770" s="2" t="str">
        <x:v>Casinos (except Casino Hotels)</x:v>
      </x:c>
      <x:c r="C770" s="8" t="n">
        <x:v>12019</x:v>
      </x:c>
      <x:c r="D770" s="8" t="n">
        <x:v>11740</x:v>
      </x:c>
      <x:c r="E770" s="8" t="n">
        <x:v>11968</x:v>
      </x:c>
      <x:c r="F770" s="8" t="n">
        <x:v>7651</x:v>
      </x:c>
      <x:c r="G770" s="8" t="n">
        <x:v>9914</x:v>
      </x:c>
      <x:c r="H770" s="8" t="n">
        <x:v>8588</x:v>
      </x:c>
    </x:row>
    <x:row r="771">
      <x:c r="A771" s="2" t="str">
        <x:v>713290</x:v>
      </x:c>
      <x:c r="B771" s="2" t="str">
        <x:v>Other Gambling Industries</x:v>
      </x:c>
      <x:c r="C771" s="8" t="n">
        <x:v>4883</x:v>
      </x:c>
      <x:c r="D771" s="8" t="n">
        <x:v>4831</x:v>
      </x:c>
      <x:c r="E771" s="8" t="n">
        <x:v>4968</x:v>
      </x:c>
      <x:c r="F771" s="8" t="n">
        <x:v>5125</x:v>
      </x:c>
      <x:c r="G771" s="8" t="n">
        <x:v>5971</x:v>
      </x:c>
      <x:c r="H771" s="8" t="n">
        <x:v>6788</x:v>
      </x:c>
    </x:row>
    <x:row r="772">
      <x:c r="A772" s="2" t="str">
        <x:v>713910</x:v>
      </x:c>
      <x:c r="B772" s="2" t="str">
        <x:v>Golf Courses and Country Clubs</x:v>
      </x:c>
      <x:c r="C772" s="8" t="n">
        <x:v>33539</x:v>
      </x:c>
      <x:c r="D772" s="8" t="n">
        <x:v>33787</x:v>
      </x:c>
      <x:c r="E772" s="8" t="n">
        <x:v>33955</x:v>
      </x:c>
      <x:c r="F772" s="8" t="n">
        <x:v>33148</x:v>
      </x:c>
      <x:c r="G772" s="8" t="n">
        <x:v>34832</x:v>
      </x:c>
      <x:c r="H772" s="8" t="n">
        <x:v>40061</x:v>
      </x:c>
    </x:row>
    <x:row r="773">
      <x:c r="A773" s="2" t="str">
        <x:v>713920</x:v>
      </x:c>
      <x:c r="B773" s="2" t="str">
        <x:v>Skiing Facilities</x:v>
      </x:c>
      <x:c r="C773" s="8" t="n">
        <x:v>7708</x:v>
      </x:c>
      <x:c r="D773" s="8" t="n">
        <x:v>7322</x:v>
      </x:c>
      <x:c r="E773" s="8" t="n">
        <x:v>7956</x:v>
      </x:c>
      <x:c r="F773" s="8" t="n">
        <x:v>6392</x:v>
      </x:c>
      <x:c r="G773" s="8" t="n">
        <x:v>7564</x:v>
      </x:c>
      <x:c r="H773" s="8" t="n">
        <x:v>7492</x:v>
      </x:c>
    </x:row>
    <x:row r="774">
      <x:c r="A774" s="2" t="str">
        <x:v>713930</x:v>
      </x:c>
      <x:c r="B774" s="2" t="str">
        <x:v>Marinas</x:v>
      </x:c>
      <x:c r="C774" s="8" t="n">
        <x:v>1883</x:v>
      </x:c>
      <x:c r="D774" s="8" t="n">
        <x:v>2027</x:v>
      </x:c>
      <x:c r="E774" s="8" t="n">
        <x:v>2059</x:v>
      </x:c>
      <x:c r="F774" s="8" t="n">
        <x:v>2067</x:v>
      </x:c>
      <x:c r="G774" s="8" t="n">
        <x:v>2078</x:v>
      </x:c>
      <x:c r="H774" s="8" t="n">
        <x:v>2301</x:v>
      </x:c>
    </x:row>
    <x:row r="775">
      <x:c r="A775" s="2" t="str">
        <x:v>713940</x:v>
      </x:c>
      <x:c r="B775" s="2" t="str">
        <x:v>Fitness and Recreational Sports Centers</x:v>
      </x:c>
      <x:c r="C775" s="8" t="n">
        <x:v>78672</x:v>
      </x:c>
      <x:c r="D775" s="8" t="n">
        <x:v>83278</x:v>
      </x:c>
      <x:c r="E775" s="8" t="n">
        <x:v>88961</x:v>
      </x:c>
      <x:c r="F775" s="8" t="n">
        <x:v>68793</x:v>
      </x:c>
      <x:c r="G775" s="8" t="n">
        <x:v>77953</x:v>
      </x:c>
      <x:c r="H775" s="8" t="n">
        <x:v>91949</x:v>
      </x:c>
    </x:row>
    <x:row r="776">
      <x:c r="A776" s="2" t="str">
        <x:v>713950</x:v>
      </x:c>
      <x:c r="B776" s="2" t="str">
        <x:v>Bowling Centers</x:v>
      </x:c>
      <x:c r="C776" s="8" t="n">
        <x:v>5480</x:v>
      </x:c>
      <x:c r="D776" s="8" t="n">
        <x:v>5584</x:v>
      </x:c>
      <x:c r="E776" s="8" t="n">
        <x:v>5695</x:v>
      </x:c>
      <x:c r="F776" s="8" t="n">
        <x:v>4736</x:v>
      </x:c>
      <x:c r="G776" s="8" t="n">
        <x:v>5164</x:v>
      </x:c>
      <x:c r="H776" s="8" t="n">
        <x:v>4925</x:v>
      </x:c>
    </x:row>
    <x:row r="777">
      <x:c r="A777" s="2" t="str">
        <x:v>713990</x:v>
      </x:c>
      <x:c r="B777" s="2" t="str">
        <x:v>All Other Amusement and Recreation Industries</x:v>
      </x:c>
      <x:c r="C777" s="8" t="n">
        <x:v>18270</x:v>
      </x:c>
      <x:c r="D777" s="8" t="n">
        <x:v>18992</x:v>
      </x:c>
      <x:c r="E777" s="8" t="n">
        <x:v>20017</x:v>
      </x:c>
      <x:c r="F777" s="8" t="n">
        <x:v>20275</x:v>
      </x:c>
      <x:c r="G777" s="8" t="n">
        <x:v>22401</x:v>
      </x:c>
      <x:c r="H777" s="8" t="n">
        <x:v>25830</x:v>
      </x:c>
    </x:row>
    <x:row r="778">
      <x:c r="A778" s="2" t="str">
        <x:v>721110</x:v>
      </x:c>
      <x:c r="B778" s="2" t="str">
        <x:v>Hotels (except Casino Hotels) and Motels</x:v>
      </x:c>
      <x:c r="C778" s="8" t="n">
        <x:v>207087</x:v>
      </x:c>
      <x:c r="D778" s="8" t="n">
        <x:v>212816</x:v>
      </x:c>
      <x:c r="E778" s="8" t="n">
        <x:v>218543</x:v>
      </x:c>
      <x:c r="F778" s="8" t="n">
        <x:v>172550</x:v>
      </x:c>
      <x:c r="G778" s="8" t="n">
        <x:v>196429</x:v>
      </x:c>
      <x:c r="H778" s="8" t="n">
        <x:v>201629</x:v>
      </x:c>
    </x:row>
    <x:row r="779">
      <x:c r="A779" s="2" t="str">
        <x:v>721191</x:v>
      </x:c>
      <x:c r="B779" s="2" t="str">
        <x:v>Bed-and-Breakfast Inns</x:v>
      </x:c>
      <x:c r="C779" s="8" t="n">
        <x:v>1990</x:v>
      </x:c>
      <x:c r="D779" s="8" t="n">
        <x:v>2011</x:v>
      </x:c>
      <x:c r="E779" s="8" t="n">
        <x:v>2058</x:v>
      </x:c>
      <x:c r="F779" s="8" t="n">
        <x:v>1821</x:v>
      </x:c>
      <x:c r="G779" s="8" t="n">
        <x:v>1731</x:v>
      </x:c>
      <x:c r="H779" s="8" t="n">
        <x:v>1637</x:v>
      </x:c>
    </x:row>
    <x:row r="780">
      <x:c r="A780" s="2" t="str">
        <x:v>721211</x:v>
      </x:c>
      <x:c r="B780" s="2" t="str">
        <x:v>RV (Recreational Vehicle) Parks and Campgrounds</x:v>
      </x:c>
      <x:c r="C780" s="8" t="n">
        <x:v>2543</x:v>
      </x:c>
      <x:c r="D780" s="8" t="n">
        <x:v>2665</x:v>
      </x:c>
      <x:c r="E780" s="8" t="n">
        <x:v>2780</x:v>
      </x:c>
      <x:c r="F780" s="8" t="n">
        <x:v>3109</x:v>
      </x:c>
      <x:c r="G780" s="8" t="n">
        <x:v>3129</x:v>
      </x:c>
      <x:c r="H780" s="8" t="n">
        <x:v>3156</x:v>
      </x:c>
    </x:row>
    <x:row r="781">
      <x:c r="A781" s="2" t="str">
        <x:v>721214</x:v>
      </x:c>
      <x:c r="B781" s="2" t="str">
        <x:v>Recreational and Vacation Camps (except Campgrounds)</x:v>
      </x:c>
      <x:c r="C781" s="8" t="n">
        <x:v>2143</x:v>
      </x:c>
      <x:c r="D781" s="8" t="n">
        <x:v>2437</x:v>
      </x:c>
      <x:c r="E781" s="8" t="n">
        <x:v>2385</x:v>
      </x:c>
      <x:c r="F781" s="8" t="n">
        <x:v>2204</x:v>
      </x:c>
      <x:c r="G781" s="8" t="n">
        <x:v>2322</x:v>
      </x:c>
      <x:c r="H781" s="8" t="n">
        <x:v>2795</x:v>
      </x:c>
    </x:row>
    <x:row r="782">
      <x:c r="A782" s="2" t="str">
        <x:v>721310</x:v>
      </x:c>
      <x:c r="B782" s="2" t="str">
        <x:v>Rooming and Boarding Houses, Dormitories, and Workers' Camps</x:v>
      </x:c>
      <x:c r="C782" s="8" t="n">
        <x:v>1190</x:v>
      </x:c>
      <x:c r="D782" s="8" t="n">
        <x:v>1152</x:v>
      </x:c>
      <x:c r="E782" s="8" t="n">
        <x:v>1051</x:v>
      </x:c>
      <x:c r="F782" s="8" t="n">
        <x:v>669</x:v>
      </x:c>
      <x:c r="G782" s="8" t="n">
        <x:v>674</x:v>
      </x:c>
      <x:c r="H782" s="8" t="n">
        <x:v>638</x:v>
      </x:c>
    </x:row>
    <x:row r="783">
      <x:c r="A783" s="2" t="str">
        <x:v>722310</x:v>
      </x:c>
      <x:c r="B783" s="2" t="str">
        <x:v>Food Service Contractors</x:v>
      </x:c>
      <x:c r="C783" s="8" t="n">
        <x:v>41442</x:v>
      </x:c>
      <x:c r="D783" s="8" t="n">
        <x:v>44012</x:v>
      </x:c>
      <x:c r="E783" s="8" t="n">
        <x:v>48692</x:v>
      </x:c>
      <x:c r="F783" s="8" t="n">
        <x:v>43193</x:v>
      </x:c>
      <x:c r="G783" s="8" t="n">
        <x:v>50247</x:v>
      </x:c>
      <x:c r="H783" s="8" t="n">
        <x:v>58621</x:v>
      </x:c>
    </x:row>
    <x:row r="784">
      <x:c r="A784" s="2" t="str">
        <x:v>722320</x:v>
      </x:c>
      <x:c r="B784" s="2" t="str">
        <x:v>Caterers</x:v>
      </x:c>
      <x:c r="C784" s="8" t="n">
        <x:v>24110</x:v>
      </x:c>
      <x:c r="D784" s="8" t="n">
        <x:v>24233</x:v>
      </x:c>
      <x:c r="E784" s="8" t="n">
        <x:v>23782</x:v>
      </x:c>
      <x:c r="F784" s="8" t="n">
        <x:v>19017</x:v>
      </x:c>
      <x:c r="G784" s="8" t="n">
        <x:v>21010</x:v>
      </x:c>
      <x:c r="H784" s="8" t="n">
        <x:v>22442</x:v>
      </x:c>
    </x:row>
    <x:row r="785">
      <x:c r="A785" s="2" t="str">
        <x:v>722330</x:v>
      </x:c>
      <x:c r="B785" s="2" t="str">
        <x:v>Mobile Food Services</x:v>
      </x:c>
      <x:c r="C785" s="8" t="n">
        <x:v>2137</x:v>
      </x:c>
      <x:c r="D785" s="8" t="n">
        <x:v>2736</x:v>
      </x:c>
      <x:c r="E785" s="8" t="n">
        <x:v>2508</x:v>
      </x:c>
      <x:c r="F785" s="8" t="n">
        <x:v>3408</x:v>
      </x:c>
      <x:c r="G785" s="8" t="n">
        <x:v>4022</x:v>
      </x:c>
      <x:c r="H785" s="8" t="n">
        <x:v>5475</x:v>
      </x:c>
    </x:row>
    <x:row r="786">
      <x:c r="A786" s="2" t="str">
        <x:v>722410</x:v>
      </x:c>
      <x:c r="B786" s="2" t="str">
        <x:v>Drinking Places (Alcoholic Beverages)</x:v>
      </x:c>
      <x:c r="C786" s="8" t="n">
        <x:v>31829</x:v>
      </x:c>
      <x:c r="D786" s="8" t="n">
        <x:v>32846</x:v>
      </x:c>
      <x:c r="E786" s="8" t="n">
        <x:v>34891</x:v>
      </x:c>
      <x:c r="F786" s="8" t="n">
        <x:v>32040</x:v>
      </x:c>
      <x:c r="G786" s="8" t="n">
        <x:v>34087</x:v>
      </x:c>
      <x:c r="H786" s="8" t="n">
        <x:v>32621</x:v>
      </x:c>
    </x:row>
    <x:row r="787">
      <x:c r="A787" s="2" t="str">
        <x:v>722511</x:v>
      </x:c>
      <x:c r="B787" s="2" t="str">
        <x:v>Full-Service Restaurants</x:v>
      </x:c>
      <x:c r="C787" s="8" t="n">
        <x:v>642967</x:v>
      </x:c>
      <x:c r="D787" s="8" t="n">
        <x:v>649196</x:v>
      </x:c>
      <x:c r="E787" s="8" t="n">
        <x:v>653519</x:v>
      </x:c>
      <x:c r="F787" s="8" t="n">
        <x:v>587604</x:v>
      </x:c>
      <x:c r="G787" s="8" t="n">
        <x:v>608540</x:v>
      </x:c>
      <x:c r="H787" s="8" t="n">
        <x:v>593188</x:v>
      </x:c>
    </x:row>
    <x:row r="788">
      <x:c r="A788" s="2" t="str">
        <x:v>722513</x:v>
      </x:c>
      <x:c r="B788" s="2" t="str">
        <x:v>Limited-Service Restaurants</x:v>
      </x:c>
      <x:c r="C788" s="8" t="n">
        <x:v>514657</x:v>
      </x:c>
      <x:c r="D788" s="8" t="n">
        <x:v>533877</x:v>
      </x:c>
      <x:c r="E788" s="8" t="n">
        <x:v>546411</x:v>
      </x:c>
      <x:c r="F788" s="8" t="n">
        <x:v>545145</x:v>
      </x:c>
      <x:c r="G788" s="8" t="n">
        <x:v>566323</x:v>
      </x:c>
      <x:c r="H788" s="8" t="n">
        <x:v>554137</x:v>
      </x:c>
    </x:row>
    <x:row r="789">
      <x:c r="A789" s="2" t="str">
        <x:v>722514</x:v>
      </x:c>
      <x:c r="B789" s="2" t="str">
        <x:v>Cafeterias, Grill Buffets, and Buffets</x:v>
      </x:c>
      <x:c r="C789" s="8" t="n">
        <x:v>14265</x:v>
      </x:c>
      <x:c r="D789" s="8" t="n">
        <x:v>14168</x:v>
      </x:c>
      <x:c r="E789" s="8" t="n">
        <x:v>12535</x:v>
      </x:c>
      <x:c r="F789" s="8" t="n">
        <x:v>7966</x:v>
      </x:c>
      <x:c r="G789" s="8" t="n">
        <x:v>8268</x:v>
      </x:c>
      <x:c r="H789" s="8" t="n">
        <x:v>7559</x:v>
      </x:c>
    </x:row>
    <x:row r="790">
      <x:c r="A790" s="2" t="str">
        <x:v>722515</x:v>
      </x:c>
      <x:c r="B790" s="2" t="str">
        <x:v>Snack and Nonalcoholic Beverage Bars</x:v>
      </x:c>
      <x:c r="C790" s="8" t="n">
        <x:v>116527</x:v>
      </x:c>
      <x:c r="D790" s="8" t="n">
        <x:v>126199</x:v>
      </x:c>
      <x:c r="E790" s="8" t="n">
        <x:v>133684</x:v>
      </x:c>
      <x:c r="F790" s="8" t="n">
        <x:v>156385</x:v>
      </x:c>
      <x:c r="G790" s="8" t="n">
        <x:v>155751</x:v>
      </x:c>
      <x:c r="H790" s="8" t="n">
        <x:v>161605</x:v>
      </x:c>
    </x:row>
    <x:row r="791">
      <x:c r="A791" s="2" t="str">
        <x:v>811111</x:v>
      </x:c>
      <x:c r="B791" s="2" t="str">
        <x:v>General Automotive Repair</x:v>
      </x:c>
      <x:c r="C791" s="8" t="n">
        <x:v>38521</x:v>
      </x:c>
      <x:c r="D791" s="8" t="n">
        <x:v>40560</x:v>
      </x:c>
      <x:c r="E791" s="8" t="n">
        <x:v>39959</x:v>
      </x:c>
      <x:c r="F791" s="8" t="n">
        <x:v>41914</x:v>
      </x:c>
      <x:c r="G791" s="8" t="n">
        <x:v>43248</x:v>
      </x:c>
      <x:c r="H791" s="8" t="n">
        <x:v>45224</x:v>
      </x:c>
    </x:row>
    <x:row r="792">
      <x:c r="A792" s="2" t="str">
        <x:v>811114</x:v>
      </x:c>
      <x:c r="B792" s="2" t="str">
        <x:v>Specialized Automotive Repair</x:v>
      </x:c>
      <x:c r="C792" s="8" t="n">
        <x:v>5392</x:v>
      </x:c>
      <x:c r="D792" s="8" t="n">
        <x:v>5351</x:v>
      </x:c>
      <x:c r="E792" s="8" t="n">
        <x:v>5075</x:v>
      </x:c>
      <x:c r="F792" s="8" t="n">
        <x:v>4522</x:v>
      </x:c>
      <x:c r="G792" s="8" t="n">
        <x:v>4498</x:v>
      </x:c>
      <x:c r="H792" s="8" t="n">
        <x:v>4505</x:v>
      </x:c>
    </x:row>
    <x:row r="793">
      <x:c r="A793" s="2" t="str">
        <x:v>811121</x:v>
      </x:c>
      <x:c r="B793" s="2" t="str">
        <x:v>Automotive Body, Paint, and Interior Repair and Maintenance</x:v>
      </x:c>
      <x:c r="C793" s="8" t="n">
        <x:v>33864</x:v>
      </x:c>
      <x:c r="D793" s="8" t="n">
        <x:v>34568</x:v>
      </x:c>
      <x:c r="E793" s="8" t="n">
        <x:v>34106</x:v>
      </x:c>
      <x:c r="F793" s="8" t="n">
        <x:v>32310</x:v>
      </x:c>
      <x:c r="G793" s="8" t="n">
        <x:v>33989</x:v>
      </x:c>
      <x:c r="H793" s="8" t="n">
        <x:v>31064</x:v>
      </x:c>
    </x:row>
    <x:row r="794">
      <x:c r="A794" s="2" t="str">
        <x:v>811122</x:v>
      </x:c>
      <x:c r="B794" s="2" t="str">
        <x:v>Automotive Glass Replacement Shops</x:v>
      </x:c>
      <x:c r="C794" s="8" t="n">
        <x:v>2437</x:v>
      </x:c>
      <x:c r="D794" s="8" t="n">
        <x:v>2616</x:v>
      </x:c>
      <x:c r="E794" s="8" t="n">
        <x:v>2537</x:v>
      </x:c>
      <x:c r="F794" s="8" t="n">
        <x:v>3593</x:v>
      </x:c>
      <x:c r="G794" s="8" t="n">
        <x:v>3654</x:v>
      </x:c>
      <x:c r="H794" s="8" t="n">
        <x:v>3313</x:v>
      </x:c>
    </x:row>
    <x:row r="795">
      <x:c r="A795" s="2" t="str">
        <x:v>811191</x:v>
      </x:c>
      <x:c r="B795" s="2" t="str">
        <x:v>Automotive Oil Change and Lubrication Shops</x:v>
      </x:c>
      <x:c r="C795" s="8" t="n">
        <x:v>5901</x:v>
      </x:c>
      <x:c r="D795" s="8" t="n">
        <x:v>6041</x:v>
      </x:c>
      <x:c r="E795" s="8" t="n">
        <x:v>5733</x:v>
      </x:c>
      <x:c r="F795" s="8" t="n">
        <x:v>6326</x:v>
      </x:c>
      <x:c r="G795" s="8" t="n">
        <x:v>6577</x:v>
      </x:c>
      <x:c r="H795" s="8" t="n">
        <x:v>6743</x:v>
      </x:c>
    </x:row>
    <x:row r="796">
      <x:c r="A796" s="2" t="str">
        <x:v>811192</x:v>
      </x:c>
      <x:c r="B796" s="2" t="str">
        <x:v>Car Washes</x:v>
      </x:c>
      <x:c r="C796" s="8" t="n">
        <x:v>27787</x:v>
      </x:c>
      <x:c r="D796" s="8" t="n">
        <x:v>26579</x:v>
      </x:c>
      <x:c r="E796" s="8" t="n">
        <x:v>26655</x:v>
      </x:c>
      <x:c r="F796" s="8" t="n">
        <x:v>26186</x:v>
      </x:c>
      <x:c r="G796" s="8" t="n">
        <x:v>24170</x:v>
      </x:c>
      <x:c r="H796" s="8" t="n">
        <x:v>25694</x:v>
      </x:c>
    </x:row>
    <x:row r="797">
      <x:c r="A797" s="2" t="str">
        <x:v>811198</x:v>
      </x:c>
      <x:c r="B797" s="2" t="str">
        <x:v>All Other Automotive Repair and Maintenance</x:v>
      </x:c>
      <x:c r="C797" s="8" t="n">
        <x:v>4252</x:v>
      </x:c>
      <x:c r="D797" s="8" t="n">
        <x:v>4719</x:v>
      </x:c>
      <x:c r="E797" s="8" t="n">
        <x:v>4867</x:v>
      </x:c>
      <x:c r="F797" s="8" t="n">
        <x:v>4515</x:v>
      </x:c>
      <x:c r="G797" s="8" t="n">
        <x:v>4413</x:v>
      </x:c>
      <x:c r="H797" s="8" t="n">
        <x:v>3998</x:v>
      </x:c>
    </x:row>
    <x:row r="798">
      <x:c r="A798" s="2" t="str">
        <x:v>811210</x:v>
      </x:c>
      <x:c r="B798" s="2" t="str">
        <x:v>Electronic and Precision Equipment Repair and Maintenance</x:v>
      </x:c>
      <x:c r="C798" s="8" t="n">
        <x:v>10737</x:v>
      </x:c>
      <x:c r="D798" s="8" t="n">
        <x:v>10605</x:v>
      </x:c>
      <x:c r="E798" s="8" t="n">
        <x:v>10503</x:v>
      </x:c>
      <x:c r="F798" s="8" t="n">
        <x:v>9505</x:v>
      </x:c>
      <x:c r="G798" s="8" t="n">
        <x:v>9112</x:v>
      </x:c>
      <x:c r="H798" s="8" t="n">
        <x:v>7751</x:v>
      </x:c>
    </x:row>
    <x:row r="799">
      <x:c r="A799" s="2" t="str">
        <x:v>811310</x:v>
      </x:c>
      <x:c r="B799" s="2" t="str">
        <x:v>Commercial and Industrial Machinery and Equipment (except Automotive and Electronic) Repair and Maintenance</x:v>
      </x:c>
      <x:c r="C799" s="8" t="n">
        <x:v>18231</x:v>
      </x:c>
      <x:c r="D799" s="8" t="n">
        <x:v>18111</x:v>
      </x:c>
      <x:c r="E799" s="8" t="n">
        <x:v>18719</x:v>
      </x:c>
      <x:c r="F799" s="8" t="n">
        <x:v>17390</x:v>
      </x:c>
      <x:c r="G799" s="8" t="n">
        <x:v>17841</x:v>
      </x:c>
      <x:c r="H799" s="8" t="n">
        <x:v>16610</x:v>
      </x:c>
    </x:row>
    <x:row r="800">
      <x:c r="A800" s="2" t="str">
        <x:v>811411</x:v>
      </x:c>
      <x:c r="B800" s="2" t="str">
        <x:v>Home and Garden Equipment Repair and Maintenance</x:v>
      </x:c>
      <x:c r="C800" s="8" t="n">
        <x:v>206</x:v>
      </x:c>
      <x:c r="D800" s="8" t="n">
        <x:v>215</x:v>
      </x:c>
      <x:c r="E800" s="8" t="n">
        <x:v>240</x:v>
      </x:c>
      <x:c r="F800" s="8" t="n">
        <x:v>320</x:v>
      </x:c>
      <x:c r="G800" s="8" t="n">
        <x:v>289</x:v>
      </x:c>
      <x:c r="H800" s="8" t="n">
        <x:v>267</x:v>
      </x:c>
    </x:row>
    <x:row r="801">
      <x:c r="A801" s="2" t="str">
        <x:v>811412</x:v>
      </x:c>
      <x:c r="B801" s="2" t="str">
        <x:v>Appliance Repair and Maintenance</x:v>
      </x:c>
      <x:c r="C801" s="8" t="n">
        <x:v>2318</x:v>
      </x:c>
      <x:c r="D801" s="8" t="n">
        <x:v>2623</x:v>
      </x:c>
      <x:c r="E801" s="8" t="n">
        <x:v>2601</x:v>
      </x:c>
      <x:c r="F801" s="8" t="n">
        <x:v>2958</x:v>
      </x:c>
      <x:c r="G801" s="8" t="n">
        <x:v>3021</x:v>
      </x:c>
      <x:c r="H801" s="8" t="n">
        <x:v>2743</x:v>
      </x:c>
    </x:row>
    <x:row r="802">
      <x:c r="A802" s="2" t="str">
        <x:v>811420</x:v>
      </x:c>
      <x:c r="B802" s="2" t="str">
        <x:v>Reupholstery and Furniture Repair</x:v>
      </x:c>
      <x:c r="C802" s="8" t="n">
        <x:v>2168</x:v>
      </x:c>
      <x:c r="D802" s="8" t="n">
        <x:v>2155</x:v>
      </x:c>
      <x:c r="E802" s="8" t="n">
        <x:v>2215</x:v>
      </x:c>
      <x:c r="F802" s="8" t="n">
        <x:v>2027</x:v>
      </x:c>
      <x:c r="G802" s="8" t="n">
        <x:v>2087</x:v>
      </x:c>
      <x:c r="H802" s="8" t="n">
        <x:v>1832</x:v>
      </x:c>
    </x:row>
    <x:row r="803">
      <x:c r="A803" s="2" t="str">
        <x:v>811430</x:v>
      </x:c>
      <x:c r="B803" s="2" t="str">
        <x:v>Footwear and Leather Goods Repair</x:v>
      </x:c>
      <x:c r="C803" s="8" t="n">
        <x:v>393</x:v>
      </x:c>
      <x:c r="D803" s="8" t="n">
        <x:v>347</x:v>
      </x:c>
      <x:c r="E803" s="8" t="n">
        <x:v>359</x:v>
      </x:c>
      <x:c r="F803" s="8" t="n">
        <x:v>322</x:v>
      </x:c>
      <x:c r="G803" s="8" t="n">
        <x:v>385</x:v>
      </x:c>
      <x:c r="H803" s="8" t="n">
        <x:v>372</x:v>
      </x:c>
    </x:row>
    <x:row r="804">
      <x:c r="A804" s="2" t="str">
        <x:v>811490</x:v>
      </x:c>
      <x:c r="B804" s="2" t="str">
        <x:v>Other Personal and Household Goods Repair and Maintenance</x:v>
      </x:c>
      <x:c r="C804" s="8" t="n">
        <x:v>3897</x:v>
      </x:c>
      <x:c r="D804" s="8" t="n">
        <x:v>4131</x:v>
      </x:c>
      <x:c r="E804" s="8" t="n">
        <x:v>4426</x:v>
      </x:c>
      <x:c r="F804" s="8" t="n">
        <x:v>3782</x:v>
      </x:c>
      <x:c r="G804" s="8" t="n">
        <x:v>3829</x:v>
      </x:c>
      <x:c r="H804" s="8" t="n">
        <x:v>3559</x:v>
      </x:c>
    </x:row>
    <x:row r="805">
      <x:c r="A805" s="2" t="str">
        <x:v>812111</x:v>
      </x:c>
      <x:c r="B805" s="2" t="str">
        <x:v>Barber Shops</x:v>
      </x:c>
      <x:c r="C805" s="8" t="n">
        <x:v>2219</x:v>
      </x:c>
      <x:c r="D805" s="8" t="n">
        <x:v>2329</x:v>
      </x:c>
      <x:c r="E805" s="8" t="n">
        <x:v>2573</x:v>
      </x:c>
      <x:c r="F805" s="8" t="n">
        <x:v>2342</x:v>
      </x:c>
      <x:c r="G805" s="8" t="n">
        <x:v>2570</x:v>
      </x:c>
      <x:c r="H805" s="8" t="n">
        <x:v>2609</x:v>
      </x:c>
    </x:row>
    <x:row r="806">
      <x:c r="A806" s="2" t="str">
        <x:v>812112</x:v>
      </x:c>
      <x:c r="B806" s="2" t="str">
        <x:v>Beauty Salons</x:v>
      </x:c>
      <x:c r="C806" s="8" t="n">
        <x:v>34806</x:v>
      </x:c>
      <x:c r="D806" s="8" t="n">
        <x:v>36073</x:v>
      </x:c>
      <x:c r="E806" s="8" t="n">
        <x:v>36834</x:v>
      </x:c>
      <x:c r="F806" s="8" t="n">
        <x:v>30419</x:v>
      </x:c>
      <x:c r="G806" s="8" t="n">
        <x:v>31319</x:v>
      </x:c>
      <x:c r="H806" s="8" t="n">
        <x:v>30127</x:v>
      </x:c>
    </x:row>
    <x:row r="807">
      <x:c r="A807" s="2" t="str">
        <x:v>812113</x:v>
      </x:c>
      <x:c r="B807" s="2" t="str">
        <x:v>Nail Salons</x:v>
      </x:c>
      <x:c r="C807" s="8" t="n">
        <x:v>21168</x:v>
      </x:c>
      <x:c r="D807" s="8" t="n">
        <x:v>23396</x:v>
      </x:c>
      <x:c r="E807" s="8" t="n">
        <x:v>25602</x:v>
      </x:c>
      <x:c r="F807" s="8" t="n">
        <x:v>35164</x:v>
      </x:c>
      <x:c r="G807" s="8" t="n">
        <x:v>35757</x:v>
      </x:c>
      <x:c r="H807" s="8" t="n">
        <x:v>40190</x:v>
      </x:c>
    </x:row>
    <x:row r="808">
      <x:c r="A808" s="2" t="str">
        <x:v>812191</x:v>
      </x:c>
      <x:c r="B808" s="2" t="str">
        <x:v>Diet and Weight Reducing Centers</x:v>
      </x:c>
      <x:c r="C808" s="8" t="n">
        <x:v>2234</x:v>
      </x:c>
      <x:c r="D808" s="8" t="n">
        <x:v>2211</x:v>
      </x:c>
      <x:c r="E808" s="8" t="n">
        <x:v>2028</x:v>
      </x:c>
      <x:c r="F808" s="8" t="n">
        <x:v>1447</x:v>
      </x:c>
      <x:c r="G808" s="8" t="n">
        <x:v>1430</x:v>
      </x:c>
      <x:c r="H808" s="8" t="n">
        <x:v>961</x:v>
      </x:c>
    </x:row>
    <x:row r="809">
      <x:c r="A809" s="2" t="str">
        <x:v>812199</x:v>
      </x:c>
      <x:c r="B809" s="2" t="str">
        <x:v>Other Personal Care Services</x:v>
      </x:c>
      <x:c r="C809" s="8" t="n">
        <x:v>18082</x:v>
      </x:c>
      <x:c r="D809" s="8" t="n">
        <x:v>18842</x:v>
      </x:c>
      <x:c r="E809" s="8" t="n">
        <x:v>19592</x:v>
      </x:c>
      <x:c r="F809" s="8" t="n">
        <x:v>20946</x:v>
      </x:c>
      <x:c r="G809" s="8" t="n">
        <x:v>23336</x:v>
      </x:c>
      <x:c r="H809" s="8" t="n">
        <x:v>26312</x:v>
      </x:c>
    </x:row>
    <x:row r="810">
      <x:c r="A810" s="2" t="str">
        <x:v>812210</x:v>
      </x:c>
      <x:c r="B810" s="2" t="str">
        <x:v>Funeral Homes and Funeral Services</x:v>
      </x:c>
      <x:c r="C810" s="8" t="n">
        <x:v>6819</x:v>
      </x:c>
      <x:c r="D810" s="8" t="n">
        <x:v>7013</x:v>
      </x:c>
      <x:c r="E810" s="8" t="n">
        <x:v>7078</x:v>
      </x:c>
      <x:c r="F810" s="8" t="n">
        <x:v>7310</x:v>
      </x:c>
      <x:c r="G810" s="8" t="n">
        <x:v>7258</x:v>
      </x:c>
      <x:c r="H810" s="8" t="n">
        <x:v>7089</x:v>
      </x:c>
    </x:row>
    <x:row r="811">
      <x:c r="A811" s="2" t="str">
        <x:v>812220</x:v>
      </x:c>
      <x:c r="B811" s="2" t="str">
        <x:v>Cemeteries and Crematories</x:v>
      </x:c>
      <x:c r="C811" s="8" t="n">
        <x:v>4000</x:v>
      </x:c>
      <x:c r="D811" s="8" t="n">
        <x:v>4048</x:v>
      </x:c>
      <x:c r="E811" s="8" t="n">
        <x:v>4309</x:v>
      </x:c>
      <x:c r="F811" s="8" t="n">
        <x:v>4347</x:v>
      </x:c>
      <x:c r="G811" s="8" t="n">
        <x:v>4591</x:v>
      </x:c>
      <x:c r="H811" s="8" t="n">
        <x:v>4779</x:v>
      </x:c>
    </x:row>
    <x:row r="812">
      <x:c r="A812" s="2" t="str">
        <x:v>812310</x:v>
      </x:c>
      <x:c r="B812" s="2" t="str">
        <x:v>Coin-Operated Laundries and Drycleaners</x:v>
      </x:c>
      <x:c r="C812" s="8" t="n">
        <x:v>4333</x:v>
      </x:c>
      <x:c r="D812" s="8" t="n">
        <x:v>4576</x:v>
      </x:c>
      <x:c r="E812" s="8" t="n">
        <x:v>4705</x:v>
      </x:c>
      <x:c r="F812" s="8" t="n">
        <x:v>4900</x:v>
      </x:c>
      <x:c r="G812" s="8" t="n">
        <x:v>5006</x:v>
      </x:c>
      <x:c r="H812" s="8" t="n">
        <x:v>5289</x:v>
      </x:c>
    </x:row>
    <x:row r="813">
      <x:c r="A813" s="2" t="str">
        <x:v>812320</x:v>
      </x:c>
      <x:c r="B813" s="2" t="str">
        <x:v>Drycleaning and Laundry Services (except Coin-Operated)</x:v>
      </x:c>
      <x:c r="C813" s="8" t="n">
        <x:v>13875</x:v>
      </x:c>
      <x:c r="D813" s="8" t="n">
        <x:v>13779</x:v>
      </x:c>
      <x:c r="E813" s="8" t="n">
        <x:v>14019</x:v>
      </x:c>
      <x:c r="F813" s="8" t="n">
        <x:v>11166</x:v>
      </x:c>
      <x:c r="G813" s="8" t="n">
        <x:v>11192</x:v>
      </x:c>
      <x:c r="H813" s="8" t="n">
        <x:v>11439</x:v>
      </x:c>
    </x:row>
    <x:row r="814">
      <x:c r="A814" s="2" t="str">
        <x:v>812331</x:v>
      </x:c>
      <x:c r="B814" s="2" t="str">
        <x:v>Linen Supply</x:v>
      </x:c>
      <x:c r="C814" s="8" t="n">
        <x:v>7607</x:v>
      </x:c>
      <x:c r="D814" s="8" t="n">
        <x:v>5967</x:v>
      </x:c>
      <x:c r="E814" s="8" t="n">
        <x:v>5875</x:v>
      </x:c>
      <x:c r="F814" s="8" t="n">
        <x:v>4651</x:v>
      </x:c>
      <x:c r="G814" s="8" t="n">
        <x:v>4899</x:v>
      </x:c>
      <x:c r="H814" s="8" t="n">
        <x:v>5107</x:v>
      </x:c>
    </x:row>
    <x:row r="815">
      <x:c r="A815" s="2" t="str">
        <x:v>812332</x:v>
      </x:c>
      <x:c r="B815" s="2" t="str">
        <x:v>Industrial Launderers</x:v>
      </x:c>
      <x:c r="C815" s="8" t="n">
        <x:v>8307</x:v>
      </x:c>
      <x:c r="D815" s="8" t="n">
        <x:v>10070</x:v>
      </x:c>
      <x:c r="E815" s="8" t="n">
        <x:v>10296</x:v>
      </x:c>
      <x:c r="F815" s="8" t="n">
        <x:v>8383</x:v>
      </x:c>
      <x:c r="G815" s="8" t="n">
        <x:v>8998</x:v>
      </x:c>
      <x:c r="H815" s="8" t="n">
        <x:v>8798</x:v>
      </x:c>
    </x:row>
    <x:row r="816">
      <x:c r="A816" s="2" t="str">
        <x:v>812910</x:v>
      </x:c>
      <x:c r="B816" s="2" t="str">
        <x:v>Pet Care (except Veterinary) Services</x:v>
      </x:c>
      <x:c r="C816" s="8" t="n">
        <x:v>11768</x:v>
      </x:c>
      <x:c r="D816" s="8" t="n">
        <x:v>13063</x:v>
      </x:c>
      <x:c r="E816" s="8" t="n">
        <x:v>14155</x:v>
      </x:c>
      <x:c r="F816" s="8" t="n">
        <x:v>16500</x:v>
      </x:c>
      <x:c r="G816" s="8" t="n">
        <x:v>17731</x:v>
      </x:c>
      <x:c r="H816" s="8" t="n">
        <x:v>18387</x:v>
      </x:c>
    </x:row>
    <x:row r="817">
      <x:c r="A817" s="2" t="str">
        <x:v>812921</x:v>
      </x:c>
      <x:c r="B817" s="2" t="str">
        <x:v>Photofinishing Laboratories (except One-Hour)</x:v>
      </x:c>
      <x:c r="C817" s="8" t="n">
        <x:v>1889</x:v>
      </x:c>
      <x:c r="D817" s="8" t="n">
        <x:v>1640</x:v>
      </x:c>
      <x:c r="E817" s="8" t="n">
        <x:v>1679</x:v>
      </x:c>
      <x:c r="F817" s="8" t="n">
        <x:v>869</x:v>
      </x:c>
      <x:c r="G817" s="8" t="n">
        <x:v>698</x:v>
      </x:c>
      <x:c r="H817" s="8" t="n">
        <x:v>429</x:v>
      </x:c>
    </x:row>
    <x:row r="818">
      <x:c r="A818" s="2" t="str">
        <x:v>812922</x:v>
      </x:c>
      <x:c r="B818" s="2" t="str">
        <x:v>One-Hour Photofinishing</x:v>
      </x:c>
      <x:c r="C818" s="8" t="n">
        <x:v>86</x:v>
      </x:c>
      <x:c r="D818" s="8" t="n">
        <x:v>104</x:v>
      </x:c>
      <x:c r="E818" s="8" t="n">
        <x:v>123</x:v>
      </x:c>
      <x:c r="F818" s="8" t="n">
        <x:v>96</x:v>
      </x:c>
      <x:c r="G818" s="8" t="n">
        <x:v>85</x:v>
      </x:c>
      <x:c r="H818" s="8" t="n">
        <x:v>76</x:v>
      </x:c>
    </x:row>
    <x:row r="819">
      <x:c r="A819" s="2" t="str">
        <x:v>812930</x:v>
      </x:c>
      <x:c r="B819" s="2" t="str">
        <x:v>Parking Lots and Garages</x:v>
      </x:c>
      <x:c r="C819" s="8" t="n">
        <x:v>27197</x:v>
      </x:c>
      <x:c r="D819" s="8" t="n">
        <x:v>27316</x:v>
      </x:c>
      <x:c r="E819" s="8" t="n">
        <x:v>27374</x:v>
      </x:c>
      <x:c r="F819" s="8" t="n">
        <x:v>21267</x:v>
      </x:c>
      <x:c r="G819" s="8" t="n">
        <x:v>23723</x:v>
      </x:c>
      <x:c r="H819" s="8" t="n">
        <x:v>25123</x:v>
      </x:c>
    </x:row>
    <x:row r="820">
      <x:c r="A820" s="2" t="str">
        <x:v>812990</x:v>
      </x:c>
      <x:c r="B820" s="2" t="str">
        <x:v>All Other Personal Services</x:v>
      </x:c>
      <x:c r="C820" s="8" t="n">
        <x:v>7682</x:v>
      </x:c>
      <x:c r="D820" s="8" t="n">
        <x:v>8117</x:v>
      </x:c>
      <x:c r="E820" s="8" t="n">
        <x:v>7883</x:v>
      </x:c>
      <x:c r="F820" s="8" t="n">
        <x:v>9300</x:v>
      </x:c>
      <x:c r="G820" s="8" t="n">
        <x:v>9924</x:v>
      </x:c>
      <x:c r="H820" s="8" t="n">
        <x:v>9932</x:v>
      </x:c>
    </x:row>
    <x:row r="821">
      <x:c r="A821" s="2" t="str">
        <x:v>813110</x:v>
      </x:c>
      <x:c r="B821" s="2" t="str">
        <x:v>Religious Organizations</x:v>
      </x:c>
      <x:c r="C821" s="8" t="n">
        <x:v>28183</x:v>
      </x:c>
      <x:c r="D821" s="8" t="n">
        <x:v>28516</x:v>
      </x:c>
      <x:c r="E821" s="8" t="n">
        <x:v>28403</x:v>
      </x:c>
      <x:c r="F821" s="8" t="n">
        <x:v>27531</x:v>
      </x:c>
      <x:c r="G821" s="8" t="n">
        <x:v>29460</x:v>
      </x:c>
      <x:c r="H821" s="8" t="n">
        <x:v>29559</x:v>
      </x:c>
    </x:row>
    <x:row r="822">
      <x:c r="A822" s="2" t="str">
        <x:v>813211</x:v>
      </x:c>
      <x:c r="B822" s="2" t="str">
        <x:v>Grantmaking Foundations</x:v>
      </x:c>
      <x:c r="C822" s="8" t="n">
        <x:v>17593</x:v>
      </x:c>
      <x:c r="D822" s="8" t="n">
        <x:v>16297</x:v>
      </x:c>
      <x:c r="E822" s="8" t="n">
        <x:v>17670</x:v>
      </x:c>
      <x:c r="F822" s="8" t="n">
        <x:v>16252</x:v>
      </x:c>
      <x:c r="G822" s="8" t="n">
        <x:v>18045</x:v>
      </x:c>
      <x:c r="H822" s="8" t="n">
        <x:v>18564</x:v>
      </x:c>
    </x:row>
    <x:row r="823">
      <x:c r="A823" s="2" t="str">
        <x:v>813212</x:v>
      </x:c>
      <x:c r="B823" s="2" t="str">
        <x:v>Voluntary Health Organizations</x:v>
      </x:c>
      <x:c r="C823" s="8" t="n">
        <x:v>5029</x:v>
      </x:c>
      <x:c r="D823" s="8" t="n">
        <x:v>4891</x:v>
      </x:c>
      <x:c r="E823" s="8" t="n">
        <x:v>4805</x:v>
      </x:c>
      <x:c r="F823" s="8" t="n">
        <x:v>6098</x:v>
      </x:c>
      <x:c r="G823" s="8" t="n">
        <x:v>6154</x:v>
      </x:c>
      <x:c r="H823" s="8" t="n">
        <x:v>5647</x:v>
      </x:c>
    </x:row>
    <x:row r="824">
      <x:c r="A824" s="2" t="str">
        <x:v>813219</x:v>
      </x:c>
      <x:c r="B824" s="2" t="str">
        <x:v>Other Grantmaking and Giving Services</x:v>
      </x:c>
      <x:c r="C824" s="8" t="n">
        <x:v>4471</x:v>
      </x:c>
      <x:c r="D824" s="8" t="n">
        <x:v>4599</x:v>
      </x:c>
      <x:c r="E824" s="8" t="n">
        <x:v>4516</x:v>
      </x:c>
      <x:c r="F824" s="8" t="n">
        <x:v>5706</x:v>
      </x:c>
      <x:c r="G824" s="8" t="n">
        <x:v>6088</x:v>
      </x:c>
      <x:c r="H824" s="8" t="n">
        <x:v>6208</x:v>
      </x:c>
    </x:row>
    <x:row r="825">
      <x:c r="A825" s="2" t="str">
        <x:v>813311</x:v>
      </x:c>
      <x:c r="B825" s="2" t="str">
        <x:v>Human Rights Organizations</x:v>
      </x:c>
      <x:c r="C825" s="8" t="n">
        <x:v>5953</x:v>
      </x:c>
      <x:c r="D825" s="8" t="n">
        <x:v>6649</x:v>
      </x:c>
      <x:c r="E825" s="8" t="n">
        <x:v>6750</x:v>
      </x:c>
      <x:c r="F825" s="8" t="n">
        <x:v>7340</x:v>
      </x:c>
      <x:c r="G825" s="8" t="n">
        <x:v>8094</x:v>
      </x:c>
      <x:c r="H825" s="8" t="n">
        <x:v>6638</x:v>
      </x:c>
    </x:row>
    <x:row r="826">
      <x:c r="A826" s="2" t="str">
        <x:v>813312</x:v>
      </x:c>
      <x:c r="B826" s="2" t="str">
        <x:v>Environment, Conservation and Wildlife Organizations</x:v>
      </x:c>
      <x:c r="C826" s="8" t="n">
        <x:v>9238</x:v>
      </x:c>
      <x:c r="D826" s="8" t="n">
        <x:v>9518</x:v>
      </x:c>
      <x:c r="E826" s="8" t="n">
        <x:v>9961</x:v>
      </x:c>
      <x:c r="F826" s="8" t="n">
        <x:v>10030</x:v>
      </x:c>
      <x:c r="G826" s="8" t="n">
        <x:v>10803</x:v>
      </x:c>
      <x:c r="H826" s="8" t="n">
        <x:v>12057</x:v>
      </x:c>
    </x:row>
    <x:row r="827">
      <x:c r="A827" s="2" t="str">
        <x:v>813319</x:v>
      </x:c>
      <x:c r="B827" s="2" t="str">
        <x:v>Other Social Advocacy Organizations</x:v>
      </x:c>
      <x:c r="C827" s="8" t="n">
        <x:v>9371</x:v>
      </x:c>
      <x:c r="D827" s="8" t="n">
        <x:v>10020</x:v>
      </x:c>
      <x:c r="E827" s="8" t="n">
        <x:v>10479</x:v>
      </x:c>
      <x:c r="F827" s="8" t="n">
        <x:v>13533</x:v>
      </x:c>
      <x:c r="G827" s="8" t="n">
        <x:v>15181</x:v>
      </x:c>
      <x:c r="H827" s="8" t="n">
        <x:v>15993</x:v>
      </x:c>
    </x:row>
    <x:row r="828">
      <x:c r="A828" s="2" t="str">
        <x:v>813410</x:v>
      </x:c>
      <x:c r="B828" s="2" t="str">
        <x:v>Civic and Social Organizations</x:v>
      </x:c>
      <x:c r="C828" s="8" t="n">
        <x:v>40646</x:v>
      </x:c>
      <x:c r="D828" s="8" t="n">
        <x:v>41243</x:v>
      </x:c>
      <x:c r="E828" s="8" t="n">
        <x:v>41427</x:v>
      </x:c>
      <x:c r="F828" s="8" t="n">
        <x:v>33009</x:v>
      </x:c>
      <x:c r="G828" s="8" t="n">
        <x:v>38266</x:v>
      </x:c>
      <x:c r="H828" s="8" t="n">
        <x:v>45306</x:v>
      </x:c>
    </x:row>
    <x:row r="829">
      <x:c r="A829" s="2" t="str">
        <x:v>813910</x:v>
      </x:c>
      <x:c r="B829" s="2" t="str">
        <x:v>Business Associations</x:v>
      </x:c>
      <x:c r="C829" s="8" t="n">
        <x:v>9735</x:v>
      </x:c>
      <x:c r="D829" s="8" t="n">
        <x:v>9402</x:v>
      </x:c>
      <x:c r="E829" s="8" t="n">
        <x:v>9187</x:v>
      </x:c>
      <x:c r="F829" s="8" t="n">
        <x:v>8651</x:v>
      </x:c>
      <x:c r="G829" s="8" t="n">
        <x:v>8997</x:v>
      </x:c>
      <x:c r="H829" s="8" t="n">
        <x:v>9057</x:v>
      </x:c>
    </x:row>
    <x:row r="830">
      <x:c r="A830" s="2" t="str">
        <x:v>813920</x:v>
      </x:c>
      <x:c r="B830" s="2" t="str">
        <x:v>Professional Organizations</x:v>
      </x:c>
      <x:c r="C830" s="8" t="n">
        <x:v>5716</x:v>
      </x:c>
      <x:c r="D830" s="8" t="n">
        <x:v>5856</x:v>
      </x:c>
      <x:c r="E830" s="8" t="n">
        <x:v>5695</x:v>
      </x:c>
      <x:c r="F830" s="8" t="n">
        <x:v>4934</x:v>
      </x:c>
      <x:c r="G830" s="8" t="n">
        <x:v>4970</x:v>
      </x:c>
      <x:c r="H830" s="8" t="n">
        <x:v>4413</x:v>
      </x:c>
    </x:row>
    <x:row r="831">
      <x:c r="A831" s="2" t="str">
        <x:v>813930</x:v>
      </x:c>
      <x:c r="B831" s="2" t="str">
        <x:v>Labor Unions and Similar Labor Organizations</x:v>
      </x:c>
      <x:c r="C831" s="8" t="n">
        <x:v>13127</x:v>
      </x:c>
      <x:c r="D831" s="8" t="n">
        <x:v>13090</x:v>
      </x:c>
      <x:c r="E831" s="8" t="n">
        <x:v>12619</x:v>
      </x:c>
      <x:c r="F831" s="8" t="n">
        <x:v>11945</x:v>
      </x:c>
      <x:c r="G831" s="8" t="n">
        <x:v>12636</x:v>
      </x:c>
      <x:c r="H831" s="8" t="n">
        <x:v>13091</x:v>
      </x:c>
    </x:row>
    <x:row r="832">
      <x:c r="A832" s="2" t="str">
        <x:v>813940</x:v>
      </x:c>
      <x:c r="B832" s="2" t="str">
        <x:v>Political Organizations</x:v>
      </x:c>
      <x:c r="C832" s="8" t="n">
        <x:v>527</x:v>
      </x:c>
      <x:c r="D832" s="8" t="n">
        <x:v>647</x:v>
      </x:c>
      <x:c r="E832" s="8" t="n">
        <x:v>470</x:v>
      </x:c>
      <x:c r="F832" s="8" t="n">
        <x:v>810</x:v>
      </x:c>
      <x:c r="G832" s="8" t="n">
        <x:v>460</x:v>
      </x:c>
      <x:c r="H832" s="8" t="n">
        <x:v>525</x:v>
      </x:c>
    </x:row>
    <x:row r="833">
      <x:c r="A833" s="2" t="str">
        <x:v>813990</x:v>
      </x:c>
      <x:c r="B833" s="2" t="str">
        <x:v>Other Similar Organizations (except Business, Professional, Labor, and Political Organizations)</x:v>
      </x:c>
      <x:c r="C833" s="8" t="n">
        <x:v>11345</x:v>
      </x:c>
      <x:c r="D833" s="8" t="n">
        <x:v>11361</x:v>
      </x:c>
      <x:c r="E833" s="8" t="n">
        <x:v>11727</x:v>
      </x:c>
      <x:c r="F833" s="8" t="n">
        <x:v>11429</x:v>
      </x:c>
      <x:c r="G833" s="8" t="n">
        <x:v>12227</x:v>
      </x:c>
      <x:c r="H833" s="8" t="n">
        <x:v>12177</x:v>
      </x:c>
    </x:row>
    <x:row r="834">
      <x:c r="A834" s="2" t="str">
        <x:v>814110</x:v>
      </x:c>
      <x:c r="B834" s="2" t="str">
        <x:v>Private Households</x:v>
      </x:c>
      <x:c r="C834" s="8" t="n">
        <x:v>31889</x:v>
      </x:c>
      <x:c r="D834" s="8" t="n">
        <x:v>34963</x:v>
      </x:c>
      <x:c r="E834" s="8" t="n">
        <x:v>36270</x:v>
      </x:c>
      <x:c r="F834" s="8" t="n">
        <x:v>32673</x:v>
      </x:c>
      <x:c r="G834" s="8" t="n">
        <x:v>32399</x:v>
      </x:c>
      <x:c r="H834" s="8" t="n">
        <x:v>35790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8" hidden="0" customWidth="1"/>
    <x:col min="2" max="2" width="130" hidden="0" customWidth="1"/>
  </x:cols>
  <x:sheetData>
    <x:row r="1">
      <x:c r="A1" s="2"/>
      <x:c r="B1" s="2"/>
    </x:row>
    <x:row r="2" ht="28" customHeight="1">
      <x:c r="A2" s="3" t="str">
        <x:v>Method and sources</x:v>
      </x:c>
      <x:c r="B2" s="2"/>
    </x:row>
    <x:row r="3">
      <x:c r="A3" s="2"/>
      <x:c r="B3" s="2"/>
    </x:row>
    <x:row r="4">
      <x:c r="A4" s="2"/>
      <x:c r="B4" s="2"/>
    </x:row>
    <x:row r="5" ht="43" customHeight="1">
      <x:c r="A5" s="7" t="str">
        <x:v>Item</x:v>
      </x:c>
      <x:c r="B5" s="7" t="str">
        <x:v>Definition or source</x:v>
      </x:c>
    </x:row>
    <x:row r="6" ht="46" customHeight="1">
      <x:c r="A6" s="2" t="str">
        <x:v>Scope</x:v>
      </x:c>
      <x:c r="B6" s="15" t="str">
        <x:v>California private-sector employment. March observations in 2017, 2018, 2019, 2022, 2023 and 2026. Court reporting (561492) is outside the shortlist but may appear in the broad screen.</x:v>
      </x:c>
    </x:row>
    <x:row r="7" ht="46" customHeight="1">
      <x:c r="A7" s="2" t="str">
        <x:v>Population</x:v>
      </x:c>
      <x:c r="B7" s="15" t="str">
        <x:v>826 industries have positive, unsuppressed, comparable observations in every required year. Industries with missing data or ambiguous classification splits are excluded.</x:v>
      </x:c>
    </x:row>
    <x:row r="8" ht="46" customHeight="1">
      <x:c r="A8" s="2" t="str">
        <x:v>Classification</x:v>
      </x:c>
      <x:c r="B8" s="15" t="str">
        <x:v>Use 2022 NAICS definitions. Renamed one-to-one codes are matched; older codes are summed where they merge completely into one newer code. Complex splits are excluded.</x:v>
      </x:c>
    </x:row>
    <x:row r="9" ht="46" customHeight="1">
      <x:c r="A9" s="2" t="str">
        <x:v>Concordance</x:v>
      </x:c>
      <x:c r="B9" s="15" t="str">
        <x:v>https://www.census.gov/naics/concordances/2022_to_2017_NAICS.xlsx</x:v>
      </x:c>
    </x:row>
    <x:row r="10" ht="46" customHeight="1">
      <x:c r="A10" s="2" t="str">
        <x:v>Pretrend</x:v>
      </x:c>
      <x:c r="B10" s="15" t="str">
        <x:v>OLS slope of log(industry jobs / California all-private jobs) against year, using March 2017, 2018 and 2019. The middle year informs the fitted line, although with three equally spaced years the slope equals the endpoint log difference divided by two.</x:v>
      </x:c>
    </x:row>
    <x:row r="11" ht="46" customHeight="1">
      <x:c r="A11" s="2" t="str">
        <x:v>Benchmark</x:v>
      </x:c>
      <x:c r="B11" s="15" t="str">
        <x:v>Anchor industry jobs × (California all-private jobs in 2026 / in anchor year) × EXP(pretrend slope × years since anchor). Separate calculations use 2022 and 2023.</x:v>
      </x:c>
    </x:row>
    <x:row r="12" ht="46" customHeight="1">
      <x:c r="A12" s="2" t="str">
        <x:v>Gap</x:v>
      </x:c>
      <x:c r="B12" s="15" t="str">
        <x:v>Observed March 2026 jobs / benchmark jobs − 1. Negative values mean below benchmark. No portion is automatically attributed to AI.</x:v>
      </x:c>
    </x:row>
    <x:row r="13" ht="46" customHeight="1">
      <x:c r="A13" s="2" t="str">
        <x:v>Seasonality</x:v>
      </x:c>
      <x:c r="B13" s="15" t="str">
        <x:v>Using March in every year avoids comparing June seasonal peaks with March. This is not an X-13 seasonal adjustment and does not control changes in seasonal patterns.</x:v>
      </x:c>
    </x:row>
    <x:row r="14" ht="46" customHeight="1">
      <x:c r="A14" s="2" t="str">
        <x:v>COVID</x:v>
      </x:c>
      <x:c r="B14" s="15" t="str">
        <x:v>2020–2021 are excluded from the pretrend and comparisons. Rebasing in 2022 or 2023 absorbs initial level differences; neither removes persistent pandemic effects, recovery distortions or overhiring.</x:v>
      </x:c>
    </x:row>
    <x:row r="15" ht="46" customHeight="1">
      <x:c r="A15" s="2" t="str">
        <x:v>Timeframe</x:v>
      </x:c>
      <x:c r="B15" s="15" t="str">
        <x:v>The earlier comparison began with GPT-1 in June 2018. This adjusted screen uses a pre-pandemic trend and 2022/2023 anchors to focus on the period around widespread generative-AI adoption. It is not a causal estimate of GPT-1’s effect.</x:v>
      </x:c>
    </x:row>
    <x:row r="16" ht="46" customHeight="1">
      <x:c r="A16" s="2" t="str">
        <x:v>Interpretation</x:v>
      </x:c>
      <x:c r="B16" s="15" t="str">
        <x:v>Shortlist selection reflects task plausibility and employment patterns. It is not an exhaustive or statistically identified ranking. The model has no measured industry AI-adoption variable or untreated comparison group.</x:v>
      </x:c>
    </x:row>
    <x:row r="17" ht="46" customHeight="1">
      <x:c r="A17" s="2" t="str">
        <x:v>Other explanations</x:v>
      </x:c>
      <x:c r="B17" s="15" t="str">
        <x:v>Interest rates, outsourcing, mergers, establishment reclassification, relocation, demand shifts and pre-existing technology trends can produce similar patterns.</x:v>
      </x:c>
    </x:row>
    <x:row r="18" ht="46" customHeight="1">
      <x:c r="A18" s="2" t="str">
        <x:v>Benchmark sensitivity</x:v>
      </x:c>
      <x:c r="B18" s="15" t="str">
        <x:v>Three pre-pandemic annual observations provide limited trend evidence. Extrapolation is especially fragile for industries with rapid earlier growth. No confidence intervals are estimated.</x:v>
      </x:c>
    </x:row>
    <x:row r="19" ht="46" customHeight="1">
      <x:c r="A19" s="2" t="str">
        <x:v>Research: California</x:v>
      </x:c>
      <x:c r="B19" s="15" t="str">
        <x:v>https://capolicylab.org/california-ai-unemployment-tracker/</x:v>
      </x:c>
    </x:row>
    <x:row r="20" ht="46" customHeight="1">
      <x:c r="A20" s="2" t="str">
        <x:v>Research: Stanford</x:v>
      </x:c>
      <x:c r="B20" s="15" t="str">
        <x:v>https://digitaleconomy.stanford.edu/news/canariesaug26/</x:v>
      </x:c>
    </x:row>
    <x:row r="21" ht="46" customHeight="1">
      <x:c r="A21" s="2" t="str">
        <x:v>QCEW field definitions</x:v>
      </x:c>
      <x:c r="B21" s="15" t="str">
        <x:v>https://www.bls.gov/cew/additional-resources/open-data/csv-data-slices.htm</x:v>
      </x:c>
    </x:row>
    <x:row r="22" ht="46" customHeight="1">
      <x:c r="A22" s="2" t="str">
        <x:v>QCEW 2017 Q1</x:v>
      </x:c>
      <x:c r="B22" s="15" t="str">
        <x:v>https://data.bls.gov/cew/data/api/2017/1/area/06000.csv</x:v>
      </x:c>
    </x:row>
    <x:row r="23" ht="46" customHeight="1">
      <x:c r="A23" s="2" t="str">
        <x:v>QCEW 2018 Q1</x:v>
      </x:c>
      <x:c r="B23" s="15" t="str">
        <x:v>https://data.bls.gov/cew/data/api/2018/1/area/06000.csv</x:v>
      </x:c>
    </x:row>
    <x:row r="24" ht="46" customHeight="1">
      <x:c r="A24" s="2" t="str">
        <x:v>QCEW 2019 Q1</x:v>
      </x:c>
      <x:c r="B24" s="15" t="str">
        <x:v>https://data.bls.gov/cew/data/api/2019/1/area/06000.csv</x:v>
      </x:c>
    </x:row>
    <x:row r="25" ht="46" customHeight="1">
      <x:c r="A25" s="2" t="str">
        <x:v>QCEW 2022 Q1</x:v>
      </x:c>
      <x:c r="B25" s="15" t="str">
        <x:v>https://data.bls.gov/cew/data/api/2022/1/area/06000.csv</x:v>
      </x:c>
    </x:row>
    <x:row r="26" ht="46" customHeight="1">
      <x:c r="A26" s="2" t="str">
        <x:v>QCEW 2023 Q1</x:v>
      </x:c>
      <x:c r="B26" s="15" t="str">
        <x:v>https://data.bls.gov/cew/data/api/2023/1/area/06000.csv</x:v>
      </x:c>
    </x:row>
    <x:row r="27" ht="46" customHeight="1">
      <x:c r="A27" s="2" t="str">
        <x:v>QCEW 2026 Q1</x:v>
      </x:c>
      <x:c r="B27" s="15" t="str">
        <x:v>https://data.bls.gov/cew/data/api/2026/1/area/06000.csv</x:v>
      </x:c>
    </x:row>
    <x:row r="28" ht="46" customHeight="1">
      <x:c r="A28" s="2" t="str">
        <x:v>Retrieved</x:v>
      </x:c>
      <x:c r="B28" s="15" t="str">
        <x:v>October 10, 2026. Recent QCEW data may be revised. Changes in the inputs recalculate the linked benchmarks and report.</x:v>
      </x:c>
    </x:row>
    <x:row r="29">
      <x:c r="A29" s="2"/>
      <x:c r="B29" s="2"/>
    </x:row>
    <x:row r="30">
      <x:c r="A30" s="2"/>
      <x:c r="B30" s="2"/>
    </x:row>
  </x:sheetData>
  <x:pageMargins left="0.7" right="0.7" top="0.75" bottom="0.75" header="0.3" footer="0.3"/>
</x:worksheet>
</file>